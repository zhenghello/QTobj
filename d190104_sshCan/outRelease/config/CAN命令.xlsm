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serSoft\QTcan3.4.2\config\"/>
    </mc:Choice>
  </mc:AlternateContent>
  <xr:revisionPtr revIDLastSave="0" documentId="13_ncr:1_{0752D805-A223-4751-8DE4-A75A4F2C9424}" xr6:coauthVersionLast="43" xr6:coauthVersionMax="43" xr10:uidLastSave="{00000000-0000-0000-0000-000000000000}"/>
  <bookViews>
    <workbookView xWindow="-108" yWindow="-108" windowWidth="23256" windowHeight="12576" tabRatio="875" xr2:uid="{00000000-000D-0000-FFFF-FFFF00000000}"/>
  </bookViews>
  <sheets>
    <sheet name="给QT读取的" sheetId="34" r:id="rId1"/>
    <sheet name="通用2" sheetId="35" r:id="rId2"/>
    <sheet name="通用" sheetId="6" r:id="rId3"/>
    <sheet name="试剂封闭" sheetId="30" r:id="rId4"/>
    <sheet name="采样" sheetId="25" r:id="rId5"/>
    <sheet name="自动进样" sheetId="27" r:id="rId6"/>
    <sheet name="其他" sheetId="32" r:id="rId7"/>
    <sheet name="电压" sheetId="10" r:id="rId8"/>
    <sheet name="温度" sheetId="13" r:id="rId9"/>
    <sheet name="从站" sheetId="26" r:id="rId10"/>
    <sheet name="时序" sheetId="9" r:id="rId11"/>
    <sheet name="压力" sheetId="3" r:id="rId12"/>
    <sheet name="泵阀" sheetId="16" r:id="rId13"/>
    <sheet name="试剂和开关" sheetId="20" r:id="rId14"/>
    <sheet name="灌注排空" sheetId="22" r:id="rId15"/>
    <sheet name="电机" sheetId="7" r:id="rId16"/>
    <sheet name="条码" sheetId="24" r:id="rId17"/>
    <sheet name="试剂有无" sheetId="33" r:id="rId18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Z247" i="34" l="1"/>
  <c r="C247" i="34" s="1"/>
  <c r="Z246" i="34"/>
  <c r="C246" i="34" s="1"/>
  <c r="Z245" i="34"/>
  <c r="C245" i="34" s="1"/>
  <c r="Z244" i="34"/>
  <c r="C244" i="34" s="1"/>
  <c r="Z243" i="34"/>
  <c r="C243" i="34" s="1"/>
  <c r="Z242" i="34"/>
  <c r="C242" i="34" s="1"/>
  <c r="Z241" i="34"/>
  <c r="C241" i="34" s="1"/>
  <c r="Z240" i="34"/>
  <c r="C240" i="34" s="1"/>
  <c r="R64" i="34"/>
  <c r="Q64" i="34"/>
  <c r="L64" i="34" l="1"/>
  <c r="Z64" i="34" s="1"/>
  <c r="C64" i="34" s="1"/>
  <c r="Z236" i="34"/>
  <c r="C236" i="34" s="1"/>
  <c r="Z235" i="34"/>
  <c r="C235" i="34" s="1"/>
  <c r="Z234" i="34"/>
  <c r="C234" i="34" s="1"/>
  <c r="Z233" i="34"/>
  <c r="C233" i="34" s="1"/>
  <c r="Z232" i="34"/>
  <c r="C232" i="34" s="1"/>
  <c r="Z231" i="34"/>
  <c r="C231" i="34" s="1"/>
  <c r="Z230" i="34"/>
  <c r="C230" i="34" s="1"/>
  <c r="Z229" i="34"/>
  <c r="C229" i="34" s="1"/>
  <c r="Z228" i="34"/>
  <c r="C228" i="34" s="1"/>
  <c r="Z226" i="34"/>
  <c r="C226" i="34" s="1"/>
  <c r="Z225" i="34"/>
  <c r="C225" i="34" s="1"/>
  <c r="Z224" i="34"/>
  <c r="C224" i="34" s="1"/>
  <c r="Z223" i="34"/>
  <c r="C223" i="34" s="1"/>
  <c r="Z222" i="34"/>
  <c r="C222" i="34" s="1"/>
  <c r="Z221" i="34"/>
  <c r="C221" i="34" s="1"/>
  <c r="Z220" i="34"/>
  <c r="C220" i="34" s="1"/>
  <c r="Z219" i="34"/>
  <c r="C219" i="34" s="1"/>
  <c r="Z218" i="34"/>
  <c r="C218" i="34" s="1"/>
  <c r="Z217" i="34"/>
  <c r="C217" i="34" s="1"/>
  <c r="Z216" i="34"/>
  <c r="C216" i="34" s="1"/>
  <c r="Z215" i="34"/>
  <c r="C215" i="34" s="1"/>
  <c r="Z214" i="34"/>
  <c r="C214" i="34" s="1"/>
  <c r="Z213" i="34"/>
  <c r="C213" i="34" s="1"/>
  <c r="Z212" i="34"/>
  <c r="C212" i="34" s="1"/>
  <c r="Z211" i="34"/>
  <c r="C211" i="34" s="1"/>
  <c r="Z210" i="34"/>
  <c r="C210" i="34" s="1"/>
  <c r="Z209" i="34"/>
  <c r="C209" i="34" s="1"/>
  <c r="Z208" i="34"/>
  <c r="C208" i="34" s="1"/>
  <c r="Z207" i="34"/>
  <c r="C207" i="34" s="1"/>
  <c r="Z205" i="34"/>
  <c r="C205" i="34" s="1"/>
  <c r="Z204" i="34"/>
  <c r="C204" i="34" s="1"/>
  <c r="Z203" i="34"/>
  <c r="C203" i="34" s="1"/>
  <c r="Z202" i="34"/>
  <c r="C202" i="34" s="1"/>
  <c r="Z201" i="34"/>
  <c r="C201" i="34" s="1"/>
  <c r="Z200" i="34"/>
  <c r="C200" i="34" s="1"/>
  <c r="Z199" i="34"/>
  <c r="C199" i="34" s="1"/>
  <c r="Z198" i="34"/>
  <c r="C198" i="34" s="1"/>
  <c r="Z197" i="34"/>
  <c r="C197" i="34" s="1"/>
  <c r="Z196" i="34"/>
  <c r="C196" i="34" s="1"/>
  <c r="Z195" i="34"/>
  <c r="C195" i="34" s="1"/>
  <c r="Z194" i="34"/>
  <c r="C194" i="34" s="1"/>
  <c r="Z193" i="34"/>
  <c r="C193" i="34" s="1"/>
  <c r="Z192" i="34"/>
  <c r="C192" i="34" s="1"/>
  <c r="Z191" i="34"/>
  <c r="C191" i="34" s="1"/>
  <c r="Z190" i="34"/>
  <c r="C190" i="34" s="1"/>
  <c r="Z189" i="34"/>
  <c r="C189" i="34" s="1"/>
  <c r="Z188" i="34"/>
  <c r="C188" i="34" s="1"/>
  <c r="Z187" i="34"/>
  <c r="C187" i="34" s="1"/>
  <c r="Z186" i="34"/>
  <c r="C186" i="34" s="1"/>
  <c r="Z185" i="34"/>
  <c r="C185" i="34" s="1"/>
  <c r="Z184" i="34"/>
  <c r="C184" i="34" s="1"/>
  <c r="Z183" i="34"/>
  <c r="C183" i="34" s="1"/>
  <c r="Z182" i="34"/>
  <c r="C182" i="34" s="1"/>
  <c r="Z181" i="34"/>
  <c r="C181" i="34" s="1"/>
  <c r="Z180" i="34"/>
  <c r="C180" i="34" s="1"/>
  <c r="Z179" i="34"/>
  <c r="C179" i="34" s="1"/>
  <c r="Z178" i="34"/>
  <c r="C178" i="34" s="1"/>
  <c r="Z177" i="34"/>
  <c r="C177" i="34" s="1"/>
  <c r="Z176" i="34"/>
  <c r="C176" i="34" s="1"/>
  <c r="Z175" i="34"/>
  <c r="C175" i="34" s="1"/>
  <c r="Z174" i="34"/>
  <c r="C174" i="34" s="1"/>
  <c r="Z173" i="34"/>
  <c r="C173" i="34" s="1"/>
  <c r="Z172" i="34"/>
  <c r="C172" i="34" s="1"/>
  <c r="Z171" i="34"/>
  <c r="C171" i="34" s="1"/>
  <c r="Z170" i="34"/>
  <c r="C170" i="34" s="1"/>
  <c r="Z169" i="34"/>
  <c r="C169" i="34" s="1"/>
  <c r="Z168" i="34"/>
  <c r="C168" i="34" s="1"/>
  <c r="Z167" i="34"/>
  <c r="C167" i="34" s="1"/>
  <c r="Z166" i="34"/>
  <c r="C166" i="34" s="1"/>
  <c r="Z165" i="34"/>
  <c r="C165" i="34" s="1"/>
  <c r="Z164" i="34"/>
  <c r="C164" i="34" s="1"/>
  <c r="Z163" i="34"/>
  <c r="C163" i="34" s="1"/>
  <c r="Z161" i="34"/>
  <c r="C161" i="34" s="1"/>
  <c r="Z160" i="34"/>
  <c r="C160" i="34" s="1"/>
  <c r="L143" i="34" l="1"/>
  <c r="Z143" i="34" s="1"/>
  <c r="L144" i="34"/>
  <c r="L145" i="34"/>
  <c r="Z145" i="34" s="1"/>
  <c r="L146" i="34"/>
  <c r="Z146" i="34" s="1"/>
  <c r="L147" i="34"/>
  <c r="Z147" i="34" s="1"/>
  <c r="C147" i="34" s="1"/>
  <c r="L148" i="34"/>
  <c r="Z148" i="34" s="1"/>
  <c r="L149" i="34"/>
  <c r="L150" i="34"/>
  <c r="Z150" i="34" s="1"/>
  <c r="L151" i="34"/>
  <c r="Z151" i="34" s="1"/>
  <c r="L152" i="34"/>
  <c r="Z152" i="34" s="1"/>
  <c r="L153" i="34"/>
  <c r="Z153" i="34" s="1"/>
  <c r="L154" i="34"/>
  <c r="Z154" i="34" s="1"/>
  <c r="L155" i="34"/>
  <c r="Z155" i="34" s="1"/>
  <c r="L156" i="34"/>
  <c r="Z156" i="34" s="1"/>
  <c r="S132" i="34"/>
  <c r="T125" i="34"/>
  <c r="U125" i="34"/>
  <c r="T126" i="34"/>
  <c r="U126" i="34"/>
  <c r="T127" i="34"/>
  <c r="U127" i="34"/>
  <c r="T128" i="34"/>
  <c r="U128" i="34"/>
  <c r="T129" i="34"/>
  <c r="U129" i="34"/>
  <c r="U124" i="34"/>
  <c r="T124" i="34"/>
  <c r="T113" i="34"/>
  <c r="U113" i="34"/>
  <c r="T114" i="34"/>
  <c r="U114" i="34"/>
  <c r="T115" i="34"/>
  <c r="U115" i="34"/>
  <c r="T116" i="34"/>
  <c r="U116" i="34"/>
  <c r="T117" i="34"/>
  <c r="U117" i="34"/>
  <c r="T118" i="34"/>
  <c r="U118" i="34"/>
  <c r="T119" i="34"/>
  <c r="U119" i="34"/>
  <c r="T120" i="34"/>
  <c r="U120" i="34"/>
  <c r="T121" i="34"/>
  <c r="U121" i="34"/>
  <c r="U112" i="34"/>
  <c r="T112" i="34"/>
  <c r="U111" i="34"/>
  <c r="T111" i="34"/>
  <c r="T109" i="34"/>
  <c r="U109" i="34"/>
  <c r="U108" i="34"/>
  <c r="T108" i="34"/>
  <c r="S125" i="34"/>
  <c r="S126" i="34"/>
  <c r="S127" i="34"/>
  <c r="S128" i="34"/>
  <c r="S129" i="34"/>
  <c r="S124" i="34"/>
  <c r="S113" i="34"/>
  <c r="S114" i="34"/>
  <c r="S115" i="34"/>
  <c r="S116" i="34"/>
  <c r="S117" i="34"/>
  <c r="S118" i="34"/>
  <c r="S119" i="34"/>
  <c r="S120" i="34"/>
  <c r="S121" i="34"/>
  <c r="S112" i="34"/>
  <c r="S111" i="34"/>
  <c r="S109" i="34"/>
  <c r="S108" i="34"/>
  <c r="C122" i="34"/>
  <c r="C123" i="34"/>
  <c r="X132" i="34"/>
  <c r="W132" i="34"/>
  <c r="V132" i="34"/>
  <c r="U132" i="34"/>
  <c r="T132" i="34"/>
  <c r="U106" i="34"/>
  <c r="P106" i="34"/>
  <c r="C150" i="34" l="1"/>
  <c r="C148" i="34"/>
  <c r="C143" i="34"/>
  <c r="Z149" i="34"/>
  <c r="C149" i="34" s="1"/>
  <c r="C156" i="34"/>
  <c r="C155" i="34"/>
  <c r="C154" i="34"/>
  <c r="C153" i="34"/>
  <c r="C152" i="34"/>
  <c r="C151" i="34"/>
  <c r="Z144" i="34"/>
  <c r="C144" i="34" s="1"/>
  <c r="C146" i="34"/>
  <c r="C145" i="34"/>
  <c r="L115" i="34"/>
  <c r="Z115" i="34" s="1"/>
  <c r="L128" i="34"/>
  <c r="Z128" i="34" s="1"/>
  <c r="L119" i="34"/>
  <c r="Z119" i="34" s="1"/>
  <c r="C119" i="34" s="1"/>
  <c r="L106" i="34"/>
  <c r="Z106" i="34" s="1"/>
  <c r="L112" i="34"/>
  <c r="Z112" i="34" s="1"/>
  <c r="L127" i="34"/>
  <c r="L120" i="34"/>
  <c r="L129" i="34"/>
  <c r="L124" i="34"/>
  <c r="L118" i="34"/>
  <c r="L113" i="34"/>
  <c r="L117" i="34"/>
  <c r="L121" i="34"/>
  <c r="L114" i="34"/>
  <c r="L125" i="34"/>
  <c r="L108" i="34"/>
  <c r="L116" i="34"/>
  <c r="L109" i="34"/>
  <c r="L126" i="34"/>
  <c r="L132" i="34"/>
  <c r="L111" i="34"/>
  <c r="Z44" i="34"/>
  <c r="Z43" i="34"/>
  <c r="Z42" i="34"/>
  <c r="Z41" i="34"/>
  <c r="Z33" i="34"/>
  <c r="C33" i="34" s="1"/>
  <c r="Z32" i="34"/>
  <c r="C32" i="34" s="1"/>
  <c r="Z31" i="34"/>
  <c r="C31" i="34" s="1"/>
  <c r="C115" i="34" l="1"/>
  <c r="C128" i="34"/>
  <c r="C106" i="34"/>
  <c r="Z132" i="34"/>
  <c r="C132" i="34" s="1"/>
  <c r="C112" i="34"/>
  <c r="Z118" i="34"/>
  <c r="C118" i="34" s="1"/>
  <c r="Z124" i="34"/>
  <c r="C124" i="34" s="1"/>
  <c r="Z129" i="34"/>
  <c r="C129" i="34" s="1"/>
  <c r="Z125" i="34"/>
  <c r="C125" i="34" s="1"/>
  <c r="Z114" i="34"/>
  <c r="C114" i="34" s="1"/>
  <c r="Z113" i="34"/>
  <c r="C113" i="34" s="1"/>
  <c r="Z111" i="34"/>
  <c r="C111" i="34" s="1"/>
  <c r="Z126" i="34"/>
  <c r="C126" i="34" s="1"/>
  <c r="Z109" i="34"/>
  <c r="C109" i="34" s="1"/>
  <c r="Z120" i="34"/>
  <c r="C120" i="34" s="1"/>
  <c r="Z116" i="34"/>
  <c r="C116" i="34" s="1"/>
  <c r="Z127" i="34"/>
  <c r="C127" i="34" s="1"/>
  <c r="Z117" i="34"/>
  <c r="C117" i="34" s="1"/>
  <c r="Z108" i="34"/>
  <c r="C108" i="34" s="1"/>
  <c r="Z121" i="34"/>
  <c r="C121" i="34" s="1"/>
  <c r="U137" i="34"/>
  <c r="T137" i="34"/>
  <c r="S137" i="34"/>
  <c r="R137" i="34"/>
  <c r="Q137" i="34"/>
  <c r="P137" i="34"/>
  <c r="U136" i="34"/>
  <c r="T136" i="34"/>
  <c r="S136" i="34"/>
  <c r="R136" i="34"/>
  <c r="Q136" i="34"/>
  <c r="P136" i="34"/>
  <c r="Z136" i="34" l="1"/>
  <c r="C136" i="34" s="1"/>
  <c r="Z137" i="34"/>
  <c r="C137" i="34" s="1"/>
  <c r="U102" i="34"/>
  <c r="T102" i="34"/>
  <c r="U101" i="34"/>
  <c r="T101" i="34"/>
  <c r="U100" i="34"/>
  <c r="T100" i="34"/>
  <c r="U99" i="34"/>
  <c r="T99" i="34"/>
  <c r="U98" i="34"/>
  <c r="T98" i="34"/>
  <c r="U97" i="34"/>
  <c r="T97" i="34"/>
  <c r="U96" i="34"/>
  <c r="T96" i="34"/>
  <c r="U93" i="34"/>
  <c r="T93" i="34"/>
  <c r="U92" i="34"/>
  <c r="T92" i="34"/>
  <c r="U91" i="34"/>
  <c r="T91" i="34"/>
  <c r="U90" i="34"/>
  <c r="T90" i="34"/>
  <c r="U89" i="34"/>
  <c r="T89" i="34"/>
  <c r="U88" i="34"/>
  <c r="T88" i="34"/>
  <c r="U87" i="34"/>
  <c r="T87" i="34"/>
  <c r="U86" i="34"/>
  <c r="T86" i="34"/>
  <c r="U85" i="34"/>
  <c r="T85" i="34"/>
  <c r="U84" i="34"/>
  <c r="T84" i="34"/>
  <c r="U83" i="34"/>
  <c r="T83" i="34"/>
  <c r="U82" i="34"/>
  <c r="T82" i="34"/>
  <c r="U79" i="34"/>
  <c r="T79" i="34"/>
  <c r="Q79" i="34"/>
  <c r="P79" i="34"/>
  <c r="U78" i="34"/>
  <c r="T78" i="34"/>
  <c r="Q78" i="34"/>
  <c r="P78" i="34"/>
  <c r="U77" i="34"/>
  <c r="T77" i="34"/>
  <c r="Q77" i="34"/>
  <c r="P77" i="34"/>
  <c r="U76" i="34"/>
  <c r="T76" i="34"/>
  <c r="Q76" i="34"/>
  <c r="P76" i="34"/>
  <c r="U75" i="34"/>
  <c r="T75" i="34"/>
  <c r="Q75" i="34"/>
  <c r="P75" i="34"/>
  <c r="U74" i="34"/>
  <c r="T74" i="34"/>
  <c r="Q74" i="34"/>
  <c r="P74" i="34"/>
  <c r="P68" i="34"/>
  <c r="P69" i="34"/>
  <c r="P70" i="34"/>
  <c r="P71" i="34"/>
  <c r="P72" i="34"/>
  <c r="U72" i="34"/>
  <c r="T72" i="34"/>
  <c r="Q72" i="34"/>
  <c r="U71" i="34"/>
  <c r="T71" i="34"/>
  <c r="Q71" i="34"/>
  <c r="U70" i="34"/>
  <c r="T70" i="34"/>
  <c r="Q70" i="34"/>
  <c r="U69" i="34"/>
  <c r="T69" i="34"/>
  <c r="Q69" i="34"/>
  <c r="U68" i="34"/>
  <c r="T68" i="34"/>
  <c r="Q68" i="34"/>
  <c r="U67" i="34"/>
  <c r="T67" i="34"/>
  <c r="Q67" i="34"/>
  <c r="P67" i="34"/>
  <c r="L84" i="34" l="1"/>
  <c r="Z84" i="34" s="1"/>
  <c r="C84" i="34" s="1"/>
  <c r="L90" i="34"/>
  <c r="Z90" i="34" s="1"/>
  <c r="L98" i="34"/>
  <c r="Z98" i="34" s="1"/>
  <c r="C98" i="34" s="1"/>
  <c r="L93" i="34"/>
  <c r="Z93" i="34" s="1"/>
  <c r="C93" i="34" s="1"/>
  <c r="L101" i="34"/>
  <c r="Z101" i="34" s="1"/>
  <c r="C101" i="34" s="1"/>
  <c r="L83" i="34"/>
  <c r="Z83" i="34" s="1"/>
  <c r="L91" i="34"/>
  <c r="Z91" i="34" s="1"/>
  <c r="C91" i="34" s="1"/>
  <c r="L99" i="34"/>
  <c r="L88" i="34"/>
  <c r="Z88" i="34" s="1"/>
  <c r="C88" i="34" s="1"/>
  <c r="L102" i="34"/>
  <c r="L92" i="34"/>
  <c r="Z92" i="34" s="1"/>
  <c r="C92" i="34" s="1"/>
  <c r="L100" i="34"/>
  <c r="L86" i="34"/>
  <c r="Z86" i="34" s="1"/>
  <c r="L89" i="34"/>
  <c r="Z89" i="34" s="1"/>
  <c r="C89" i="34" s="1"/>
  <c r="L97" i="34"/>
  <c r="L76" i="34"/>
  <c r="Z76" i="34" s="1"/>
  <c r="L79" i="34"/>
  <c r="L82" i="34"/>
  <c r="L96" i="34"/>
  <c r="L85" i="34"/>
  <c r="L87" i="34"/>
  <c r="L74" i="34"/>
  <c r="Z74" i="34" s="1"/>
  <c r="L77" i="34"/>
  <c r="L78" i="34"/>
  <c r="L75" i="34"/>
  <c r="L72" i="34"/>
  <c r="L71" i="34"/>
  <c r="L68" i="34"/>
  <c r="L69" i="34"/>
  <c r="L67" i="34"/>
  <c r="L70" i="34"/>
  <c r="C83" i="34" l="1"/>
  <c r="C90" i="34"/>
  <c r="Z99" i="34"/>
  <c r="C99" i="34" s="1"/>
  <c r="Z97" i="34"/>
  <c r="C97" i="34" s="1"/>
  <c r="Z100" i="34"/>
  <c r="C100" i="34" s="1"/>
  <c r="Z102" i="34"/>
  <c r="C102" i="34" s="1"/>
  <c r="C86" i="34"/>
  <c r="Z79" i="34"/>
  <c r="C79" i="34" s="1"/>
  <c r="C76" i="34"/>
  <c r="Z67" i="34"/>
  <c r="C67" i="34" s="1"/>
  <c r="Z69" i="34"/>
  <c r="C69" i="34" s="1"/>
  <c r="Z70" i="34"/>
  <c r="C70" i="34" s="1"/>
  <c r="Z68" i="34"/>
  <c r="C68" i="34" s="1"/>
  <c r="Z75" i="34"/>
  <c r="C75" i="34" s="1"/>
  <c r="Z78" i="34"/>
  <c r="C78" i="34" s="1"/>
  <c r="Z87" i="34"/>
  <c r="C87" i="34" s="1"/>
  <c r="Z82" i="34"/>
  <c r="C82" i="34" s="1"/>
  <c r="Z85" i="34"/>
  <c r="C85" i="34" s="1"/>
  <c r="Z71" i="34"/>
  <c r="C71" i="34" s="1"/>
  <c r="Z72" i="34"/>
  <c r="C72" i="34" s="1"/>
  <c r="Z77" i="34"/>
  <c r="C77" i="34" s="1"/>
  <c r="Z96" i="34"/>
  <c r="C96" i="34" s="1"/>
  <c r="R63" i="34" l="1"/>
  <c r="Q63" i="34"/>
  <c r="R62" i="34"/>
  <c r="Q62" i="34"/>
  <c r="R61" i="34"/>
  <c r="Q61" i="34"/>
  <c r="R60" i="34"/>
  <c r="Q60" i="34"/>
  <c r="R59" i="34"/>
  <c r="Q59" i="34"/>
  <c r="R58" i="34"/>
  <c r="Q58" i="34"/>
  <c r="R57" i="34"/>
  <c r="Q57" i="34"/>
  <c r="R56" i="34"/>
  <c r="Q56" i="34"/>
  <c r="R55" i="34"/>
  <c r="Q55" i="34"/>
  <c r="Q38" i="3"/>
  <c r="S38" i="3" s="1"/>
  <c r="Q39" i="3"/>
  <c r="S39" i="3" s="1"/>
  <c r="Q37" i="3"/>
  <c r="S37" i="3" s="1"/>
  <c r="Q12" i="3"/>
  <c r="S12" i="3" s="1"/>
  <c r="Q13" i="3"/>
  <c r="S13" i="3" s="1"/>
  <c r="Q14" i="3"/>
  <c r="S14" i="3" s="1"/>
  <c r="Q11" i="3"/>
  <c r="S11" i="3" s="1"/>
  <c r="Q4" i="3"/>
  <c r="S4" i="3" s="1"/>
  <c r="Q5" i="3"/>
  <c r="S5" i="3" s="1"/>
  <c r="Q6" i="3"/>
  <c r="S6" i="3" s="1"/>
  <c r="Q7" i="3"/>
  <c r="S7" i="3" s="1"/>
  <c r="Q3" i="3"/>
  <c r="S3" i="3" s="1"/>
  <c r="L35" i="34"/>
  <c r="Z35" i="34" s="1"/>
  <c r="L36" i="34"/>
  <c r="Z36" i="34" s="1"/>
  <c r="L37" i="34"/>
  <c r="Z37" i="34" s="1"/>
  <c r="L38" i="34"/>
  <c r="Z38" i="34" s="1"/>
  <c r="L39" i="34"/>
  <c r="Z39" i="34" s="1"/>
  <c r="C42" i="34"/>
  <c r="C44" i="34"/>
  <c r="L22" i="34"/>
  <c r="Z22" i="34" s="1"/>
  <c r="C22" i="34" s="1"/>
  <c r="L21" i="34"/>
  <c r="Z21" i="34" s="1"/>
  <c r="L20" i="34"/>
  <c r="Z20" i="34" s="1"/>
  <c r="L19" i="34"/>
  <c r="Z19" i="34" s="1"/>
  <c r="K10" i="35"/>
  <c r="I6" i="33"/>
  <c r="J6" i="33"/>
  <c r="I7" i="33"/>
  <c r="J7" i="33"/>
  <c r="I8" i="33"/>
  <c r="J8" i="33"/>
  <c r="I9" i="33"/>
  <c r="J9" i="33"/>
  <c r="J5" i="33"/>
  <c r="I5" i="33"/>
  <c r="G6" i="33"/>
  <c r="H6" i="33"/>
  <c r="G7" i="33"/>
  <c r="H7" i="33"/>
  <c r="G8" i="33"/>
  <c r="H8" i="33"/>
  <c r="G9" i="33"/>
  <c r="H9" i="33"/>
  <c r="H5" i="33"/>
  <c r="G5" i="33"/>
  <c r="R45" i="27"/>
  <c r="T45" i="27" s="1"/>
  <c r="D79" i="27"/>
  <c r="R79" i="27" s="1"/>
  <c r="R55" i="27"/>
  <c r="T55" i="27" s="1"/>
  <c r="R54" i="27"/>
  <c r="T54" i="27" s="1"/>
  <c r="R53" i="27"/>
  <c r="T53" i="27" s="1"/>
  <c r="R32" i="27"/>
  <c r="T32" i="27" s="1"/>
  <c r="R31" i="27"/>
  <c r="T31" i="27" s="1"/>
  <c r="I30" i="27"/>
  <c r="H30" i="27"/>
  <c r="D66" i="27"/>
  <c r="R66" i="27" s="1"/>
  <c r="T66" i="27" s="1"/>
  <c r="J11" i="32"/>
  <c r="L62" i="34" l="1"/>
  <c r="Z62" i="34" s="1"/>
  <c r="L60" i="34"/>
  <c r="Z60" i="34" s="1"/>
  <c r="C60" i="34" s="1"/>
  <c r="L57" i="34"/>
  <c r="Z57" i="34" s="1"/>
  <c r="C57" i="34" s="1"/>
  <c r="C7" i="33"/>
  <c r="Q7" i="33" s="1"/>
  <c r="S7" i="33" s="1"/>
  <c r="L55" i="34"/>
  <c r="Z55" i="34" s="1"/>
  <c r="L63" i="34"/>
  <c r="Z63" i="34" s="1"/>
  <c r="C63" i="34" s="1"/>
  <c r="L58" i="34"/>
  <c r="L59" i="34"/>
  <c r="L56" i="34"/>
  <c r="L61" i="34"/>
  <c r="C9" i="33"/>
  <c r="Q9" i="33" s="1"/>
  <c r="S9" i="33" s="1"/>
  <c r="C39" i="34"/>
  <c r="C43" i="34"/>
  <c r="C41" i="34"/>
  <c r="C38" i="34"/>
  <c r="C37" i="34"/>
  <c r="C36" i="34"/>
  <c r="C35" i="34"/>
  <c r="C19" i="34"/>
  <c r="C21" i="34"/>
  <c r="C20" i="34"/>
  <c r="Y10" i="35"/>
  <c r="B10" i="35" s="1"/>
  <c r="C8" i="33"/>
  <c r="Q8" i="33" s="1"/>
  <c r="S8" i="33" s="1"/>
  <c r="C6" i="33"/>
  <c r="Q6" i="33" s="1"/>
  <c r="S6" i="33" s="1"/>
  <c r="C5" i="33"/>
  <c r="Q5" i="33" s="1"/>
  <c r="T79" i="27"/>
  <c r="R30" i="27"/>
  <c r="T30" i="27" s="1"/>
  <c r="D64" i="27"/>
  <c r="R64" i="27" s="1"/>
  <c r="C62" i="34" l="1"/>
  <c r="C55" i="34"/>
  <c r="Z61" i="34"/>
  <c r="C61" i="34" s="1"/>
  <c r="Z56" i="34"/>
  <c r="C56" i="34" s="1"/>
  <c r="Z59" i="34"/>
  <c r="C59" i="34" s="1"/>
  <c r="Z58" i="34"/>
  <c r="C58" i="34" s="1"/>
  <c r="S5" i="33"/>
  <c r="T64" i="27"/>
  <c r="N96" i="27"/>
  <c r="M96" i="27"/>
  <c r="K96" i="27"/>
  <c r="L96" i="27"/>
  <c r="E9" i="32" l="1"/>
  <c r="L7" i="32"/>
  <c r="K7" i="32"/>
  <c r="E7" i="32" l="1"/>
  <c r="S7" i="32" s="1"/>
  <c r="U7" i="32" s="1"/>
  <c r="S9" i="32"/>
  <c r="U9" i="32" s="1"/>
  <c r="J13" i="32" l="1"/>
  <c r="E15" i="32" l="1"/>
  <c r="L13" i="32"/>
  <c r="K13" i="32"/>
  <c r="L11" i="32"/>
  <c r="K11" i="32"/>
  <c r="E11" i="32" s="1"/>
  <c r="S11" i="32" s="1"/>
  <c r="U11" i="32" s="1"/>
  <c r="E13" i="32" l="1"/>
  <c r="S13" i="32" s="1"/>
  <c r="U13" i="32" s="1"/>
  <c r="S15" i="32"/>
  <c r="U15" i="32" s="1"/>
  <c r="N35" i="3" l="1"/>
  <c r="M35" i="3"/>
  <c r="L35" i="3"/>
  <c r="K35" i="3"/>
  <c r="J35" i="3"/>
  <c r="I35" i="3"/>
  <c r="O25" i="3"/>
  <c r="N25" i="3"/>
  <c r="M25" i="3"/>
  <c r="L25" i="3"/>
  <c r="K25" i="3"/>
  <c r="J25" i="3"/>
  <c r="Q25" i="3" l="1"/>
  <c r="S25" i="3" s="1"/>
  <c r="Q35" i="3"/>
  <c r="S35" i="3" s="1"/>
  <c r="E51" i="20"/>
  <c r="E50" i="20"/>
  <c r="S50" i="20" s="1"/>
  <c r="U50" i="20" s="1"/>
  <c r="E49" i="20"/>
  <c r="E48" i="20"/>
  <c r="S48" i="20" s="1"/>
  <c r="U48" i="20" s="1"/>
  <c r="E47" i="20"/>
  <c r="S47" i="20" s="1"/>
  <c r="U47" i="20" s="1"/>
  <c r="E46" i="20"/>
  <c r="S46" i="20" s="1"/>
  <c r="U46" i="20" s="1"/>
  <c r="E45" i="20"/>
  <c r="E44" i="20"/>
  <c r="E42" i="20"/>
  <c r="S42" i="20" s="1"/>
  <c r="E43" i="20"/>
  <c r="S43" i="20" s="1"/>
  <c r="E41" i="20"/>
  <c r="S51" i="20" l="1"/>
  <c r="U51" i="20" s="1"/>
  <c r="S49" i="20"/>
  <c r="U49" i="20" s="1"/>
  <c r="S45" i="20"/>
  <c r="U45" i="20" s="1"/>
  <c r="S44" i="20"/>
  <c r="U44" i="20" s="1"/>
  <c r="S41" i="20"/>
  <c r="U41" i="20" s="1"/>
  <c r="U42" i="20"/>
  <c r="U43" i="20"/>
  <c r="M50" i="7" l="1"/>
  <c r="L50" i="7"/>
  <c r="M37" i="7"/>
  <c r="L37" i="7"/>
  <c r="D50" i="7" l="1"/>
  <c r="R50" i="7" s="1"/>
  <c r="T50" i="7" s="1"/>
  <c r="D37" i="7"/>
  <c r="R37" i="7" s="1"/>
  <c r="T37" i="7" s="1"/>
  <c r="S29" i="13" l="1"/>
  <c r="R29" i="13"/>
  <c r="Q29" i="13"/>
  <c r="P29" i="13"/>
  <c r="O29" i="13"/>
  <c r="N29" i="13"/>
  <c r="M29" i="13"/>
  <c r="L29" i="13"/>
  <c r="K29" i="13"/>
  <c r="J29" i="13"/>
  <c r="I29" i="13"/>
  <c r="H29" i="13"/>
  <c r="I18" i="3"/>
  <c r="I19" i="3"/>
  <c r="N19" i="3"/>
  <c r="D29" i="13" l="1"/>
  <c r="D15" i="26"/>
  <c r="R15" i="26" s="1"/>
  <c r="D16" i="26"/>
  <c r="R16" i="26" s="1"/>
  <c r="D14" i="26"/>
  <c r="T29" i="13" l="1"/>
  <c r="V29" i="13" s="1"/>
  <c r="T16" i="26"/>
  <c r="T15" i="26"/>
  <c r="R14" i="26"/>
  <c r="T14" i="26" s="1"/>
  <c r="D19" i="30"/>
  <c r="T15" i="30"/>
  <c r="T14" i="30"/>
  <c r="R19" i="30" l="1"/>
  <c r="T19" i="30" s="1"/>
  <c r="T12" i="30"/>
  <c r="T13" i="30"/>
  <c r="T17" i="30"/>
  <c r="T16" i="30"/>
  <c r="T8" i="30"/>
  <c r="T6" i="30"/>
  <c r="T10" i="30"/>
  <c r="T11" i="30"/>
  <c r="T9" i="30"/>
  <c r="T7" i="30"/>
  <c r="T5" i="30"/>
  <c r="T4" i="30"/>
  <c r="D89" i="27" l="1"/>
  <c r="R89" i="27" s="1"/>
  <c r="T89" i="27" s="1"/>
  <c r="D90" i="27"/>
  <c r="R90" i="27" s="1"/>
  <c r="T90" i="27" s="1"/>
  <c r="D91" i="27"/>
  <c r="R91" i="27" s="1"/>
  <c r="D92" i="27"/>
  <c r="R92" i="27" s="1"/>
  <c r="D93" i="27"/>
  <c r="R93" i="27" s="1"/>
  <c r="T93" i="27" s="1"/>
  <c r="D88" i="27"/>
  <c r="T91" i="27" l="1"/>
  <c r="T92" i="27"/>
  <c r="R88" i="27"/>
  <c r="T88" i="27" s="1"/>
  <c r="K33" i="25" l="1"/>
  <c r="L33" i="25"/>
  <c r="M33" i="25"/>
  <c r="P33" i="25"/>
  <c r="O33" i="25"/>
  <c r="N33" i="25"/>
  <c r="D33" i="25" l="1"/>
  <c r="R33" i="25" s="1"/>
  <c r="T33" i="25" s="1"/>
  <c r="T107" i="27"/>
  <c r="R38" i="27"/>
  <c r="T38" i="27" s="1"/>
  <c r="R39" i="27"/>
  <c r="T39" i="27" s="1"/>
  <c r="R40" i="27"/>
  <c r="T40" i="27" s="1"/>
  <c r="R41" i="27"/>
  <c r="T41" i="27" s="1"/>
  <c r="R42" i="27"/>
  <c r="T42" i="27" s="1"/>
  <c r="R43" i="27"/>
  <c r="T43" i="27" s="1"/>
  <c r="R44" i="27"/>
  <c r="T44" i="27" s="1"/>
  <c r="R46" i="27"/>
  <c r="T46" i="27" s="1"/>
  <c r="R47" i="27"/>
  <c r="T47" i="27" s="1"/>
  <c r="R48" i="27"/>
  <c r="T48" i="27" s="1"/>
  <c r="R62" i="27"/>
  <c r="T62" i="27" s="1"/>
  <c r="R61" i="27"/>
  <c r="T61" i="27" s="1"/>
  <c r="R67" i="27"/>
  <c r="T67" i="27" s="1"/>
  <c r="R68" i="27"/>
  <c r="T68" i="27" s="1"/>
  <c r="R69" i="27"/>
  <c r="T69" i="27" s="1"/>
  <c r="R70" i="27"/>
  <c r="T70" i="27" s="1"/>
  <c r="R71" i="27"/>
  <c r="T71" i="27" s="1"/>
  <c r="R72" i="27"/>
  <c r="T72" i="27" s="1"/>
  <c r="R101" i="27"/>
  <c r="T101" i="27" s="1"/>
  <c r="I96" i="27"/>
  <c r="J96" i="27"/>
  <c r="D96" i="27" l="1"/>
  <c r="R96" i="27" l="1"/>
  <c r="T96" i="27" s="1"/>
  <c r="D98" i="27"/>
  <c r="R98" i="27" l="1"/>
  <c r="T98" i="27" s="1"/>
  <c r="D80" i="27"/>
  <c r="D81" i="27"/>
  <c r="D82" i="27"/>
  <c r="D83" i="27"/>
  <c r="D84" i="27"/>
  <c r="D85" i="27"/>
  <c r="D86" i="27"/>
  <c r="D97" i="27"/>
  <c r="R85" i="27" l="1"/>
  <c r="T85" i="27" s="1"/>
  <c r="R81" i="27"/>
  <c r="T81" i="27" s="1"/>
  <c r="R84" i="27"/>
  <c r="T84" i="27" s="1"/>
  <c r="R97" i="27"/>
  <c r="T97" i="27" s="1"/>
  <c r="R83" i="27"/>
  <c r="T83" i="27" s="1"/>
  <c r="R86" i="27"/>
  <c r="T86" i="27" s="1"/>
  <c r="R82" i="27"/>
  <c r="T82" i="27" s="1"/>
  <c r="R80" i="27"/>
  <c r="T80" i="27" s="1"/>
  <c r="I24" i="24" l="1"/>
  <c r="D78" i="27"/>
  <c r="R78" i="27" l="1"/>
  <c r="T78" i="27" s="1"/>
  <c r="R24" i="24"/>
  <c r="T24" i="24" s="1"/>
  <c r="M103" i="7"/>
  <c r="L103" i="7"/>
  <c r="L104" i="7"/>
  <c r="M104" i="7"/>
  <c r="L105" i="7"/>
  <c r="M105" i="7"/>
  <c r="L106" i="7"/>
  <c r="M106" i="7"/>
  <c r="L107" i="7"/>
  <c r="D107" i="7" s="1"/>
  <c r="M107" i="7"/>
  <c r="D106" i="7" l="1"/>
  <c r="R106" i="7" s="1"/>
  <c r="T106" i="7" s="1"/>
  <c r="D104" i="7"/>
  <c r="R104" i="7" s="1"/>
  <c r="T104" i="7" s="1"/>
  <c r="D103" i="7"/>
  <c r="R103" i="7" s="1"/>
  <c r="T103" i="7" s="1"/>
  <c r="D105" i="7"/>
  <c r="R105" i="7" s="1"/>
  <c r="T105" i="7" s="1"/>
  <c r="R107" i="7"/>
  <c r="T107" i="7" s="1"/>
  <c r="D65" i="27"/>
  <c r="R65" i="27" l="1"/>
  <c r="T65" i="27" s="1"/>
  <c r="D75" i="27"/>
  <c r="R24" i="27"/>
  <c r="T24" i="27" s="1"/>
  <c r="R23" i="27"/>
  <c r="T23" i="27" s="1"/>
  <c r="I22" i="27"/>
  <c r="H22" i="27"/>
  <c r="R16" i="27"/>
  <c r="T16" i="27" s="1"/>
  <c r="R15" i="27"/>
  <c r="T15" i="27" s="1"/>
  <c r="I14" i="27"/>
  <c r="H14" i="27"/>
  <c r="R8" i="27"/>
  <c r="T8" i="27" s="1"/>
  <c r="R7" i="27"/>
  <c r="T7" i="27" s="1"/>
  <c r="I6" i="27"/>
  <c r="H6" i="27"/>
  <c r="R75" i="27" l="1"/>
  <c r="T75" i="27" s="1"/>
  <c r="R14" i="27"/>
  <c r="T14" i="27" s="1"/>
  <c r="R22" i="27"/>
  <c r="T22" i="27" s="1"/>
  <c r="R6" i="27"/>
  <c r="T6" i="27" s="1"/>
  <c r="D88" i="7" l="1"/>
  <c r="D10" i="26"/>
  <c r="R10" i="26" s="1"/>
  <c r="D6" i="26"/>
  <c r="D7" i="26"/>
  <c r="D8" i="26"/>
  <c r="R8" i="26" s="1"/>
  <c r="T8" i="26" s="1"/>
  <c r="D5" i="26"/>
  <c r="R5" i="26" s="1"/>
  <c r="D19" i="13"/>
  <c r="T19" i="13" s="1"/>
  <c r="D17" i="13"/>
  <c r="T17" i="13" s="1"/>
  <c r="D16" i="13"/>
  <c r="T16" i="13" s="1"/>
  <c r="D15" i="13"/>
  <c r="T15" i="13" s="1"/>
  <c r="D14" i="13"/>
  <c r="T14" i="13" s="1"/>
  <c r="D13" i="13"/>
  <c r="T13" i="13" s="1"/>
  <c r="D10" i="13"/>
  <c r="T10" i="13" s="1"/>
  <c r="D9" i="13"/>
  <c r="T9" i="13" s="1"/>
  <c r="D7" i="13"/>
  <c r="T7" i="13" s="1"/>
  <c r="D4" i="10"/>
  <c r="D5" i="10"/>
  <c r="R5" i="10" s="1"/>
  <c r="D3" i="10"/>
  <c r="E6" i="6"/>
  <c r="R4" i="10"/>
  <c r="T4" i="10" l="1"/>
  <c r="T5" i="10"/>
  <c r="R3" i="10"/>
  <c r="T3" i="10" s="1"/>
  <c r="R88" i="7"/>
  <c r="T88" i="7" s="1"/>
  <c r="R7" i="26"/>
  <c r="T7" i="26" s="1"/>
  <c r="T5" i="26"/>
  <c r="T10" i="26"/>
  <c r="R6" i="26"/>
  <c r="T6" i="26" s="1"/>
  <c r="S6" i="6"/>
  <c r="U6" i="6" s="1"/>
  <c r="E11" i="6"/>
  <c r="S11" i="6" l="1"/>
  <c r="U11" i="6" s="1"/>
  <c r="I31" i="20"/>
  <c r="E31" i="20" s="1"/>
  <c r="I30" i="20"/>
  <c r="E30" i="20" s="1"/>
  <c r="I29" i="20"/>
  <c r="E29" i="20" s="1"/>
  <c r="I28" i="20"/>
  <c r="E28" i="20" s="1"/>
  <c r="I27" i="20"/>
  <c r="E27" i="20" s="1"/>
  <c r="I34" i="20"/>
  <c r="E34" i="20" s="1"/>
  <c r="H58" i="7"/>
  <c r="L24" i="3" l="1"/>
  <c r="H45" i="6" l="1"/>
  <c r="K23" i="25" l="1"/>
  <c r="K8" i="25" l="1"/>
  <c r="R96" i="16" l="1"/>
  <c r="T96" i="16" s="1"/>
  <c r="R97" i="16"/>
  <c r="T97" i="16" s="1"/>
  <c r="R98" i="16"/>
  <c r="T98" i="16" s="1"/>
  <c r="R99" i="16"/>
  <c r="T99" i="16" s="1"/>
  <c r="R100" i="16"/>
  <c r="T100" i="16" s="1"/>
  <c r="R101" i="16"/>
  <c r="T101" i="16" s="1"/>
  <c r="R102" i="16"/>
  <c r="T102" i="16" s="1"/>
  <c r="R103" i="16"/>
  <c r="T103" i="16" s="1"/>
  <c r="R95" i="16"/>
  <c r="T95" i="16" s="1"/>
  <c r="M12" i="26"/>
  <c r="I12" i="26"/>
  <c r="J12" i="26"/>
  <c r="K12" i="26"/>
  <c r="L12" i="26"/>
  <c r="H12" i="26"/>
  <c r="D12" i="26" l="1"/>
  <c r="K24" i="25"/>
  <c r="L24" i="25"/>
  <c r="M24" i="25"/>
  <c r="K25" i="25"/>
  <c r="L25" i="25"/>
  <c r="M25" i="25"/>
  <c r="K26" i="25"/>
  <c r="L26" i="25"/>
  <c r="M26" i="25"/>
  <c r="K27" i="25"/>
  <c r="L27" i="25"/>
  <c r="M27" i="25"/>
  <c r="K28" i="25"/>
  <c r="L28" i="25"/>
  <c r="M28" i="25"/>
  <c r="K11" i="25"/>
  <c r="L11" i="25"/>
  <c r="M11" i="25"/>
  <c r="K12" i="25"/>
  <c r="L12" i="25"/>
  <c r="M12" i="25"/>
  <c r="K13" i="25"/>
  <c r="L13" i="25"/>
  <c r="M13" i="25"/>
  <c r="K14" i="25"/>
  <c r="L14" i="25"/>
  <c r="M14" i="25"/>
  <c r="K15" i="25"/>
  <c r="L15" i="25"/>
  <c r="M15" i="25"/>
  <c r="K16" i="25"/>
  <c r="L16" i="25"/>
  <c r="M16" i="25"/>
  <c r="K17" i="25"/>
  <c r="L17" i="25"/>
  <c r="M17" i="25"/>
  <c r="K18" i="25"/>
  <c r="L18" i="25"/>
  <c r="M18" i="25"/>
  <c r="K19" i="25"/>
  <c r="L19" i="25"/>
  <c r="M19" i="25"/>
  <c r="K20" i="25"/>
  <c r="L20" i="25"/>
  <c r="M20" i="25"/>
  <c r="M23" i="25"/>
  <c r="L23" i="25"/>
  <c r="M10" i="25"/>
  <c r="L10" i="25"/>
  <c r="K10" i="25"/>
  <c r="D10" i="25" s="1"/>
  <c r="L8" i="25"/>
  <c r="M8" i="25"/>
  <c r="M7" i="25"/>
  <c r="L7" i="25"/>
  <c r="K7" i="25"/>
  <c r="D8" i="25"/>
  <c r="I15" i="6"/>
  <c r="H5" i="25"/>
  <c r="M5" i="25"/>
  <c r="D5" i="25" s="1"/>
  <c r="D19" i="25" l="1"/>
  <c r="R19" i="25" s="1"/>
  <c r="T19" i="25" s="1"/>
  <c r="D15" i="25"/>
  <c r="R15" i="25" s="1"/>
  <c r="D11" i="25"/>
  <c r="R11" i="25" s="1"/>
  <c r="D23" i="25"/>
  <c r="D13" i="25"/>
  <c r="R13" i="25" s="1"/>
  <c r="T13" i="25" s="1"/>
  <c r="D27" i="25"/>
  <c r="D17" i="25"/>
  <c r="R17" i="25" s="1"/>
  <c r="D16" i="25"/>
  <c r="D12" i="25"/>
  <c r="R12" i="25" s="1"/>
  <c r="T12" i="25" s="1"/>
  <c r="D26" i="25"/>
  <c r="D25" i="25"/>
  <c r="R25" i="25" s="1"/>
  <c r="D18" i="25"/>
  <c r="R18" i="25" s="1"/>
  <c r="D14" i="25"/>
  <c r="D28" i="25"/>
  <c r="R8" i="25"/>
  <c r="T8" i="25" s="1"/>
  <c r="D7" i="25"/>
  <c r="R12" i="26"/>
  <c r="T12" i="26" s="1"/>
  <c r="D24" i="25"/>
  <c r="R24" i="25" s="1"/>
  <c r="T24" i="25" s="1"/>
  <c r="D20" i="25"/>
  <c r="R20" i="25" s="1"/>
  <c r="T20" i="25" s="1"/>
  <c r="R16" i="25"/>
  <c r="T16" i="25" s="1"/>
  <c r="R14" i="25"/>
  <c r="T14" i="25" s="1"/>
  <c r="R26" i="25"/>
  <c r="T26" i="25" s="1"/>
  <c r="R28" i="25"/>
  <c r="T28" i="25" s="1"/>
  <c r="R27" i="25"/>
  <c r="T27" i="25" s="1"/>
  <c r="T15" i="25"/>
  <c r="T11" i="25"/>
  <c r="R10" i="25"/>
  <c r="T10" i="25" s="1"/>
  <c r="R23" i="25"/>
  <c r="T23" i="25" s="1"/>
  <c r="R5" i="25"/>
  <c r="T5" i="25" s="1"/>
  <c r="V19" i="13"/>
  <c r="H22" i="13"/>
  <c r="I22" i="13"/>
  <c r="H23" i="13"/>
  <c r="I23" i="13"/>
  <c r="H24" i="13"/>
  <c r="I24" i="13"/>
  <c r="H25" i="13"/>
  <c r="I25" i="13"/>
  <c r="H26" i="13"/>
  <c r="I26" i="13"/>
  <c r="H27" i="13"/>
  <c r="I27" i="13"/>
  <c r="I21" i="13"/>
  <c r="H21" i="13"/>
  <c r="T25" i="25" l="1"/>
  <c r="D22" i="13"/>
  <c r="T22" i="13" s="1"/>
  <c r="T17" i="25"/>
  <c r="T18" i="25"/>
  <c r="D26" i="13"/>
  <c r="T26" i="13" s="1"/>
  <c r="V26" i="13" s="1"/>
  <c r="D24" i="13"/>
  <c r="T24" i="13" s="1"/>
  <c r="V24" i="13" s="1"/>
  <c r="D27" i="13"/>
  <c r="T27" i="13" s="1"/>
  <c r="D25" i="13"/>
  <c r="T25" i="13" s="1"/>
  <c r="D23" i="13"/>
  <c r="T23" i="13" s="1"/>
  <c r="D21" i="13"/>
  <c r="T21" i="13" s="1"/>
  <c r="R7" i="25"/>
  <c r="T7" i="25" s="1"/>
  <c r="V22" i="13"/>
  <c r="V21" i="13" l="1"/>
  <c r="V25" i="13"/>
  <c r="V23" i="13"/>
  <c r="V27" i="13"/>
  <c r="J10" i="7"/>
  <c r="I10" i="7"/>
  <c r="J9" i="7"/>
  <c r="I9" i="7"/>
  <c r="J8" i="7"/>
  <c r="I8" i="7"/>
  <c r="H20" i="24" l="1"/>
  <c r="I20" i="24"/>
  <c r="H21" i="24"/>
  <c r="I21" i="24"/>
  <c r="H22" i="24"/>
  <c r="I22" i="24"/>
  <c r="H23" i="24"/>
  <c r="I23" i="24"/>
  <c r="R23" i="24" l="1"/>
  <c r="T23" i="24" s="1"/>
  <c r="R22" i="24"/>
  <c r="T22" i="24" s="1"/>
  <c r="R20" i="24"/>
  <c r="T20" i="24" s="1"/>
  <c r="R21" i="24"/>
  <c r="T21" i="24" s="1"/>
  <c r="R16" i="24"/>
  <c r="T16" i="24" s="1"/>
  <c r="R15" i="24"/>
  <c r="T15" i="24" s="1"/>
  <c r="J12" i="7"/>
  <c r="I12" i="7"/>
  <c r="R5" i="24" l="1"/>
  <c r="T5" i="24" s="1"/>
  <c r="S37" i="24"/>
  <c r="R37" i="24"/>
  <c r="T37" i="24" s="1"/>
  <c r="K27" i="24"/>
  <c r="J27" i="24"/>
  <c r="I27" i="24"/>
  <c r="H27" i="24"/>
  <c r="R27" i="24" s="1"/>
  <c r="I19" i="24"/>
  <c r="H19" i="24"/>
  <c r="R14" i="24"/>
  <c r="T14" i="24" s="1"/>
  <c r="R11" i="24"/>
  <c r="T11" i="24" s="1"/>
  <c r="R10" i="24"/>
  <c r="T10" i="24" s="1"/>
  <c r="R9" i="24"/>
  <c r="T9" i="24" s="1"/>
  <c r="R19" i="24" l="1"/>
  <c r="T19" i="24" s="1"/>
  <c r="T27" i="24"/>
  <c r="AO43" i="7" l="1"/>
  <c r="AQ43" i="7" s="1"/>
  <c r="AO42" i="7"/>
  <c r="AQ42" i="7" s="1"/>
  <c r="AO41" i="7"/>
  <c r="AQ41" i="7" s="1"/>
  <c r="AO39" i="7"/>
  <c r="AQ39" i="7" s="1"/>
  <c r="AO38" i="7"/>
  <c r="AQ38" i="7" s="1"/>
  <c r="AO37" i="7"/>
  <c r="AQ37" i="7" s="1"/>
  <c r="AO36" i="7"/>
  <c r="AQ36" i="7" s="1"/>
  <c r="AO35" i="7"/>
  <c r="AQ35" i="7" s="1"/>
  <c r="AO34" i="7"/>
  <c r="AQ34" i="7" s="1"/>
  <c r="AO33" i="7"/>
  <c r="AQ33" i="7" s="1"/>
  <c r="H60" i="7" l="1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59" i="7"/>
  <c r="J79" i="7"/>
  <c r="I79" i="7"/>
  <c r="J78" i="7"/>
  <c r="I78" i="7"/>
  <c r="J77" i="7"/>
  <c r="I77" i="7"/>
  <c r="AO26" i="7" l="1"/>
  <c r="AQ26" i="7" s="1"/>
  <c r="AO25" i="7"/>
  <c r="AQ25" i="7" s="1"/>
  <c r="AF24" i="7"/>
  <c r="AE24" i="7"/>
  <c r="AO18" i="7"/>
  <c r="AQ18" i="7" s="1"/>
  <c r="AO17" i="7"/>
  <c r="AQ17" i="7" s="1"/>
  <c r="AF16" i="7"/>
  <c r="AE16" i="7"/>
  <c r="AE5" i="7"/>
  <c r="AF5" i="7"/>
  <c r="AO7" i="7"/>
  <c r="AQ7" i="7" s="1"/>
  <c r="AO6" i="7"/>
  <c r="AQ6" i="7" s="1"/>
  <c r="AO24" i="7" l="1"/>
  <c r="AQ24" i="7" s="1"/>
  <c r="AO5" i="7"/>
  <c r="AQ5" i="7" s="1"/>
  <c r="AO16" i="7"/>
  <c r="AQ16" i="7" s="1"/>
  <c r="M41" i="7" l="1"/>
  <c r="L41" i="7"/>
  <c r="M51" i="7"/>
  <c r="L51" i="7"/>
  <c r="M49" i="7"/>
  <c r="L49" i="7"/>
  <c r="I23" i="20" l="1"/>
  <c r="E23" i="20" s="1"/>
  <c r="I24" i="20"/>
  <c r="E24" i="20" s="1"/>
  <c r="I25" i="20"/>
  <c r="E25" i="20" s="1"/>
  <c r="I26" i="20"/>
  <c r="E26" i="20" s="1"/>
  <c r="I22" i="20"/>
  <c r="E22" i="20" s="1"/>
  <c r="I14" i="22"/>
  <c r="H14" i="22"/>
  <c r="R14" i="22" s="1"/>
  <c r="M6" i="22"/>
  <c r="L6" i="22"/>
  <c r="K6" i="22"/>
  <c r="J6" i="22"/>
  <c r="I6" i="22"/>
  <c r="H6" i="22"/>
  <c r="T14" i="22" l="1"/>
  <c r="R6" i="22"/>
  <c r="T6" i="22" s="1"/>
  <c r="V9" i="13" l="1"/>
  <c r="G6" i="20" l="1"/>
  <c r="E6" i="20" s="1"/>
  <c r="G15" i="20"/>
  <c r="E15" i="20" s="1"/>
  <c r="G14" i="20"/>
  <c r="E14" i="20" s="1"/>
  <c r="G13" i="20"/>
  <c r="E13" i="20" s="1"/>
  <c r="G12" i="20"/>
  <c r="E12" i="20" s="1"/>
  <c r="G11" i="20"/>
  <c r="E11" i="20" s="1"/>
  <c r="G10" i="20"/>
  <c r="E10" i="20" s="1"/>
  <c r="G9" i="20"/>
  <c r="E9" i="20" s="1"/>
  <c r="G8" i="20"/>
  <c r="E8" i="20" s="1"/>
  <c r="G7" i="20"/>
  <c r="E7" i="20" s="1"/>
  <c r="V16" i="9" l="1"/>
  <c r="V17" i="9" s="1"/>
  <c r="V18" i="9" s="1"/>
  <c r="V19" i="9" s="1"/>
  <c r="W7" i="9"/>
  <c r="W8" i="9" s="1"/>
  <c r="W9" i="9" s="1"/>
  <c r="W10" i="9" s="1"/>
  <c r="W11" i="9" s="1"/>
  <c r="W12" i="9" s="1"/>
  <c r="W13" i="9" s="1"/>
  <c r="W14" i="9" s="1"/>
  <c r="W15" i="9" s="1"/>
  <c r="W16" i="9" s="1"/>
  <c r="W17" i="9" s="1"/>
  <c r="W18" i="9" s="1"/>
  <c r="V20" i="9" l="1"/>
  <c r="P19" i="9"/>
  <c r="O19" i="9"/>
  <c r="O18" i="9"/>
  <c r="P18" i="9"/>
  <c r="W19" i="9"/>
  <c r="R18" i="9"/>
  <c r="Q18" i="9"/>
  <c r="S18" i="9" l="1"/>
  <c r="U18" i="9" s="1"/>
  <c r="W20" i="9"/>
  <c r="O20" i="9"/>
  <c r="V21" i="9"/>
  <c r="V22" i="9" s="1"/>
  <c r="P20" i="9"/>
  <c r="R19" i="9"/>
  <c r="Q19" i="9"/>
  <c r="P22" i="9" l="1"/>
  <c r="V23" i="9"/>
  <c r="O22" i="9"/>
  <c r="R20" i="9"/>
  <c r="W21" i="9"/>
  <c r="W22" i="9" s="1"/>
  <c r="Q20" i="9"/>
  <c r="P21" i="9"/>
  <c r="O21" i="9"/>
  <c r="S19" i="9"/>
  <c r="U19" i="9" s="1"/>
  <c r="R17" i="9"/>
  <c r="Q17" i="9"/>
  <c r="P17" i="9"/>
  <c r="O17" i="9"/>
  <c r="R16" i="9"/>
  <c r="Q16" i="9"/>
  <c r="P16" i="9"/>
  <c r="O16" i="9"/>
  <c r="R15" i="9"/>
  <c r="Q15" i="9"/>
  <c r="P15" i="9"/>
  <c r="O15" i="9"/>
  <c r="R14" i="9"/>
  <c r="Q14" i="9"/>
  <c r="P14" i="9"/>
  <c r="O14" i="9"/>
  <c r="R13" i="9"/>
  <c r="Q13" i="9"/>
  <c r="P13" i="9"/>
  <c r="O13" i="9"/>
  <c r="R12" i="9"/>
  <c r="Q12" i="9"/>
  <c r="P12" i="9"/>
  <c r="O12" i="9"/>
  <c r="V24" i="9" l="1"/>
  <c r="P23" i="9"/>
  <c r="O23" i="9"/>
  <c r="S20" i="9"/>
  <c r="U20" i="9" s="1"/>
  <c r="W23" i="9"/>
  <c r="R22" i="9"/>
  <c r="Q22" i="9"/>
  <c r="R21" i="9"/>
  <c r="Q21" i="9"/>
  <c r="S12" i="9"/>
  <c r="U12" i="9" s="1"/>
  <c r="S14" i="9"/>
  <c r="U14" i="9" s="1"/>
  <c r="S16" i="9"/>
  <c r="U16" i="9" s="1"/>
  <c r="S17" i="9"/>
  <c r="U17" i="9" s="1"/>
  <c r="S15" i="9"/>
  <c r="U15" i="9" s="1"/>
  <c r="S13" i="9"/>
  <c r="U13" i="9" s="1"/>
  <c r="S55" i="9"/>
  <c r="U55" i="9" s="1"/>
  <c r="O10" i="9"/>
  <c r="P10" i="9"/>
  <c r="Q10" i="9"/>
  <c r="R10" i="9"/>
  <c r="R11" i="9"/>
  <c r="Q11" i="9"/>
  <c r="P11" i="9"/>
  <c r="O11" i="9"/>
  <c r="R9" i="9"/>
  <c r="Q9" i="9"/>
  <c r="P9" i="9"/>
  <c r="O9" i="9"/>
  <c r="V25" i="9" l="1"/>
  <c r="O24" i="9"/>
  <c r="P24" i="9"/>
  <c r="S21" i="9"/>
  <c r="U21" i="9" s="1"/>
  <c r="S22" i="9"/>
  <c r="U22" i="9" s="1"/>
  <c r="R23" i="9"/>
  <c r="W24" i="9"/>
  <c r="Q23" i="9"/>
  <c r="S9" i="9"/>
  <c r="U9" i="9" s="1"/>
  <c r="S10" i="9"/>
  <c r="U10" i="9" s="1"/>
  <c r="S11" i="9"/>
  <c r="U11" i="9" s="1"/>
  <c r="G52" i="9"/>
  <c r="M52" i="9"/>
  <c r="R33" i="16"/>
  <c r="T33" i="16" s="1"/>
  <c r="R32" i="16"/>
  <c r="T32" i="16" s="1"/>
  <c r="R31" i="16"/>
  <c r="T31" i="16" s="1"/>
  <c r="R29" i="16"/>
  <c r="T29" i="16" s="1"/>
  <c r="R36" i="16"/>
  <c r="T36" i="16" s="1"/>
  <c r="R37" i="16"/>
  <c r="T37" i="16" s="1"/>
  <c r="R38" i="16"/>
  <c r="T38" i="16" s="1"/>
  <c r="R39" i="16"/>
  <c r="T39" i="16" s="1"/>
  <c r="R91" i="16"/>
  <c r="T91" i="16" s="1"/>
  <c r="R92" i="16"/>
  <c r="T92" i="16" s="1"/>
  <c r="R93" i="16"/>
  <c r="T93" i="16" s="1"/>
  <c r="R63" i="16"/>
  <c r="T63" i="16" s="1"/>
  <c r="R64" i="16"/>
  <c r="T64" i="16" s="1"/>
  <c r="R65" i="16"/>
  <c r="T65" i="16" s="1"/>
  <c r="R66" i="16"/>
  <c r="T66" i="16" s="1"/>
  <c r="R67" i="16"/>
  <c r="T67" i="16" s="1"/>
  <c r="R68" i="16"/>
  <c r="T68" i="16" s="1"/>
  <c r="R69" i="16"/>
  <c r="T69" i="16" s="1"/>
  <c r="R70" i="16"/>
  <c r="T70" i="16" s="1"/>
  <c r="R71" i="16"/>
  <c r="T71" i="16" s="1"/>
  <c r="R72" i="16"/>
  <c r="T72" i="16" s="1"/>
  <c r="R74" i="16"/>
  <c r="T74" i="16" s="1"/>
  <c r="R75" i="16"/>
  <c r="T75" i="16" s="1"/>
  <c r="R76" i="16"/>
  <c r="T76" i="16" s="1"/>
  <c r="R77" i="16"/>
  <c r="T77" i="16" s="1"/>
  <c r="R78" i="16"/>
  <c r="T78" i="16" s="1"/>
  <c r="R79" i="16"/>
  <c r="T79" i="16" s="1"/>
  <c r="R80" i="16"/>
  <c r="T80" i="16" s="1"/>
  <c r="R81" i="16"/>
  <c r="T81" i="16" s="1"/>
  <c r="R82" i="16"/>
  <c r="T82" i="16" s="1"/>
  <c r="R83" i="16"/>
  <c r="T83" i="16" s="1"/>
  <c r="R84" i="16"/>
  <c r="T84" i="16" s="1"/>
  <c r="R85" i="16"/>
  <c r="T85" i="16" s="1"/>
  <c r="R86" i="16"/>
  <c r="T86" i="16" s="1"/>
  <c r="R87" i="16"/>
  <c r="T87" i="16" s="1"/>
  <c r="R88" i="16"/>
  <c r="T88" i="16" s="1"/>
  <c r="R89" i="16"/>
  <c r="T89" i="16" s="1"/>
  <c r="R90" i="16"/>
  <c r="T90" i="16" s="1"/>
  <c r="R40" i="16"/>
  <c r="T40" i="16" s="1"/>
  <c r="R41" i="16"/>
  <c r="T41" i="16" s="1"/>
  <c r="R42" i="16"/>
  <c r="T42" i="16" s="1"/>
  <c r="R43" i="16"/>
  <c r="T43" i="16" s="1"/>
  <c r="R44" i="16"/>
  <c r="T44" i="16" s="1"/>
  <c r="R45" i="16"/>
  <c r="T45" i="16" s="1"/>
  <c r="R46" i="16"/>
  <c r="T46" i="16" s="1"/>
  <c r="R47" i="16"/>
  <c r="T47" i="16" s="1"/>
  <c r="R48" i="16"/>
  <c r="T48" i="16" s="1"/>
  <c r="R49" i="16"/>
  <c r="T49" i="16" s="1"/>
  <c r="R50" i="16"/>
  <c r="T50" i="16" s="1"/>
  <c r="R51" i="16"/>
  <c r="T51" i="16" s="1"/>
  <c r="R52" i="16"/>
  <c r="T52" i="16" s="1"/>
  <c r="R53" i="16"/>
  <c r="T53" i="16" s="1"/>
  <c r="R54" i="16"/>
  <c r="T54" i="16" s="1"/>
  <c r="R55" i="16"/>
  <c r="T55" i="16" s="1"/>
  <c r="R56" i="16"/>
  <c r="T56" i="16" s="1"/>
  <c r="R57" i="16"/>
  <c r="T57" i="16" s="1"/>
  <c r="R58" i="16"/>
  <c r="T58" i="16" s="1"/>
  <c r="R59" i="16"/>
  <c r="T59" i="16" s="1"/>
  <c r="R60" i="16"/>
  <c r="T60" i="16" s="1"/>
  <c r="R61" i="16"/>
  <c r="T61" i="16" s="1"/>
  <c r="R62" i="16"/>
  <c r="T62" i="16" s="1"/>
  <c r="R27" i="16"/>
  <c r="T27" i="16" s="1"/>
  <c r="R26" i="16"/>
  <c r="T26" i="16" s="1"/>
  <c r="R25" i="16"/>
  <c r="T25" i="16" s="1"/>
  <c r="R24" i="16"/>
  <c r="T24" i="16" s="1"/>
  <c r="R23" i="16"/>
  <c r="T23" i="16" s="1"/>
  <c r="R22" i="16"/>
  <c r="T22" i="16" s="1"/>
  <c r="R21" i="16"/>
  <c r="T21" i="16" s="1"/>
  <c r="R20" i="16"/>
  <c r="T20" i="16" s="1"/>
  <c r="R11" i="16"/>
  <c r="T11" i="16" s="1"/>
  <c r="R12" i="16"/>
  <c r="T12" i="16" s="1"/>
  <c r="R14" i="16"/>
  <c r="T14" i="16" s="1"/>
  <c r="R5" i="16"/>
  <c r="T5" i="16" s="1"/>
  <c r="R6" i="16"/>
  <c r="T6" i="16" s="1"/>
  <c r="R7" i="16"/>
  <c r="T7" i="16" s="1"/>
  <c r="R8" i="16"/>
  <c r="T8" i="16" s="1"/>
  <c r="R9" i="16"/>
  <c r="T9" i="16" s="1"/>
  <c r="R10" i="16"/>
  <c r="T10" i="16" s="1"/>
  <c r="V26" i="9" l="1"/>
  <c r="O25" i="9"/>
  <c r="P25" i="9"/>
  <c r="S23" i="9"/>
  <c r="U23" i="9" s="1"/>
  <c r="W25" i="9"/>
  <c r="R24" i="9"/>
  <c r="Q24" i="9"/>
  <c r="S52" i="9"/>
  <c r="U52" i="9" s="1"/>
  <c r="N15" i="6"/>
  <c r="E15" i="6" s="1"/>
  <c r="S15" i="6" l="1"/>
  <c r="U15" i="6" s="1"/>
  <c r="V27" i="9"/>
  <c r="P26" i="9"/>
  <c r="O26" i="9"/>
  <c r="W26" i="9"/>
  <c r="R25" i="9"/>
  <c r="Q25" i="9"/>
  <c r="S24" i="9"/>
  <c r="U24" i="9" s="1"/>
  <c r="V28" i="9" l="1"/>
  <c r="P27" i="9"/>
  <c r="O27" i="9"/>
  <c r="S25" i="9"/>
  <c r="U25" i="9" s="1"/>
  <c r="W27" i="9"/>
  <c r="R26" i="9"/>
  <c r="Q26" i="9"/>
  <c r="V14" i="13"/>
  <c r="V15" i="13"/>
  <c r="V16" i="13"/>
  <c r="V17" i="13"/>
  <c r="V7" i="13"/>
  <c r="M48" i="7"/>
  <c r="L48" i="7"/>
  <c r="M47" i="7"/>
  <c r="L47" i="7"/>
  <c r="M46" i="7"/>
  <c r="L46" i="7"/>
  <c r="M45" i="7"/>
  <c r="L45" i="7"/>
  <c r="L38" i="7"/>
  <c r="M38" i="7"/>
  <c r="L39" i="7"/>
  <c r="M39" i="7"/>
  <c r="L40" i="7"/>
  <c r="M40" i="7"/>
  <c r="L42" i="7"/>
  <c r="M42" i="7"/>
  <c r="L31" i="7"/>
  <c r="M36" i="7"/>
  <c r="L36" i="7"/>
  <c r="M35" i="7"/>
  <c r="L35" i="7"/>
  <c r="M34" i="7"/>
  <c r="L34" i="7"/>
  <c r="M33" i="7"/>
  <c r="L33" i="7"/>
  <c r="M32" i="7"/>
  <c r="L32" i="7"/>
  <c r="M31" i="7"/>
  <c r="H24" i="7"/>
  <c r="I24" i="7"/>
  <c r="L24" i="7"/>
  <c r="M24" i="7"/>
  <c r="H25" i="7"/>
  <c r="I25" i="7"/>
  <c r="L25" i="7"/>
  <c r="M25" i="7"/>
  <c r="H26" i="7"/>
  <c r="I26" i="7"/>
  <c r="L26" i="7"/>
  <c r="M26" i="7"/>
  <c r="H27" i="7"/>
  <c r="I27" i="7"/>
  <c r="L27" i="7"/>
  <c r="M27" i="7"/>
  <c r="H28" i="7"/>
  <c r="I28" i="7"/>
  <c r="L28" i="7"/>
  <c r="M28" i="7"/>
  <c r="H17" i="7"/>
  <c r="I17" i="7"/>
  <c r="L17" i="7"/>
  <c r="M17" i="7"/>
  <c r="H18" i="7"/>
  <c r="I18" i="7"/>
  <c r="L18" i="7"/>
  <c r="M18" i="7"/>
  <c r="H19" i="7"/>
  <c r="I19" i="7"/>
  <c r="L19" i="7"/>
  <c r="M19" i="7"/>
  <c r="H20" i="7"/>
  <c r="I20" i="7"/>
  <c r="L20" i="7"/>
  <c r="M20" i="7"/>
  <c r="H21" i="7"/>
  <c r="I21" i="7"/>
  <c r="L21" i="7"/>
  <c r="M21" i="7"/>
  <c r="I11" i="7"/>
  <c r="J11" i="7"/>
  <c r="I13" i="7"/>
  <c r="J13" i="7"/>
  <c r="I5" i="7"/>
  <c r="J5" i="7"/>
  <c r="I6" i="7"/>
  <c r="J6" i="7"/>
  <c r="N34" i="3"/>
  <c r="M34" i="3"/>
  <c r="L34" i="3"/>
  <c r="K34" i="3"/>
  <c r="J34" i="3"/>
  <c r="I34" i="3"/>
  <c r="Q34" i="3" s="1"/>
  <c r="S34" i="3" s="1"/>
  <c r="N33" i="3"/>
  <c r="M33" i="3"/>
  <c r="L33" i="3"/>
  <c r="K33" i="3"/>
  <c r="J33" i="3"/>
  <c r="I33" i="3"/>
  <c r="L31" i="3"/>
  <c r="K31" i="3"/>
  <c r="J31" i="3"/>
  <c r="I31" i="3"/>
  <c r="Q31" i="3" s="1"/>
  <c r="S31" i="3" s="1"/>
  <c r="L30" i="3"/>
  <c r="K30" i="3"/>
  <c r="J30" i="3"/>
  <c r="I30" i="3"/>
  <c r="L29" i="3"/>
  <c r="K29" i="3"/>
  <c r="J29" i="3"/>
  <c r="I29" i="3"/>
  <c r="L28" i="3"/>
  <c r="K28" i="3"/>
  <c r="J28" i="3"/>
  <c r="I28" i="3"/>
  <c r="Q28" i="3" s="1"/>
  <c r="S28" i="3" s="1"/>
  <c r="O24" i="3"/>
  <c r="N24" i="3"/>
  <c r="M24" i="3"/>
  <c r="K24" i="3"/>
  <c r="J24" i="3"/>
  <c r="O23" i="3"/>
  <c r="N23" i="3"/>
  <c r="M23" i="3"/>
  <c r="L23" i="3"/>
  <c r="K23" i="3"/>
  <c r="J23" i="3"/>
  <c r="O22" i="3"/>
  <c r="N22" i="3"/>
  <c r="M22" i="3"/>
  <c r="L22" i="3"/>
  <c r="K22" i="3"/>
  <c r="J22" i="3"/>
  <c r="O21" i="3"/>
  <c r="N21" i="3"/>
  <c r="M21" i="3"/>
  <c r="L21" i="3"/>
  <c r="K21" i="3"/>
  <c r="J21" i="3"/>
  <c r="P19" i="3"/>
  <c r="O19" i="3"/>
  <c r="M19" i="3"/>
  <c r="L19" i="3"/>
  <c r="K19" i="3"/>
  <c r="J19" i="3"/>
  <c r="P18" i="3"/>
  <c r="O18" i="3"/>
  <c r="N18" i="3"/>
  <c r="M18" i="3"/>
  <c r="L18" i="3"/>
  <c r="K18" i="3"/>
  <c r="J18" i="3"/>
  <c r="Q18" i="3" s="1"/>
  <c r="S18" i="3" s="1"/>
  <c r="P17" i="3"/>
  <c r="O17" i="3"/>
  <c r="N17" i="3"/>
  <c r="M17" i="3"/>
  <c r="L17" i="3"/>
  <c r="K17" i="3"/>
  <c r="J17" i="3"/>
  <c r="I17" i="3"/>
  <c r="P16" i="3"/>
  <c r="O16" i="3"/>
  <c r="N16" i="3"/>
  <c r="M16" i="3"/>
  <c r="L16" i="3"/>
  <c r="K16" i="3"/>
  <c r="J16" i="3"/>
  <c r="I16" i="3"/>
  <c r="V13" i="13"/>
  <c r="V10" i="13"/>
  <c r="P6" i="9"/>
  <c r="O6" i="9"/>
  <c r="O7" i="9"/>
  <c r="P7" i="9"/>
  <c r="Q7" i="9"/>
  <c r="R7" i="9"/>
  <c r="O8" i="9"/>
  <c r="P8" i="9"/>
  <c r="Q8" i="9"/>
  <c r="R8" i="9"/>
  <c r="R6" i="9"/>
  <c r="Q6" i="9"/>
  <c r="M4" i="9"/>
  <c r="G4" i="9"/>
  <c r="M23" i="7"/>
  <c r="L23" i="7"/>
  <c r="I23" i="7"/>
  <c r="H23" i="7"/>
  <c r="M16" i="7"/>
  <c r="L16" i="7"/>
  <c r="I16" i="7"/>
  <c r="H16" i="7"/>
  <c r="J7" i="7"/>
  <c r="I7" i="7"/>
  <c r="Q17" i="3" l="1"/>
  <c r="S17" i="3" s="1"/>
  <c r="Q19" i="3"/>
  <c r="S19" i="3" s="1"/>
  <c r="Q24" i="3"/>
  <c r="S24" i="3" s="1"/>
  <c r="Q22" i="3"/>
  <c r="S22" i="3" s="1"/>
  <c r="Q29" i="3"/>
  <c r="S29" i="3" s="1"/>
  <c r="Q33" i="3"/>
  <c r="S33" i="3" s="1"/>
  <c r="Q21" i="3"/>
  <c r="S21" i="3" s="1"/>
  <c r="Q23" i="3"/>
  <c r="S23" i="3" s="1"/>
  <c r="Q16" i="3"/>
  <c r="S16" i="3" s="1"/>
  <c r="Q30" i="3"/>
  <c r="S30" i="3" s="1"/>
  <c r="D16" i="7"/>
  <c r="D21" i="7"/>
  <c r="D20" i="7"/>
  <c r="D19" i="7"/>
  <c r="D18" i="7"/>
  <c r="D17" i="7"/>
  <c r="V29" i="9"/>
  <c r="P28" i="9"/>
  <c r="O28" i="9"/>
  <c r="S26" i="9"/>
  <c r="U26" i="9" s="1"/>
  <c r="W28" i="9"/>
  <c r="R27" i="9"/>
  <c r="Q27" i="9"/>
  <c r="S6" i="9"/>
  <c r="U6" i="9" s="1"/>
  <c r="S7" i="9"/>
  <c r="U7" i="9" s="1"/>
  <c r="S8" i="9"/>
  <c r="U8" i="9" s="1"/>
  <c r="S4" i="9"/>
  <c r="U4" i="9" s="1"/>
  <c r="R20" i="7" l="1"/>
  <c r="T20" i="7" s="1"/>
  <c r="R21" i="7"/>
  <c r="T21" i="7" s="1"/>
  <c r="R16" i="7"/>
  <c r="T16" i="7" s="1"/>
  <c r="R17" i="7"/>
  <c r="T17" i="7" s="1"/>
  <c r="R18" i="7"/>
  <c r="T18" i="7" s="1"/>
  <c r="R19" i="7"/>
  <c r="T19" i="7" s="1"/>
  <c r="V30" i="9"/>
  <c r="O29" i="9"/>
  <c r="P29" i="9"/>
  <c r="W29" i="9"/>
  <c r="R28" i="9"/>
  <c r="Q28" i="9"/>
  <c r="S28" i="9" s="1"/>
  <c r="U28" i="9" s="1"/>
  <c r="S27" i="9"/>
  <c r="U27" i="9" s="1"/>
  <c r="O30" i="9" l="1"/>
  <c r="P30" i="9"/>
  <c r="V31" i="9"/>
  <c r="W30" i="9"/>
  <c r="R29" i="9"/>
  <c r="Q29" i="9"/>
  <c r="S29" i="9" s="1"/>
  <c r="U29" i="9" s="1"/>
  <c r="V32" i="9" l="1"/>
  <c r="O31" i="9"/>
  <c r="P31" i="9"/>
  <c r="W31" i="9"/>
  <c r="R30" i="9"/>
  <c r="Q30" i="9"/>
  <c r="G47" i="9"/>
  <c r="S47" i="9" s="1"/>
  <c r="U47" i="9" s="1"/>
  <c r="M47" i="9"/>
  <c r="P32" i="9" l="1"/>
  <c r="V33" i="9"/>
  <c r="O32" i="9"/>
  <c r="W32" i="9"/>
  <c r="R31" i="9"/>
  <c r="Q31" i="9"/>
  <c r="S30" i="9"/>
  <c r="U30" i="9" s="1"/>
  <c r="V34" i="9" l="1"/>
  <c r="P33" i="9"/>
  <c r="O33" i="9"/>
  <c r="S31" i="9"/>
  <c r="U31" i="9" s="1"/>
  <c r="W33" i="9"/>
  <c r="R32" i="9"/>
  <c r="Q32" i="9"/>
  <c r="S32" i="9" s="1"/>
  <c r="U32" i="9" s="1"/>
  <c r="V35" i="9" l="1"/>
  <c r="O34" i="9"/>
  <c r="P34" i="9"/>
  <c r="W34" i="9"/>
  <c r="Q33" i="9"/>
  <c r="R33" i="9"/>
  <c r="S33" i="9" l="1"/>
  <c r="U33" i="9" s="1"/>
  <c r="V36" i="9"/>
  <c r="O35" i="9"/>
  <c r="P35" i="9"/>
  <c r="W35" i="9"/>
  <c r="Q34" i="9"/>
  <c r="R34" i="9"/>
  <c r="V37" i="9" l="1"/>
  <c r="O36" i="9"/>
  <c r="P36" i="9"/>
  <c r="S34" i="9"/>
  <c r="U34" i="9" s="1"/>
  <c r="W36" i="9"/>
  <c r="R35" i="9"/>
  <c r="Q35" i="9"/>
  <c r="S35" i="9" l="1"/>
  <c r="U35" i="9" s="1"/>
  <c r="V38" i="9"/>
  <c r="P37" i="9"/>
  <c r="O37" i="9"/>
  <c r="R36" i="9"/>
  <c r="Q36" i="9"/>
  <c r="S36" i="9" s="1"/>
  <c r="U36" i="9" s="1"/>
  <c r="W37" i="9"/>
  <c r="O38" i="9" l="1"/>
  <c r="P38" i="9"/>
  <c r="V39" i="9"/>
  <c r="W38" i="9"/>
  <c r="R37" i="9"/>
  <c r="Q37" i="9"/>
  <c r="V40" i="9" l="1"/>
  <c r="P39" i="9"/>
  <c r="O39" i="9"/>
  <c r="W39" i="9"/>
  <c r="W40" i="9" s="1"/>
  <c r="R38" i="9"/>
  <c r="Q38" i="9"/>
  <c r="S37" i="9"/>
  <c r="U37" i="9" s="1"/>
  <c r="V41" i="9" l="1"/>
  <c r="P40" i="9"/>
  <c r="O40" i="9"/>
  <c r="W41" i="9"/>
  <c r="Q40" i="9"/>
  <c r="R40" i="9"/>
  <c r="R39" i="9"/>
  <c r="Q39" i="9"/>
  <c r="S38" i="9"/>
  <c r="U38" i="9" s="1"/>
  <c r="S39" i="9" l="1"/>
  <c r="U39" i="9" s="1"/>
  <c r="W42" i="9"/>
  <c r="R41" i="9"/>
  <c r="Q41" i="9"/>
  <c r="S40" i="9"/>
  <c r="U40" i="9" s="1"/>
  <c r="V42" i="9"/>
  <c r="O41" i="9"/>
  <c r="P41" i="9"/>
  <c r="O42" i="9" l="1"/>
  <c r="P42" i="9"/>
  <c r="V43" i="9"/>
  <c r="Q42" i="9"/>
  <c r="W43" i="9"/>
  <c r="R42" i="9"/>
  <c r="S41" i="9"/>
  <c r="U41" i="9" s="1"/>
  <c r="P43" i="9" l="1"/>
  <c r="O43" i="9"/>
  <c r="V44" i="9"/>
  <c r="Q43" i="9"/>
  <c r="W44" i="9"/>
  <c r="R43" i="9"/>
  <c r="S42" i="9"/>
  <c r="U42" i="9" s="1"/>
  <c r="P44" i="9" l="1"/>
  <c r="O44" i="9"/>
  <c r="V45" i="9"/>
  <c r="S43" i="9"/>
  <c r="U43" i="9" s="1"/>
  <c r="Q44" i="9"/>
  <c r="W45" i="9"/>
  <c r="R44" i="9"/>
  <c r="Q45" i="9" l="1"/>
  <c r="R45" i="9"/>
  <c r="O45" i="9"/>
  <c r="P45" i="9"/>
  <c r="S44" i="9"/>
  <c r="U44" i="9" s="1"/>
  <c r="S45" i="9" l="1"/>
  <c r="U45" i="9" s="1"/>
  <c r="D12" i="7"/>
  <c r="D13" i="7"/>
  <c r="D10" i="7"/>
  <c r="D8" i="7"/>
  <c r="D5" i="7"/>
  <c r="D6" i="7"/>
  <c r="D9" i="7"/>
  <c r="D7" i="7"/>
  <c r="D11" i="7"/>
  <c r="R13" i="7" l="1"/>
  <c r="T13" i="7" s="1"/>
  <c r="R11" i="7"/>
  <c r="T11" i="7" s="1"/>
  <c r="R12" i="7"/>
  <c r="T12" i="7" s="1"/>
  <c r="R10" i="7"/>
  <c r="T10" i="7" s="1"/>
  <c r="R8" i="7"/>
  <c r="T8" i="7" s="1"/>
  <c r="R7" i="7"/>
  <c r="T7" i="7" s="1"/>
  <c r="R6" i="7"/>
  <c r="T6" i="7" s="1"/>
  <c r="R5" i="7"/>
  <c r="T5" i="7" s="1"/>
  <c r="R9" i="7"/>
  <c r="T9" i="7" s="1"/>
  <c r="D51" i="7"/>
  <c r="D48" i="7"/>
  <c r="D45" i="7"/>
  <c r="D49" i="7"/>
  <c r="D46" i="7"/>
  <c r="D47" i="7"/>
  <c r="D53" i="7"/>
  <c r="D84" i="7"/>
  <c r="D64" i="7"/>
  <c r="D73" i="7"/>
  <c r="D74" i="7"/>
  <c r="D59" i="7"/>
  <c r="D69" i="7"/>
  <c r="D66" i="7"/>
  <c r="D63" i="7"/>
  <c r="D79" i="7"/>
  <c r="D77" i="7"/>
  <c r="D82" i="7"/>
  <c r="D55" i="7"/>
  <c r="D67" i="7"/>
  <c r="D61" i="7"/>
  <c r="D70" i="7"/>
  <c r="D72" i="7"/>
  <c r="D60" i="7"/>
  <c r="D62" i="7"/>
  <c r="D71" i="7"/>
  <c r="D58" i="7"/>
  <c r="D65" i="7"/>
  <c r="D68" i="7"/>
  <c r="D78" i="7"/>
  <c r="D25" i="7"/>
  <c r="D23" i="7"/>
  <c r="D24" i="7"/>
  <c r="D26" i="7"/>
  <c r="D28" i="7"/>
  <c r="D27" i="7"/>
  <c r="D40" i="7"/>
  <c r="D33" i="7"/>
  <c r="D34" i="7"/>
  <c r="D31" i="7"/>
  <c r="D38" i="7"/>
  <c r="D41" i="7"/>
  <c r="D42" i="7"/>
  <c r="D35" i="7"/>
  <c r="D36" i="7"/>
  <c r="D39" i="7"/>
  <c r="D32" i="7"/>
  <c r="R46" i="7" l="1"/>
  <c r="T46" i="7" s="1"/>
  <c r="R39" i="7"/>
  <c r="T39" i="7" s="1"/>
  <c r="R41" i="7"/>
  <c r="T41" i="7" s="1"/>
  <c r="R33" i="7"/>
  <c r="T33" i="7" s="1"/>
  <c r="R26" i="7"/>
  <c r="T26" i="7" s="1"/>
  <c r="R78" i="7"/>
  <c r="T78" i="7" s="1"/>
  <c r="R71" i="7"/>
  <c r="T71" i="7" s="1"/>
  <c r="R70" i="7"/>
  <c r="T70" i="7" s="1"/>
  <c r="R82" i="7"/>
  <c r="T82" i="7" s="1"/>
  <c r="R66" i="7"/>
  <c r="T66" i="7" s="1"/>
  <c r="R73" i="7"/>
  <c r="T73" i="7" s="1"/>
  <c r="R47" i="7"/>
  <c r="T47" i="7" s="1"/>
  <c r="R45" i="7"/>
  <c r="T45" i="7" s="1"/>
  <c r="R36" i="7"/>
  <c r="T36" i="7" s="1"/>
  <c r="R38" i="7"/>
  <c r="T38" i="7" s="1"/>
  <c r="R40" i="7"/>
  <c r="T40" i="7" s="1"/>
  <c r="R24" i="7"/>
  <c r="T24" i="7" s="1"/>
  <c r="R68" i="7"/>
  <c r="T68" i="7" s="1"/>
  <c r="R62" i="7"/>
  <c r="T62" i="7" s="1"/>
  <c r="R61" i="7"/>
  <c r="T61" i="7" s="1"/>
  <c r="R77" i="7"/>
  <c r="T77" i="7" s="1"/>
  <c r="R69" i="7"/>
  <c r="T69" i="7" s="1"/>
  <c r="R64" i="7"/>
  <c r="T64" i="7" s="1"/>
  <c r="R48" i="7"/>
  <c r="T48" i="7" s="1"/>
  <c r="R35" i="7"/>
  <c r="T35" i="7" s="1"/>
  <c r="R31" i="7"/>
  <c r="T31" i="7" s="1"/>
  <c r="R27" i="7"/>
  <c r="T27" i="7" s="1"/>
  <c r="R23" i="7"/>
  <c r="T23" i="7" s="1"/>
  <c r="R65" i="7"/>
  <c r="T65" i="7" s="1"/>
  <c r="R60" i="7"/>
  <c r="T60" i="7" s="1"/>
  <c r="R67" i="7"/>
  <c r="T67" i="7" s="1"/>
  <c r="R79" i="7"/>
  <c r="T79" i="7" s="1"/>
  <c r="R59" i="7"/>
  <c r="T59" i="7" s="1"/>
  <c r="R84" i="7"/>
  <c r="T84" i="7" s="1"/>
  <c r="R51" i="7"/>
  <c r="T51" i="7" s="1"/>
  <c r="R32" i="7"/>
  <c r="T32" i="7" s="1"/>
  <c r="R42" i="7"/>
  <c r="T42" i="7" s="1"/>
  <c r="R34" i="7"/>
  <c r="T34" i="7" s="1"/>
  <c r="R28" i="7"/>
  <c r="T28" i="7" s="1"/>
  <c r="R25" i="7"/>
  <c r="T25" i="7" s="1"/>
  <c r="R58" i="7"/>
  <c r="T58" i="7" s="1"/>
  <c r="R72" i="7"/>
  <c r="T72" i="7" s="1"/>
  <c r="R55" i="7"/>
  <c r="T55" i="7" s="1"/>
  <c r="R63" i="7"/>
  <c r="T63" i="7" s="1"/>
  <c r="R74" i="7"/>
  <c r="T74" i="7" s="1"/>
  <c r="R53" i="7"/>
  <c r="T53" i="7" s="1"/>
  <c r="R49" i="7"/>
  <c r="T49" i="7" s="1"/>
  <c r="S6" i="20"/>
  <c r="U6" i="20" s="1"/>
  <c r="S13" i="20"/>
  <c r="U13" i="20" s="1"/>
  <c r="S7" i="20"/>
  <c r="U7" i="20" s="1"/>
  <c r="S12" i="20"/>
  <c r="U12" i="20" s="1"/>
  <c r="S11" i="20"/>
  <c r="U11" i="20" s="1"/>
  <c r="S14" i="20"/>
  <c r="U14" i="20" s="1"/>
  <c r="S10" i="20"/>
  <c r="U10" i="20" s="1"/>
  <c r="S15" i="20"/>
  <c r="U15" i="20" s="1"/>
  <c r="S9" i="20"/>
  <c r="U9" i="20" s="1"/>
  <c r="S8" i="20"/>
  <c r="U8" i="20" s="1"/>
  <c r="S23" i="20"/>
  <c r="U23" i="20" s="1"/>
  <c r="S22" i="20"/>
  <c r="U22" i="20" s="1"/>
  <c r="S31" i="20"/>
  <c r="U31" i="20" s="1"/>
  <c r="S28" i="20"/>
  <c r="U28" i="20" s="1"/>
  <c r="S25" i="20"/>
  <c r="U25" i="20" s="1"/>
  <c r="S24" i="20"/>
  <c r="U24" i="20" s="1"/>
  <c r="S27" i="20"/>
  <c r="U27" i="20" s="1"/>
  <c r="S29" i="20"/>
  <c r="U29" i="20" s="1"/>
  <c r="S30" i="20"/>
  <c r="U30" i="20" s="1"/>
  <c r="S26" i="20"/>
  <c r="U26" i="20" s="1"/>
  <c r="S34" i="20"/>
  <c r="U34" i="20" s="1"/>
</calcChain>
</file>

<file path=xl/sharedStrings.xml><?xml version="1.0" encoding="utf-8"?>
<sst xmlns="http://schemas.openxmlformats.org/spreadsheetml/2006/main" count="6305" uniqueCount="884">
  <si>
    <t>aa</t>
    <phoneticPr fontId="1" type="noConversion"/>
  </si>
  <si>
    <t>00</t>
    <phoneticPr fontId="1" type="noConversion"/>
  </si>
  <si>
    <t>04</t>
    <phoneticPr fontId="1" type="noConversion"/>
  </si>
  <si>
    <t>21</t>
    <phoneticPr fontId="1" type="noConversion"/>
  </si>
  <si>
    <t>01</t>
    <phoneticPr fontId="1" type="noConversion"/>
  </si>
  <si>
    <t>55</t>
    <phoneticPr fontId="1" type="noConversion"/>
  </si>
  <si>
    <t>注释</t>
    <phoneticPr fontId="1" type="noConversion"/>
  </si>
  <si>
    <t>02</t>
    <phoneticPr fontId="1" type="noConversion"/>
  </si>
  <si>
    <t>03</t>
    <phoneticPr fontId="1" type="noConversion"/>
  </si>
  <si>
    <t>05</t>
    <phoneticPr fontId="1" type="noConversion"/>
  </si>
  <si>
    <t>长度</t>
    <phoneticPr fontId="1" type="noConversion"/>
  </si>
  <si>
    <t>命令码</t>
    <phoneticPr fontId="1" type="noConversion"/>
  </si>
  <si>
    <t>E1</t>
    <phoneticPr fontId="1" type="noConversion"/>
  </si>
  <si>
    <t>03</t>
  </si>
  <si>
    <t>01</t>
  </si>
  <si>
    <t>02</t>
  </si>
  <si>
    <t>63</t>
    <phoneticPr fontId="1" type="noConversion"/>
  </si>
  <si>
    <t>12</t>
    <phoneticPr fontId="1" type="noConversion"/>
  </si>
  <si>
    <t>04</t>
  </si>
  <si>
    <t>查询通道1的K值和B值</t>
  </si>
  <si>
    <t>30</t>
    <phoneticPr fontId="1" type="noConversion"/>
  </si>
  <si>
    <t>查询通道2的K值和B值</t>
  </si>
  <si>
    <t>查询通道3的K值和B值</t>
  </si>
  <si>
    <t>00</t>
    <phoneticPr fontId="1" type="noConversion"/>
  </si>
  <si>
    <t>设置通道1的K值和B值</t>
  </si>
  <si>
    <t>设置通道2的K值和B值</t>
  </si>
  <si>
    <t>设置通道3的K值和B值</t>
  </si>
  <si>
    <t>31</t>
    <phoneticPr fontId="1" type="noConversion"/>
  </si>
  <si>
    <t>11</t>
    <phoneticPr fontId="1" type="noConversion"/>
  </si>
  <si>
    <t>K值</t>
    <phoneticPr fontId="1" type="noConversion"/>
  </si>
  <si>
    <t>B值</t>
    <phoneticPr fontId="1" type="noConversion"/>
  </si>
  <si>
    <t>查询指定通道压力的K值和B值，返回8字节数据</t>
    <phoneticPr fontId="1" type="noConversion"/>
  </si>
  <si>
    <t>设置指定通道压力的K值和B值</t>
    <phoneticPr fontId="1" type="noConversion"/>
  </si>
  <si>
    <t>启动指定通道压力监测</t>
    <phoneticPr fontId="1" type="noConversion"/>
  </si>
  <si>
    <t>查询指定通道压力是否在指定范围，不在范围内上报故障</t>
    <phoneticPr fontId="1" type="noConversion"/>
  </si>
  <si>
    <t>建压</t>
    <phoneticPr fontId="1" type="noConversion"/>
  </si>
  <si>
    <t>0B</t>
    <phoneticPr fontId="1" type="noConversion"/>
  </si>
  <si>
    <t>0A</t>
    <phoneticPr fontId="1" type="noConversion"/>
  </si>
  <si>
    <t>最小值</t>
    <phoneticPr fontId="1" type="noConversion"/>
  </si>
  <si>
    <t>最大值</t>
    <phoneticPr fontId="1" type="noConversion"/>
  </si>
  <si>
    <t>压力值自动转换到参数区，单位：0.01KPa</t>
    <phoneticPr fontId="1" type="noConversion"/>
  </si>
  <si>
    <t>监控时间/ms</t>
    <phoneticPr fontId="1" type="noConversion"/>
  </si>
  <si>
    <t>40</t>
    <phoneticPr fontId="1" type="noConversion"/>
  </si>
  <si>
    <t>启动通道2压力监测</t>
  </si>
  <si>
    <t>启动通道3压力监测</t>
  </si>
  <si>
    <t>07</t>
    <phoneticPr fontId="1" type="noConversion"/>
  </si>
  <si>
    <t>查询通道0压力是否在指定范围</t>
    <phoneticPr fontId="1" type="noConversion"/>
  </si>
  <si>
    <t>设置通道0的K值和B值</t>
    <phoneticPr fontId="1" type="noConversion"/>
  </si>
  <si>
    <t>查询通道0的K值和B值</t>
    <phoneticPr fontId="1" type="noConversion"/>
  </si>
  <si>
    <t>查询通道1压力是否在指定范围</t>
  </si>
  <si>
    <t>查询通道2压力是否在指定范围</t>
  </si>
  <si>
    <t>查询通道3压力是否在指定范围</t>
  </si>
  <si>
    <t>09</t>
    <phoneticPr fontId="1" type="noConversion"/>
  </si>
  <si>
    <t>20</t>
    <phoneticPr fontId="1" type="noConversion"/>
  </si>
  <si>
    <t>启动通道2 建压</t>
  </si>
  <si>
    <t>泵控制</t>
    <phoneticPr fontId="1" type="noConversion"/>
  </si>
  <si>
    <t>22</t>
    <phoneticPr fontId="1" type="noConversion"/>
  </si>
  <si>
    <t>关闭所有泵</t>
    <phoneticPr fontId="1" type="noConversion"/>
  </si>
  <si>
    <t>打开所有泵</t>
    <phoneticPr fontId="1" type="noConversion"/>
  </si>
  <si>
    <t>关闭 泵1</t>
    <phoneticPr fontId="1" type="noConversion"/>
  </si>
  <si>
    <t>关闭 泵2</t>
  </si>
  <si>
    <t>打开 泵2</t>
  </si>
  <si>
    <t>关闭 泵3</t>
  </si>
  <si>
    <t>打开 泵3</t>
  </si>
  <si>
    <t>压力控制-&gt;0x63</t>
    <phoneticPr fontId="1" type="noConversion"/>
  </si>
  <si>
    <t>泵-&gt;0x22</t>
    <phoneticPr fontId="1" type="noConversion"/>
  </si>
  <si>
    <t>打开所有阀</t>
    <phoneticPr fontId="1" type="noConversion"/>
  </si>
  <si>
    <t>关闭 阀1</t>
    <phoneticPr fontId="1" type="noConversion"/>
  </si>
  <si>
    <t>打开 阀1</t>
    <phoneticPr fontId="1" type="noConversion"/>
  </si>
  <si>
    <t>01</t>
    <phoneticPr fontId="1" type="noConversion"/>
  </si>
  <si>
    <t>10</t>
    <phoneticPr fontId="1" type="noConversion"/>
  </si>
  <si>
    <t>23</t>
    <phoneticPr fontId="1" type="noConversion"/>
  </si>
  <si>
    <t>步数</t>
    <phoneticPr fontId="1" type="noConversion"/>
  </si>
  <si>
    <t>档速</t>
    <phoneticPr fontId="1" type="noConversion"/>
  </si>
  <si>
    <t>时间</t>
    <phoneticPr fontId="1" type="noConversion"/>
  </si>
  <si>
    <t>锁定</t>
    <phoneticPr fontId="1" type="noConversion"/>
  </si>
  <si>
    <t>时间/10ms</t>
    <phoneticPr fontId="1" type="noConversion"/>
  </si>
  <si>
    <t>起始</t>
    <phoneticPr fontId="1" type="noConversion"/>
  </si>
  <si>
    <t>控制</t>
    <phoneticPr fontId="1" type="noConversion"/>
  </si>
  <si>
    <t>类型</t>
    <phoneticPr fontId="1" type="noConversion"/>
  </si>
  <si>
    <t>通道号</t>
    <phoneticPr fontId="1" type="noConversion"/>
  </si>
  <si>
    <t>校验</t>
    <phoneticPr fontId="1" type="noConversion"/>
  </si>
  <si>
    <t>结束</t>
    <phoneticPr fontId="1" type="noConversion"/>
  </si>
  <si>
    <t>参数(没有就不写)</t>
    <phoneticPr fontId="1" type="noConversion"/>
  </si>
  <si>
    <t>串口黏贴内容</t>
    <phoneticPr fontId="1" type="noConversion"/>
  </si>
  <si>
    <t>00</t>
    <phoneticPr fontId="1" type="noConversion"/>
  </si>
  <si>
    <t>电机组1~x</t>
    <phoneticPr fontId="1" type="noConversion"/>
  </si>
  <si>
    <t>参数(没有就不写)</t>
    <phoneticPr fontId="1" type="noConversion"/>
  </si>
  <si>
    <t>校验</t>
    <phoneticPr fontId="1" type="noConversion"/>
  </si>
  <si>
    <t>结束</t>
    <phoneticPr fontId="1" type="noConversion"/>
  </si>
  <si>
    <t>00</t>
    <phoneticPr fontId="1" type="noConversion"/>
  </si>
  <si>
    <t>23</t>
    <phoneticPr fontId="1" type="noConversion"/>
  </si>
  <si>
    <t>55</t>
    <phoneticPr fontId="1" type="noConversion"/>
  </si>
  <si>
    <t>08</t>
    <phoneticPr fontId="1" type="noConversion"/>
  </si>
  <si>
    <t>时序-&gt;0x41、0x42、0x43</t>
    <phoneticPr fontId="1" type="noConversion"/>
  </si>
  <si>
    <t>时序号</t>
    <phoneticPr fontId="1" type="noConversion"/>
  </si>
  <si>
    <t>命令号</t>
    <phoneticPr fontId="1" type="noConversion"/>
  </si>
  <si>
    <t>帧数</t>
    <phoneticPr fontId="1" type="noConversion"/>
  </si>
  <si>
    <t>41</t>
    <phoneticPr fontId="1" type="noConversion"/>
  </si>
  <si>
    <t>42</t>
    <phoneticPr fontId="1" type="noConversion"/>
  </si>
  <si>
    <t>43</t>
    <phoneticPr fontId="1" type="noConversion"/>
  </si>
  <si>
    <t>命令号</t>
    <phoneticPr fontId="1" type="noConversion"/>
  </si>
  <si>
    <t>帧数</t>
    <phoneticPr fontId="1" type="noConversion"/>
  </si>
  <si>
    <t>包尾</t>
    <phoneticPr fontId="1" type="noConversion"/>
  </si>
  <si>
    <t>启动时序x</t>
    <phoneticPr fontId="1" type="noConversion"/>
  </si>
  <si>
    <t>注释</t>
    <phoneticPr fontId="1" type="noConversion"/>
  </si>
  <si>
    <t>停止时序运行</t>
    <phoneticPr fontId="1" type="noConversion"/>
  </si>
  <si>
    <t>电源电压监测-&gt;E1</t>
    <phoneticPr fontId="1" type="noConversion"/>
  </si>
  <si>
    <t>参数(没有就不写)</t>
    <phoneticPr fontId="1" type="noConversion"/>
  </si>
  <si>
    <t>查询指定通道的电源电压，返回两个字节的电源电压测量值，高位在前低位在后,-&gt;12V电压值</t>
    <phoneticPr fontId="1" type="noConversion"/>
  </si>
  <si>
    <t>查询指定通道的电源电压，返回两个字节的电源电压测量值，高位在前低位在后,-&gt;24V电压值</t>
    <phoneticPr fontId="1" type="noConversion"/>
  </si>
  <si>
    <t>温度控制</t>
    <phoneticPr fontId="1" type="noConversion"/>
  </si>
  <si>
    <t>62</t>
    <phoneticPr fontId="1" type="noConversion"/>
  </si>
  <si>
    <t>状态</t>
    <phoneticPr fontId="1" type="noConversion"/>
  </si>
  <si>
    <t xml:space="preserve">温度控制，状态：0x00—关闭温度控制，0x01—打开温度控制； </t>
    <phoneticPr fontId="1" type="noConversion"/>
  </si>
  <si>
    <t>参数（没有就不填）</t>
    <phoneticPr fontId="1" type="noConversion"/>
  </si>
  <si>
    <t>查询指定通道温度补偿后的温度值，返回2字节温度补偿后的温度值</t>
    <phoneticPr fontId="1" type="noConversion"/>
  </si>
  <si>
    <t>打开 阀4</t>
  </si>
  <si>
    <t>打开 阀5</t>
  </si>
  <si>
    <t>打开 阀7</t>
  </si>
  <si>
    <t>打开 阀8</t>
  </si>
  <si>
    <t>打开 阀9</t>
  </si>
  <si>
    <t>05</t>
  </si>
  <si>
    <t>06</t>
  </si>
  <si>
    <t>07</t>
  </si>
  <si>
    <t>08</t>
  </si>
  <si>
    <t>09</t>
  </si>
  <si>
    <t>打开 阀10</t>
  </si>
  <si>
    <t>打开 阀11</t>
  </si>
  <si>
    <t>打开 阀12</t>
  </si>
  <si>
    <t>打开 阀13</t>
  </si>
  <si>
    <t>打开 阀14</t>
  </si>
  <si>
    <t>打开 阀15</t>
  </si>
  <si>
    <t>打开 阀16</t>
  </si>
  <si>
    <t>打开 阀17</t>
  </si>
  <si>
    <t>打开 阀18</t>
  </si>
  <si>
    <t>打开 阀19</t>
  </si>
  <si>
    <t>打开 阀20</t>
  </si>
  <si>
    <t>打开 阀21</t>
  </si>
  <si>
    <t>打开 阀22</t>
  </si>
  <si>
    <t>打开 阀23</t>
  </si>
  <si>
    <t>打开 阀24</t>
  </si>
  <si>
    <t>打开 阀25</t>
  </si>
  <si>
    <t>打开 阀26</t>
  </si>
  <si>
    <t>打开 阀27</t>
  </si>
  <si>
    <t>打开 阀28</t>
  </si>
  <si>
    <t>打开 阀29</t>
  </si>
  <si>
    <t>打开 阀30</t>
  </si>
  <si>
    <t>打开 阀31</t>
  </si>
  <si>
    <t>打开 阀32</t>
  </si>
  <si>
    <t>打开 阀33</t>
  </si>
  <si>
    <t>打开 阀34</t>
  </si>
  <si>
    <t>打开 阀35</t>
  </si>
  <si>
    <t>打开 阀36</t>
  </si>
  <si>
    <t>打开 阀37</t>
  </si>
  <si>
    <t>打开 阀38</t>
  </si>
  <si>
    <t>打开 阀39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</si>
  <si>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</si>
  <si>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</si>
  <si>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</si>
  <si>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</si>
  <si>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</si>
  <si>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</si>
  <si>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</si>
  <si>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</si>
  <si>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</si>
  <si>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</si>
  <si>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</si>
  <si>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</si>
  <si>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</si>
  <si>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</si>
  <si>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</si>
  <si>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</si>
  <si>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</si>
  <si>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</si>
  <si>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</si>
  <si>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</si>
  <si>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</si>
  <si>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</si>
  <si>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</si>
  <si>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</si>
  <si>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</si>
  <si>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</si>
  <si>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</si>
  <si>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</si>
  <si>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</si>
  <si>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</si>
  <si>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打开 阀40</t>
  </si>
  <si>
    <t>打开 阀42</t>
  </si>
  <si>
    <t>打开 阀43</t>
  </si>
  <si>
    <t>打开 阀44</t>
  </si>
  <si>
    <t>打开 阀45</t>
  </si>
  <si>
    <t>打开 阀46</t>
  </si>
  <si>
    <t>打开 阀47</t>
  </si>
  <si>
    <t>打开 阀48</t>
  </si>
  <si>
    <t>打开 阀49</t>
  </si>
  <si>
    <t>打开 阀50</t>
  </si>
  <si>
    <t>打开 阀51</t>
  </si>
  <si>
    <t>打开 阀52</t>
  </si>
  <si>
    <t>打开 阀53</t>
  </si>
  <si>
    <t>打开 阀54</t>
  </si>
  <si>
    <t>打开 阀55</t>
  </si>
  <si>
    <t>打开 阀56</t>
  </si>
  <si>
    <t>打开 阀57</t>
  </si>
  <si>
    <t>打开 阀58</t>
  </si>
  <si>
    <t>打开 阀59</t>
  </si>
  <si>
    <t>打开 阀60</t>
  </si>
  <si>
    <t>0A</t>
  </si>
  <si>
    <t>0B</t>
  </si>
  <si>
    <t>0C</t>
  </si>
  <si>
    <t>0D</t>
  </si>
  <si>
    <t>0F</t>
  </si>
  <si>
    <t>1A</t>
  </si>
  <si>
    <t>1B</t>
  </si>
  <si>
    <t>1C</t>
  </si>
  <si>
    <t>1D</t>
  </si>
  <si>
    <t>1E</t>
  </si>
  <si>
    <t>1F</t>
  </si>
  <si>
    <t>2A</t>
  </si>
  <si>
    <t>2B</t>
  </si>
  <si>
    <t>2C</t>
  </si>
  <si>
    <t>2D</t>
  </si>
  <si>
    <t>2E</t>
  </si>
  <si>
    <t>2F</t>
  </si>
  <si>
    <t>3A</t>
  </si>
  <si>
    <t>3B</t>
  </si>
  <si>
    <t>3C</t>
  </si>
  <si>
    <t>0E</t>
    <phoneticPr fontId="1" type="noConversion"/>
  </si>
  <si>
    <t>启动通道1压力监测</t>
  </si>
  <si>
    <t>类型</t>
    <phoneticPr fontId="1" type="noConversion"/>
  </si>
  <si>
    <t>电机组1~x</t>
    <phoneticPr fontId="1" type="noConversion"/>
  </si>
  <si>
    <t>命令号</t>
    <phoneticPr fontId="1" type="noConversion"/>
  </si>
  <si>
    <t>档速</t>
    <phoneticPr fontId="1" type="noConversion"/>
  </si>
  <si>
    <t>时间</t>
    <phoneticPr fontId="1" type="noConversion"/>
  </si>
  <si>
    <t>锁定</t>
    <phoneticPr fontId="1" type="noConversion"/>
  </si>
  <si>
    <t>阻尼</t>
    <phoneticPr fontId="1" type="noConversion"/>
  </si>
  <si>
    <t>串口黏贴内容</t>
    <phoneticPr fontId="1" type="noConversion"/>
  </si>
  <si>
    <t>时间/10ms</t>
    <phoneticPr fontId="1" type="noConversion"/>
  </si>
  <si>
    <t>0a</t>
    <phoneticPr fontId="1" type="noConversion"/>
  </si>
  <si>
    <t>电机以指定的档速走指定步数-&gt;正向走</t>
    <phoneticPr fontId="1" type="noConversion"/>
  </si>
  <si>
    <t>电机以指定的档速走指定步数-&gt;反向走</t>
    <phoneticPr fontId="1" type="noConversion"/>
  </si>
  <si>
    <t>电机初始化</t>
    <phoneticPr fontId="1" type="noConversion"/>
  </si>
  <si>
    <t>位置</t>
    <phoneticPr fontId="1" type="noConversion"/>
  </si>
  <si>
    <t>01</t>
    <phoneticPr fontId="1" type="noConversion"/>
  </si>
  <si>
    <t>14</t>
    <phoneticPr fontId="1" type="noConversion"/>
  </si>
  <si>
    <t>电机以指定的档速运动到指定位置-垂直</t>
    <phoneticPr fontId="1" type="noConversion"/>
  </si>
  <si>
    <t>查询指定通道0温度值，返回2字节温度值（说明2）</t>
    <phoneticPr fontId="1" type="noConversion"/>
  </si>
  <si>
    <t>查询指定通道1温度值，返回2字节温度值（说明2）</t>
    <phoneticPr fontId="1" type="noConversion"/>
  </si>
  <si>
    <t>查询指定通道2温度值，返回2字节温度值（说明2）</t>
    <phoneticPr fontId="1" type="noConversion"/>
  </si>
  <si>
    <t>查询指定通道3温度值，返回2字节温度值（说明2）</t>
    <phoneticPr fontId="1" type="noConversion"/>
  </si>
  <si>
    <t>查询指定通道4温度值，返回2字节温度值（说明2）</t>
    <phoneticPr fontId="1" type="noConversion"/>
  </si>
  <si>
    <t>aa</t>
  </si>
  <si>
    <t>注释</t>
  </si>
  <si>
    <t>注释</t>
    <phoneticPr fontId="1" type="noConversion"/>
  </si>
  <si>
    <t>aa</t>
    <phoneticPr fontId="1" type="noConversion"/>
  </si>
  <si>
    <t>62</t>
  </si>
  <si>
    <t>00</t>
  </si>
  <si>
    <t>01</t>
    <phoneticPr fontId="1" type="noConversion"/>
  </si>
  <si>
    <t>12</t>
    <phoneticPr fontId="1" type="noConversion"/>
  </si>
  <si>
    <t>00</t>
    <phoneticPr fontId="1" type="noConversion"/>
  </si>
  <si>
    <t>起始</t>
    <phoneticPr fontId="1" type="noConversion"/>
  </si>
  <si>
    <t>控制</t>
    <phoneticPr fontId="1" type="noConversion"/>
  </si>
  <si>
    <t>长度</t>
    <phoneticPr fontId="1" type="noConversion"/>
  </si>
  <si>
    <t>类型</t>
    <phoneticPr fontId="1" type="noConversion"/>
  </si>
  <si>
    <t>通道号</t>
    <phoneticPr fontId="1" type="noConversion"/>
  </si>
  <si>
    <t>命令码</t>
    <phoneticPr fontId="1" type="noConversion"/>
  </si>
  <si>
    <t>合成给串口发送区</t>
    <phoneticPr fontId="1" type="noConversion"/>
  </si>
  <si>
    <t>协议参数动态修改区</t>
    <phoneticPr fontId="1" type="noConversion"/>
  </si>
  <si>
    <t>注释区</t>
    <phoneticPr fontId="1" type="noConversion"/>
  </si>
  <si>
    <t>05</t>
    <phoneticPr fontId="1" type="noConversion"/>
  </si>
  <si>
    <t>时序号</t>
    <phoneticPr fontId="1" type="noConversion"/>
  </si>
  <si>
    <t>时序号</t>
    <phoneticPr fontId="1" type="noConversion"/>
  </si>
  <si>
    <t>串口黏贴内容</t>
    <phoneticPr fontId="1" type="noConversion"/>
  </si>
  <si>
    <t>查询指定通道0温度值，返回2字节温度值（说明2）</t>
  </si>
  <si>
    <t>实例1-》没有参数</t>
    <phoneticPr fontId="1" type="noConversion"/>
  </si>
  <si>
    <t>协议参数区-&gt;起始，校验，结束码不可修改</t>
    <phoneticPr fontId="1" type="noConversion"/>
  </si>
  <si>
    <t>串口黏贴内容-&gt;自动生成</t>
    <phoneticPr fontId="1" type="noConversion"/>
  </si>
  <si>
    <t>实例2-》时序号分解到参数中去</t>
    <phoneticPr fontId="1" type="noConversion"/>
  </si>
  <si>
    <t>启动时序x</t>
    <phoneticPr fontId="1" type="noConversion"/>
  </si>
  <si>
    <t>查询所有泵状态</t>
  </si>
  <si>
    <t>查询所有泵状态</t>
    <phoneticPr fontId="1" type="noConversion"/>
  </si>
  <si>
    <t>阀-&gt;0x21</t>
    <phoneticPr fontId="1" type="noConversion"/>
  </si>
  <si>
    <t>阀控制</t>
    <phoneticPr fontId="1" type="noConversion"/>
  </si>
  <si>
    <t>关闭 阀2</t>
  </si>
  <si>
    <t>打开 阀2</t>
  </si>
  <si>
    <t>关闭 阀3</t>
  </si>
  <si>
    <t>打开 阀3</t>
  </si>
  <si>
    <t>打开 阀41</t>
    <phoneticPr fontId="1" type="noConversion"/>
  </si>
  <si>
    <t>查询阀组状态</t>
    <phoneticPr fontId="1" type="noConversion"/>
  </si>
  <si>
    <t>查询某个阀状态</t>
    <phoneticPr fontId="1" type="noConversion"/>
  </si>
  <si>
    <t>查询阀1状态</t>
    <phoneticPr fontId="1" type="noConversion"/>
  </si>
  <si>
    <t>查询阀2状态</t>
  </si>
  <si>
    <t>查询阀3状态</t>
  </si>
  <si>
    <t>阀查询</t>
    <phoneticPr fontId="1" type="noConversion"/>
  </si>
  <si>
    <t>启动时间</t>
    <phoneticPr fontId="1" type="noConversion"/>
  </si>
  <si>
    <t>包头</t>
    <phoneticPr fontId="1" type="noConversion"/>
  </si>
  <si>
    <t>1114调试-》电机以指定的档速运动到指定位置-水平正向走</t>
    <phoneticPr fontId="1" type="noConversion"/>
  </si>
  <si>
    <t>温度控制</t>
    <phoneticPr fontId="1" type="noConversion"/>
  </si>
  <si>
    <t>温度监控</t>
    <phoneticPr fontId="1" type="noConversion"/>
  </si>
  <si>
    <t>查询温度</t>
    <phoneticPr fontId="1" type="noConversion"/>
  </si>
  <si>
    <t>查询指定通道补偿值</t>
    <phoneticPr fontId="1" type="noConversion"/>
  </si>
  <si>
    <t>协议组</t>
    <phoneticPr fontId="1" type="noConversion"/>
  </si>
  <si>
    <t>文件说明</t>
    <phoneticPr fontId="1" type="noConversion"/>
  </si>
  <si>
    <t>aa 00 04 21 04 00 01 2A 55</t>
  </si>
  <si>
    <t>aa 00 04 21 05 00 01 2B 55</t>
  </si>
  <si>
    <t>aa 00 04 21 06 00 01 2C 55</t>
  </si>
  <si>
    <t>aa 00 04 21 07 00 01 2D 55</t>
  </si>
  <si>
    <t>aa 00 04 21 08 00 01 2E 55</t>
  </si>
  <si>
    <t>aa 00 04 21 09 00 01 2F 55</t>
  </si>
  <si>
    <t>aa 00 04 21 0A 00 01 30 55</t>
  </si>
  <si>
    <t>aa 00 04 21 0B 00 01 31 55</t>
  </si>
  <si>
    <t>aa 00 04 21 0C 00 01 32 55</t>
  </si>
  <si>
    <t>aa 00 04 21 0D 00 01 33 55</t>
  </si>
  <si>
    <t>aa 00 04 21 0E 00 01 34 55</t>
  </si>
  <si>
    <t>aa 00 04 21 0F 00 01 35 55</t>
  </si>
  <si>
    <t>aa 00 04 21 10 00 01 36 55</t>
  </si>
  <si>
    <t>aa 00 04 21 11 00 01 37 55</t>
  </si>
  <si>
    <t>aa 00 04 21 12 00 01 38 55</t>
  </si>
  <si>
    <t>aa 00 04 21 13 00 01 39 55</t>
  </si>
  <si>
    <t>aa 00 04 21 14 00 01 3A 55</t>
  </si>
  <si>
    <t>aa 00 04 21 15 00 01 3B 55</t>
  </si>
  <si>
    <t>aa 00 04 21 16 00 01 3C 55</t>
  </si>
  <si>
    <t>aa 00 04 21 17 00 01 3D 55</t>
  </si>
  <si>
    <t>aa 00 04 21 18 00 01 3E 55</t>
  </si>
  <si>
    <t>aa 00 04 21 19 00 01 3F 55</t>
  </si>
  <si>
    <t>aa 00 04 21 1A 00 01 40 55</t>
  </si>
  <si>
    <t>aa 00 04 21 1B 00 01 41 55</t>
  </si>
  <si>
    <t>aa 00 04 21 1C 00 01 42 55</t>
  </si>
  <si>
    <t>aa 00 04 21 1D 00 01 43 55</t>
  </si>
  <si>
    <t>aa 00 04 21 1E 00 01 44 55</t>
  </si>
  <si>
    <t>aa 00 04 21 1F 00 01 45 55</t>
  </si>
  <si>
    <t>aa 00 04 21 20 00 01 46 55</t>
  </si>
  <si>
    <t>aa 00 04 21 21 00 01 47 55</t>
  </si>
  <si>
    <t>aa 00 04 21 22 00 01 48 55</t>
  </si>
  <si>
    <t>aa 00 04 21 24 00 01 4A 55</t>
  </si>
  <si>
    <t>aa 00 04 21 25 00 01 4B 55</t>
  </si>
  <si>
    <t>aa 00 04 21 26 00 01 4C 55</t>
  </si>
  <si>
    <t>aa 00 04 21 27 00 01 4D 55</t>
  </si>
  <si>
    <t>aa 00 04 21 23 00 01 49 55</t>
    <phoneticPr fontId="1" type="noConversion"/>
  </si>
  <si>
    <t>多行数据合并-&gt;</t>
    <phoneticPr fontId="1" type="noConversion"/>
  </si>
  <si>
    <t>启动时间/10ms</t>
    <phoneticPr fontId="1" type="noConversion"/>
  </si>
  <si>
    <t>包体1-&gt;打开阀10</t>
    <phoneticPr fontId="1" type="noConversion"/>
  </si>
  <si>
    <t>包体2-&gt;关闭阀10</t>
    <phoneticPr fontId="1" type="noConversion"/>
  </si>
  <si>
    <t>01</t>
    <phoneticPr fontId="1" type="noConversion"/>
  </si>
  <si>
    <t>00</t>
    <phoneticPr fontId="1" type="noConversion"/>
  </si>
  <si>
    <t>08</t>
    <phoneticPr fontId="1" type="noConversion"/>
  </si>
  <si>
    <t>01</t>
    <phoneticPr fontId="1" type="noConversion"/>
  </si>
  <si>
    <t>包体3-&gt;打开泵1</t>
    <phoneticPr fontId="1" type="noConversion"/>
  </si>
  <si>
    <t>包体6-&gt;关闭泵1</t>
    <phoneticPr fontId="1" type="noConversion"/>
  </si>
  <si>
    <t>包体5-&gt;查询12V电压值</t>
    <phoneticPr fontId="1" type="noConversion"/>
  </si>
  <si>
    <t>包体4-&gt;查询ARM软件版本，返回4字节版本信息</t>
    <phoneticPr fontId="1" type="noConversion"/>
  </si>
  <si>
    <t>0B</t>
    <phoneticPr fontId="1" type="noConversion"/>
  </si>
  <si>
    <t>0C</t>
    <phoneticPr fontId="1" type="noConversion"/>
  </si>
  <si>
    <t>0D</t>
    <phoneticPr fontId="1" type="noConversion"/>
  </si>
  <si>
    <t>电机组1~x</t>
    <phoneticPr fontId="1" type="noConversion"/>
  </si>
  <si>
    <t>0E</t>
    <phoneticPr fontId="1" type="noConversion"/>
  </si>
  <si>
    <t>包体7-&gt;打开阀11</t>
    <phoneticPr fontId="1" type="noConversion"/>
  </si>
  <si>
    <t>包体8-&gt;关闭阀11</t>
    <phoneticPr fontId="1" type="noConversion"/>
  </si>
  <si>
    <t>包体-&gt;关闭阀12</t>
    <phoneticPr fontId="1" type="noConversion"/>
  </si>
  <si>
    <t>包体-&gt;打开阀13</t>
  </si>
  <si>
    <t>包体-&gt;关闭阀13</t>
  </si>
  <si>
    <t>包体-&gt;打开阀14</t>
  </si>
  <si>
    <t>包体-&gt;关闭阀14</t>
  </si>
  <si>
    <t>0F</t>
    <phoneticPr fontId="1" type="noConversion"/>
  </si>
  <si>
    <t>包体-&gt;打开阀15</t>
  </si>
  <si>
    <t>包体-&gt;关闭阀15</t>
  </si>
  <si>
    <t>包体-&gt;打开阀12</t>
    <phoneticPr fontId="1" type="noConversion"/>
  </si>
  <si>
    <t>包体-&gt;打开阀16</t>
  </si>
  <si>
    <t>包体-&gt;关闭阀16</t>
  </si>
  <si>
    <t>包体-&gt;打开阀17</t>
  </si>
  <si>
    <t>包体-&gt;关闭阀17</t>
  </si>
  <si>
    <t>包体-&gt;打开阀18</t>
  </si>
  <si>
    <t>包体-&gt;关闭阀18</t>
  </si>
  <si>
    <t>包体-&gt;打开阀19</t>
  </si>
  <si>
    <t>包体-&gt;关闭阀19</t>
  </si>
  <si>
    <t>10</t>
    <phoneticPr fontId="1" type="noConversion"/>
  </si>
  <si>
    <t>12</t>
    <phoneticPr fontId="1" type="noConversion"/>
  </si>
  <si>
    <t>13</t>
    <phoneticPr fontId="1" type="noConversion"/>
  </si>
  <si>
    <t>长度</t>
    <phoneticPr fontId="1" type="noConversion"/>
  </si>
  <si>
    <t>备注：本EXCEL 表格中，校验和是自动计算的，但是其他参数的输入要以16进制输入</t>
    <phoneticPr fontId="1" type="noConversion"/>
  </si>
  <si>
    <t>查询指定通道试剂状态，返回1字节状态值</t>
    <phoneticPr fontId="1" type="noConversion"/>
  </si>
  <si>
    <t>64</t>
    <phoneticPr fontId="1" type="noConversion"/>
  </si>
  <si>
    <t>查询指定通道试剂状态，返回1字节状态值</t>
    <phoneticPr fontId="1" type="noConversion"/>
  </si>
  <si>
    <t>温度控制，状态：0x00—关闭温度控制，0x00—打开温度控制；</t>
  </si>
  <si>
    <t>00</t>
    <phoneticPr fontId="1" type="noConversion"/>
  </si>
  <si>
    <t>55</t>
    <phoneticPr fontId="1" type="noConversion"/>
  </si>
  <si>
    <t>启动通道1 建压6KPa</t>
    <phoneticPr fontId="1" type="noConversion"/>
  </si>
  <si>
    <t>建压时间/ms</t>
    <phoneticPr fontId="1" type="noConversion"/>
  </si>
  <si>
    <t>储液灌注 0xE2</t>
    <phoneticPr fontId="1" type="noConversion"/>
  </si>
  <si>
    <t>E2</t>
    <phoneticPr fontId="1" type="noConversion"/>
  </si>
  <si>
    <t>排液时间</t>
    <phoneticPr fontId="1" type="noConversion"/>
  </si>
  <si>
    <t>吸液时间</t>
    <phoneticPr fontId="1" type="noConversion"/>
  </si>
  <si>
    <t>通道0 开启灌注</t>
    <phoneticPr fontId="1" type="noConversion"/>
  </si>
  <si>
    <t>协议参数动态修改区
时间单位：10ms</t>
    <phoneticPr fontId="1" type="noConversion"/>
  </si>
  <si>
    <t>废液排空 0xE3</t>
    <phoneticPr fontId="1" type="noConversion"/>
  </si>
  <si>
    <t>最大时间</t>
    <phoneticPr fontId="1" type="noConversion"/>
  </si>
  <si>
    <t>E3</t>
    <phoneticPr fontId="1" type="noConversion"/>
  </si>
  <si>
    <t>打开 阀6</t>
    <phoneticPr fontId="1" type="noConversion"/>
  </si>
  <si>
    <t>试剂检测 0x64</t>
    <phoneticPr fontId="1" type="noConversion"/>
  </si>
  <si>
    <t>查询指定开关通道的状态，0x00表示非正常状态，0x01表示正常状态</t>
    <phoneticPr fontId="1" type="noConversion"/>
  </si>
  <si>
    <t>查询指定开关通道的状态，0x00表示非正常状态，0x02表示正常状态</t>
  </si>
  <si>
    <t>查询指定开关通道的状态，0x00表示非正常状态，0x03表示正常状态</t>
  </si>
  <si>
    <t>查询指定开关通道的状态，0x00表示非正常状态，0x04表示正常状态</t>
  </si>
  <si>
    <t>查询指定开关通道的状态，0x00表示非正常状态，0x05表示正常状态</t>
  </si>
  <si>
    <t>21</t>
    <phoneticPr fontId="1" type="noConversion"/>
  </si>
  <si>
    <t>E0</t>
    <phoneticPr fontId="1" type="noConversion"/>
  </si>
  <si>
    <t>开关检测 0xE0</t>
    <phoneticPr fontId="1" type="noConversion"/>
  </si>
  <si>
    <t>00</t>
    <phoneticPr fontId="1" type="noConversion"/>
  </si>
  <si>
    <t>01</t>
    <phoneticPr fontId="1" type="noConversion"/>
  </si>
  <si>
    <t>查询指定光耦号的电机光耦的状态。</t>
    <phoneticPr fontId="1" type="noConversion"/>
  </si>
  <si>
    <t>61</t>
    <phoneticPr fontId="1" type="noConversion"/>
  </si>
  <si>
    <t>B8</t>
    <phoneticPr fontId="1" type="noConversion"/>
  </si>
  <si>
    <t>00</t>
    <phoneticPr fontId="1" type="noConversion"/>
  </si>
  <si>
    <t>电机控制-&gt;0x23</t>
    <phoneticPr fontId="1" type="noConversion"/>
  </si>
  <si>
    <t>装载组件-&gt;0x70</t>
    <phoneticPr fontId="1" type="noConversion"/>
  </si>
  <si>
    <t>初始化装载组件</t>
    <phoneticPr fontId="1" type="noConversion"/>
  </si>
  <si>
    <t>配置装载组件的电机号（电机号1-7）及运行档速（1-20)</t>
    <phoneticPr fontId="1" type="noConversion"/>
  </si>
  <si>
    <t>装载试管架</t>
    <phoneticPr fontId="1" type="noConversion"/>
  </si>
  <si>
    <t>电机号</t>
    <phoneticPr fontId="1" type="noConversion"/>
  </si>
  <si>
    <t>运行档速</t>
    <phoneticPr fontId="1" type="noConversion"/>
  </si>
  <si>
    <t>70</t>
    <phoneticPr fontId="1" type="noConversion"/>
  </si>
  <si>
    <t>给进组件-&gt;0x71</t>
    <phoneticPr fontId="1" type="noConversion"/>
  </si>
  <si>
    <t>配置进给组件的电机号（电机号1-7）及运行档速（1-20）</t>
    <phoneticPr fontId="1" type="noConversion"/>
  </si>
  <si>
    <t>初始化进给组件</t>
    <phoneticPr fontId="1" type="noConversion"/>
  </si>
  <si>
    <t>试管架移动1个试管位</t>
    <phoneticPr fontId="1" type="noConversion"/>
  </si>
  <si>
    <t>卸载组件-&gt;0x72</t>
    <phoneticPr fontId="1" type="noConversion"/>
  </si>
  <si>
    <t>配置卸载组件的电机号（电机号1-7）及运行档速（1-20）</t>
    <phoneticPr fontId="1" type="noConversion"/>
  </si>
  <si>
    <t>初始化卸载组件</t>
    <phoneticPr fontId="1" type="noConversion"/>
  </si>
  <si>
    <t>卸载试管架</t>
    <phoneticPr fontId="1" type="noConversion"/>
  </si>
  <si>
    <t>71</t>
    <phoneticPr fontId="1" type="noConversion"/>
  </si>
  <si>
    <t>72</t>
    <phoneticPr fontId="1" type="noConversion"/>
  </si>
  <si>
    <t>03</t>
    <phoneticPr fontId="1" type="noConversion"/>
  </si>
  <si>
    <t>06</t>
    <phoneticPr fontId="1" type="noConversion"/>
  </si>
  <si>
    <t xml:space="preserve"> 条码扫描器-&gt;0x024</t>
    <phoneticPr fontId="1" type="noConversion"/>
  </si>
  <si>
    <t>24</t>
    <phoneticPr fontId="1" type="noConversion"/>
  </si>
  <si>
    <t>启动读取条码扫描器，返回读取状态和1-20字节条码数据</t>
    <phoneticPr fontId="1" type="noConversion"/>
  </si>
  <si>
    <t>关闭激光器</t>
    <phoneticPr fontId="1" type="noConversion"/>
  </si>
  <si>
    <t>打开激光器</t>
    <phoneticPr fontId="1" type="noConversion"/>
  </si>
  <si>
    <t>设置条码扫描仪类型(说明2)，返回1个字节的扫描仪检测结果
0x00：无条码扫描器
0x01: 有条码扫描仪</t>
    <phoneticPr fontId="1" type="noConversion"/>
  </si>
  <si>
    <t>说明</t>
  </si>
  <si>
    <t>0x01</t>
  </si>
  <si>
    <t>条码扫描仪设置为MS-3</t>
  </si>
  <si>
    <t>0x02</t>
  </si>
  <si>
    <t>条码扫描仪设置为MS954</t>
  </si>
  <si>
    <t>0x03</t>
  </si>
  <si>
    <t>条码扫描仪类型</t>
    <phoneticPr fontId="1" type="noConversion"/>
  </si>
  <si>
    <t>码制</t>
  </si>
  <si>
    <t>码制</t>
    <phoneticPr fontId="1" type="noConversion"/>
  </si>
  <si>
    <t>0x04</t>
  </si>
  <si>
    <t>0x08</t>
  </si>
  <si>
    <t>0x10</t>
  </si>
  <si>
    <t>支持CODE128</t>
  </si>
  <si>
    <t>支持CODE93</t>
  </si>
  <si>
    <t>支持CODE39</t>
  </si>
  <si>
    <t>支持CODABAR</t>
  </si>
  <si>
    <t>支持ITF</t>
  </si>
  <si>
    <t>支持条码长度</t>
  </si>
  <si>
    <t>0xFFFF</t>
  </si>
  <si>
    <t>0x0001</t>
  </si>
  <si>
    <t>0x0002</t>
  </si>
  <si>
    <t>0x0001&lt;&lt; (i-1)</t>
  </si>
  <si>
    <t>0x0003</t>
  </si>
  <si>
    <t>支持条码长度1~20</t>
  </si>
  <si>
    <t>仅支持条码长度1</t>
  </si>
  <si>
    <t>仅支持条码长度2</t>
  </si>
  <si>
    <t>仅支持条码长度i，i取值1~20</t>
  </si>
  <si>
    <t>支持条码长度1和2</t>
  </si>
  <si>
    <t>条码长度</t>
    <phoneticPr fontId="1" type="noConversion"/>
  </si>
  <si>
    <t>0000FFFF</t>
    <phoneticPr fontId="1" type="noConversion"/>
  </si>
  <si>
    <t>条码扫描仪支持的条码长度（说明1的支持条码长度）</t>
  </si>
  <si>
    <t>扫描器型号：MS954</t>
    <phoneticPr fontId="1" type="noConversion"/>
  </si>
  <si>
    <t>协议参数区-&gt;数据长度，数据1,2,3...校验</t>
    <phoneticPr fontId="1" type="noConversion"/>
  </si>
  <si>
    <t>合成给串口发送区:波特率=9600</t>
    <phoneticPr fontId="1" type="noConversion"/>
  </si>
  <si>
    <t>注释：这里是把扫描仪直接接到串口</t>
    <phoneticPr fontId="1" type="noConversion"/>
  </si>
  <si>
    <t>采用组件</t>
    <phoneticPr fontId="1" type="noConversion"/>
  </si>
  <si>
    <t>光耦号</t>
    <phoneticPr fontId="1" type="noConversion"/>
  </si>
  <si>
    <t>获取电机组件1的位置1对应的光耦号</t>
    <phoneticPr fontId="1" type="noConversion"/>
  </si>
  <si>
    <t>01</t>
    <phoneticPr fontId="1" type="noConversion"/>
  </si>
  <si>
    <t>混匀组件-&gt;0x73</t>
    <phoneticPr fontId="1" type="noConversion"/>
  </si>
  <si>
    <t>73</t>
    <phoneticPr fontId="1" type="noConversion"/>
  </si>
  <si>
    <t>20</t>
    <phoneticPr fontId="1" type="noConversion"/>
  </si>
  <si>
    <t>初始化混匀组件</t>
  </si>
  <si>
    <t>启动试管混匀（完成所有动作）</t>
  </si>
  <si>
    <t>启动初始化抓取机构</t>
  </si>
  <si>
    <t>抓取试管</t>
  </si>
  <si>
    <t>启动初始化升降机构</t>
  </si>
  <si>
    <t>举起试管</t>
  </si>
  <si>
    <t>启动速初始化摆动机构</t>
  </si>
  <si>
    <t>摆动试管</t>
  </si>
  <si>
    <t>查询混匀组件是否在初始位，返回1字节状态值（0x00：混匀组件在初始位，0x01：混匀组件不在初始位）</t>
  </si>
  <si>
    <t>自动进样组件-&gt;0x11</t>
    <phoneticPr fontId="1" type="noConversion"/>
  </si>
  <si>
    <t>启动通道0压力监测</t>
    <phoneticPr fontId="1" type="noConversion"/>
  </si>
  <si>
    <t>停止自动进样（正常），推出横向所有试管架且不装载试管架</t>
    <phoneticPr fontId="1" type="noConversion"/>
  </si>
  <si>
    <t>自动进样结束命令</t>
    <phoneticPr fontId="1" type="noConversion"/>
  </si>
  <si>
    <t>自动进样混匀动作结束命令</t>
    <phoneticPr fontId="1" type="noConversion"/>
  </si>
  <si>
    <t>查询自动进样器状态，返回1字节状态值（0x00：在初始位，0x01：不在初始位）</t>
    <phoneticPr fontId="1" type="noConversion"/>
  </si>
  <si>
    <t>调试命令1</t>
    <phoneticPr fontId="1" type="noConversion"/>
  </si>
  <si>
    <t>F0</t>
    <phoneticPr fontId="1" type="noConversion"/>
  </si>
  <si>
    <t>80</t>
    <phoneticPr fontId="1" type="noConversion"/>
  </si>
  <si>
    <r>
      <t>自动进样时启动试管的</t>
    </r>
    <r>
      <rPr>
        <sz val="8"/>
        <color rgb="FFFF0000"/>
        <rFont val="宋体"/>
        <family val="3"/>
        <charset val="134"/>
        <scheme val="minor"/>
      </rPr>
      <t>混匀</t>
    </r>
    <phoneticPr fontId="1" type="noConversion"/>
  </si>
  <si>
    <t>查询条码扫描器状态，返回1个字节状态数据
0x00：无条码扫描器
0x01: 条码扫描仪是MS-3，
0x02:条码扫描仪是MS954
0x03：条码扫描仪是CR100系列</t>
    <phoneticPr fontId="1" type="noConversion"/>
  </si>
  <si>
    <t>条码扫描仪设置为CR100系列</t>
    <phoneticPr fontId="1" type="noConversion"/>
  </si>
  <si>
    <r>
      <t>查询混匀位试管信息</t>
    </r>
    <r>
      <rPr>
        <sz val="8"/>
        <color rgb="FFFF0000"/>
        <rFont val="宋体"/>
        <family val="3"/>
        <charset val="134"/>
        <scheme val="minor"/>
      </rPr>
      <t>(1114新增)</t>
    </r>
    <phoneticPr fontId="1" type="noConversion"/>
  </si>
  <si>
    <r>
      <t>混匀组件</t>
    </r>
    <r>
      <rPr>
        <sz val="8"/>
        <color rgb="FFFF0000"/>
        <rFont val="宋体"/>
        <family val="3"/>
        <charset val="134"/>
        <scheme val="minor"/>
      </rPr>
      <t>复位</t>
    </r>
    <r>
      <rPr>
        <sz val="8"/>
        <color theme="1"/>
        <rFont val="宋体"/>
        <family val="2"/>
        <charset val="134"/>
        <scheme val="minor"/>
      </rPr>
      <t>命令</t>
    </r>
    <phoneticPr fontId="1" type="noConversion"/>
  </si>
  <si>
    <t>01</t>
    <phoneticPr fontId="1" type="noConversion"/>
  </si>
  <si>
    <t>设置MS-3</t>
    <phoneticPr fontId="1" type="noConversion"/>
  </si>
  <si>
    <t>设置CR100</t>
    <phoneticPr fontId="1" type="noConversion"/>
  </si>
  <si>
    <t>05</t>
    <phoneticPr fontId="1" type="noConversion"/>
  </si>
  <si>
    <t>F6</t>
    <phoneticPr fontId="1" type="noConversion"/>
  </si>
  <si>
    <t>01</t>
    <phoneticPr fontId="1" type="noConversion"/>
  </si>
  <si>
    <t>获取电机属性信息；返回3字节数据：最大电流（xx）+锁定（xx）+方向（xx）</t>
    <phoneticPr fontId="1" type="noConversion"/>
  </si>
  <si>
    <t>电流</t>
    <phoneticPr fontId="1" type="noConversion"/>
  </si>
  <si>
    <t>方向</t>
    <phoneticPr fontId="1" type="noConversion"/>
  </si>
  <si>
    <t>00</t>
    <phoneticPr fontId="1" type="noConversion"/>
  </si>
  <si>
    <t>07</t>
    <phoneticPr fontId="1" type="noConversion"/>
  </si>
  <si>
    <t>目标温度值</t>
    <phoneticPr fontId="1" type="noConversion"/>
  </si>
  <si>
    <t>设置目标温度值</t>
    <phoneticPr fontId="1" type="noConversion"/>
  </si>
  <si>
    <t>温度</t>
    <phoneticPr fontId="1" type="noConversion"/>
  </si>
  <si>
    <t>指定档速初始化-&gt;稀释</t>
    <phoneticPr fontId="1" type="noConversion"/>
  </si>
  <si>
    <t>指定档速初始化-&gt;样本</t>
    <phoneticPr fontId="1" type="noConversion"/>
  </si>
  <si>
    <t>02</t>
    <phoneticPr fontId="1" type="noConversion"/>
  </si>
  <si>
    <t>采样组件-&gt;0x61</t>
    <phoneticPr fontId="1" type="noConversion"/>
  </si>
  <si>
    <t>61</t>
    <phoneticPr fontId="1" type="noConversion"/>
  </si>
  <si>
    <t>垂直号</t>
    <phoneticPr fontId="1" type="noConversion"/>
  </si>
  <si>
    <t>水平号</t>
    <phoneticPr fontId="1" type="noConversion"/>
  </si>
  <si>
    <r>
      <t>本文件为了解决以下几个问题：
1.解决制作can的协议时</t>
    </r>
    <r>
      <rPr>
        <sz val="11"/>
        <color rgb="FFFF0000"/>
        <rFont val="宋体"/>
        <family val="3"/>
        <charset val="134"/>
        <scheme val="minor"/>
      </rPr>
      <t>校验码</t>
    </r>
    <r>
      <rPr>
        <sz val="11"/>
        <color theme="1"/>
        <rFont val="宋体"/>
        <family val="2"/>
        <charset val="134"/>
        <scheme val="minor"/>
      </rPr>
      <t>的复杂计算,长度也是自动计算的
  通过excel的自动计算功能将前面填入的参数自动计算出校验码，并且生成一个可以直接黏贴到串口单元格数据（绿色单元格）。可以通过复制和excel的复制累加功能快速生成1~160的阀操作指令。
2.解决串口sscom中只有32条字符串发送并且多次需要复制粘贴的问题。
  在使用这个功能之前必须先打开“zheng.exe”软件，</t>
    </r>
    <r>
      <rPr>
        <sz val="11"/>
        <color theme="1"/>
        <rFont val="宋体"/>
        <family val="3"/>
        <charset val="134"/>
        <scheme val="minor"/>
      </rPr>
      <t xml:space="preserve">右击单元格就可以发送单元格的内容，发送内容以绿色单元格格式为基准，一个单元格只能放一条指令，但可以多个单元格一起发送，这在时序发送时应该可以派上用场。
使用注意：1.如果提示不能使用宏，打开宏信任。操作方法：文件-&gt;选项-&gt;信任中心-&gt;中心设置-&gt;宏设置-&gt;启用所有宏。
</t>
    </r>
    <phoneticPr fontId="1" type="noConversion"/>
  </si>
  <si>
    <t>档速</t>
  </si>
  <si>
    <t>最大时间</t>
  </si>
  <si>
    <t>最大时间</t>
    <phoneticPr fontId="1" type="noConversion"/>
  </si>
  <si>
    <t>速度</t>
    <phoneticPr fontId="1" type="noConversion"/>
  </si>
  <si>
    <t>锁定</t>
    <phoneticPr fontId="1" type="noConversion"/>
  </si>
  <si>
    <t>01</t>
    <phoneticPr fontId="1" type="noConversion"/>
  </si>
  <si>
    <t>水平电机号</t>
    <phoneticPr fontId="1" type="noConversion"/>
  </si>
  <si>
    <t>垂直电机号</t>
    <phoneticPr fontId="1" type="noConversion"/>
  </si>
  <si>
    <t>15</t>
    <phoneticPr fontId="1" type="noConversion"/>
  </si>
  <si>
    <t>01</t>
    <phoneticPr fontId="1" type="noConversion"/>
  </si>
  <si>
    <r>
      <t>以指定的档速</t>
    </r>
    <r>
      <rPr>
        <b/>
        <sz val="8"/>
        <color theme="1"/>
        <rFont val="宋体"/>
        <family val="3"/>
        <charset val="134"/>
        <scheme val="minor"/>
      </rPr>
      <t>水平</t>
    </r>
    <r>
      <rPr>
        <sz val="8"/>
        <color theme="1"/>
        <rFont val="宋体"/>
        <family val="2"/>
        <charset val="134"/>
        <scheme val="minor"/>
      </rPr>
      <t>运动到指定位置（垂直电机必须在上位）</t>
    </r>
    <phoneticPr fontId="1" type="noConversion"/>
  </si>
  <si>
    <r>
      <t>以指定的档速</t>
    </r>
    <r>
      <rPr>
        <b/>
        <sz val="8"/>
        <color theme="1"/>
        <rFont val="宋体"/>
        <family val="3"/>
        <charset val="134"/>
        <scheme val="minor"/>
      </rPr>
      <t>垂直</t>
    </r>
    <r>
      <rPr>
        <sz val="8"/>
        <color theme="1"/>
        <rFont val="宋体"/>
        <family val="2"/>
        <charset val="134"/>
        <scheme val="minor"/>
      </rPr>
      <t>运动到指定位置（水平电机必须在光耦位）</t>
    </r>
    <phoneticPr fontId="1" type="noConversion"/>
  </si>
  <si>
    <t>水平-&gt;  特定蛋白池6(MR6)</t>
    <phoneticPr fontId="1" type="noConversion"/>
  </si>
  <si>
    <t>水平-&gt;  特定蛋白池5(MR5)</t>
    <phoneticPr fontId="1" type="noConversion"/>
  </si>
  <si>
    <t>水平-&gt;  特定蛋白池4(MR4)</t>
    <phoneticPr fontId="1" type="noConversion"/>
  </si>
  <si>
    <t>水平-&gt;  特定蛋白池3(MR3)</t>
    <phoneticPr fontId="1" type="noConversion"/>
  </si>
  <si>
    <t>水平-&gt;  特定蛋白池2(MR2)</t>
    <phoneticPr fontId="1" type="noConversion"/>
  </si>
  <si>
    <t>水平-&gt;  特定蛋白池1(MR1)</t>
    <phoneticPr fontId="1" type="noConversion"/>
  </si>
  <si>
    <t>水平-&gt;  RBC池位</t>
    <phoneticPr fontId="1" type="noConversion"/>
  </si>
  <si>
    <t>水平-&gt;  WBC池位</t>
    <phoneticPr fontId="1" type="noConversion"/>
  </si>
  <si>
    <t>水平-&gt;  DIFF池位</t>
    <phoneticPr fontId="1" type="noConversion"/>
  </si>
  <si>
    <t>水平-&gt;  自动采样位</t>
    <phoneticPr fontId="1" type="noConversion"/>
  </si>
  <si>
    <t>水平-&gt;  开放采样位</t>
    <phoneticPr fontId="1" type="noConversion"/>
  </si>
  <si>
    <r>
      <t>指定档速初始化-&gt;</t>
    </r>
    <r>
      <rPr>
        <b/>
        <sz val="11"/>
        <color theme="1"/>
        <rFont val="宋体"/>
        <family val="3"/>
        <charset val="134"/>
        <scheme val="minor"/>
      </rPr>
      <t>水平</t>
    </r>
    <phoneticPr fontId="1" type="noConversion"/>
  </si>
  <si>
    <t>10</t>
    <phoneticPr fontId="1" type="noConversion"/>
  </si>
  <si>
    <t>电机属性配置；锁定：0x00--电机不锁定，
0x01--电机锁定方向表示远离初始位的方向</t>
    <phoneticPr fontId="1" type="noConversion"/>
  </si>
  <si>
    <t>垂直-》  初始位</t>
    <phoneticPr fontId="1" type="noConversion"/>
  </si>
  <si>
    <t>查询指定压力 通道0（6Kpa）</t>
    <phoneticPr fontId="1" type="noConversion"/>
  </si>
  <si>
    <t>查询指定压力 通道1（60Kpa）</t>
    <phoneticPr fontId="1" type="noConversion"/>
  </si>
  <si>
    <t>查询指定压力 通道2（-30Kpa）</t>
    <phoneticPr fontId="1" type="noConversion"/>
  </si>
  <si>
    <t>查询指定压力 通道3（鞘流）</t>
    <phoneticPr fontId="1" type="noConversion"/>
  </si>
  <si>
    <r>
      <rPr>
        <b/>
        <sz val="8"/>
        <color theme="1"/>
        <rFont val="宋体"/>
        <family val="3"/>
        <charset val="134"/>
        <scheme val="minor"/>
      </rPr>
      <t>配置</t>
    </r>
    <r>
      <rPr>
        <sz val="8"/>
        <color theme="1"/>
        <rFont val="宋体"/>
        <family val="2"/>
        <charset val="134"/>
        <scheme val="minor"/>
      </rPr>
      <t>采样组件的水平电机号与垂直电机号（电机号1-8）。</t>
    </r>
    <phoneticPr fontId="1" type="noConversion"/>
  </si>
  <si>
    <r>
      <t>以指定档速</t>
    </r>
    <r>
      <rPr>
        <b/>
        <sz val="8"/>
        <color theme="1"/>
        <rFont val="宋体"/>
        <family val="3"/>
        <charset val="134"/>
        <scheme val="minor"/>
      </rPr>
      <t>水平初始化</t>
    </r>
    <r>
      <rPr>
        <sz val="8"/>
        <color theme="1"/>
        <rFont val="宋体"/>
        <family val="2"/>
        <charset val="134"/>
        <scheme val="minor"/>
      </rPr>
      <t>采样组件（垂直电机必须在上位）</t>
    </r>
    <phoneticPr fontId="1" type="noConversion"/>
  </si>
  <si>
    <r>
      <t>以指定档速</t>
    </r>
    <r>
      <rPr>
        <b/>
        <sz val="8"/>
        <color theme="1"/>
        <rFont val="宋体"/>
        <family val="3"/>
        <charset val="134"/>
        <scheme val="minor"/>
      </rPr>
      <t>垂直初始化</t>
    </r>
    <r>
      <rPr>
        <sz val="8"/>
        <color theme="1"/>
        <rFont val="宋体"/>
        <family val="2"/>
        <charset val="134"/>
        <scheme val="minor"/>
      </rPr>
      <t>采样组件（水平电机必须在光耦位）</t>
    </r>
    <phoneticPr fontId="1" type="noConversion"/>
  </si>
  <si>
    <t>0A</t>
    <phoneticPr fontId="1" type="noConversion"/>
  </si>
  <si>
    <t>从站相关-&gt;0x01</t>
    <phoneticPr fontId="1" type="noConversion"/>
  </si>
  <si>
    <t>查询从站PCB版本信息，返回4字节版本信息</t>
    <phoneticPr fontId="1" type="noConversion"/>
  </si>
  <si>
    <t>查询ARM软件版本，返回4字节版本信息</t>
    <phoneticPr fontId="1" type="noConversion"/>
  </si>
  <si>
    <t>查询FPGA版本，返回4字节版本信息</t>
    <phoneticPr fontId="1" type="noConversion"/>
  </si>
  <si>
    <t>获取时间，返回6字节时间数据：年、月、日、时、分、秒</t>
    <phoneticPr fontId="1" type="noConversion"/>
  </si>
  <si>
    <t>设置时间</t>
  </si>
  <si>
    <t>年</t>
    <phoneticPr fontId="1" type="noConversion"/>
  </si>
  <si>
    <t>月</t>
    <phoneticPr fontId="1" type="noConversion"/>
  </si>
  <si>
    <t>日</t>
    <phoneticPr fontId="1" type="noConversion"/>
  </si>
  <si>
    <t>时</t>
    <phoneticPr fontId="1" type="noConversion"/>
  </si>
  <si>
    <t>分</t>
    <phoneticPr fontId="1" type="noConversion"/>
  </si>
  <si>
    <t>秒</t>
    <phoneticPr fontId="1" type="noConversion"/>
  </si>
  <si>
    <t>02</t>
    <phoneticPr fontId="1" type="noConversion"/>
  </si>
  <si>
    <t>设置时间</t>
    <phoneticPr fontId="1" type="noConversion"/>
  </si>
  <si>
    <t>关闭所有阀</t>
    <phoneticPr fontId="1" type="noConversion"/>
  </si>
  <si>
    <t>打开 阀61</t>
  </si>
  <si>
    <t>打开 阀62</t>
  </si>
  <si>
    <t>打开 阀63</t>
  </si>
  <si>
    <t>打开 阀64</t>
  </si>
  <si>
    <t>打开 阀65</t>
  </si>
  <si>
    <t>打开 阀66</t>
  </si>
  <si>
    <t>打开 阀67</t>
  </si>
  <si>
    <t>打开 阀68</t>
  </si>
  <si>
    <t>3D</t>
    <phoneticPr fontId="1" type="noConversion"/>
  </si>
  <si>
    <t>3E</t>
    <phoneticPr fontId="1" type="noConversion"/>
  </si>
  <si>
    <t>3F</t>
    <phoneticPr fontId="1" type="noConversion"/>
  </si>
  <si>
    <t>40</t>
    <phoneticPr fontId="1" type="noConversion"/>
  </si>
  <si>
    <t>41</t>
  </si>
  <si>
    <t>42</t>
  </si>
  <si>
    <t>43</t>
  </si>
  <si>
    <t>44</t>
  </si>
  <si>
    <t>45</t>
  </si>
  <si>
    <t>aa 00 04 21 00 00 00 25 55</t>
  </si>
  <si>
    <t>电机以指定的档速走指定步数-&gt;正向走</t>
    <phoneticPr fontId="1" type="noConversion"/>
  </si>
  <si>
    <t>10</t>
    <phoneticPr fontId="1" type="noConversion"/>
  </si>
  <si>
    <t>14</t>
    <phoneticPr fontId="1" type="noConversion"/>
  </si>
  <si>
    <t>00</t>
    <phoneticPr fontId="1" type="noConversion"/>
  </si>
  <si>
    <t>55</t>
    <phoneticPr fontId="1" type="noConversion"/>
  </si>
  <si>
    <t>查询指定长度的试剂检测通道组的状态。参数表示指定长度。返回 数据长度 + 数据长度字节的试剂检测通道组的状态，其中，状态字段的第一字节表示0~7号试剂检测通道的状态；字节低位表示低位号试剂通道的状态。0表示无试剂，1表示有试剂。注：试剂有无与光耦的状态相反。该条指令返回的是实际光耦状态的取反。（说明1）没有超限的情况下返回的数据长度字节等于指定长度字节，如果超限，返回最大组。</t>
    <phoneticPr fontId="1" type="noConversion"/>
  </si>
  <si>
    <t>10</t>
    <phoneticPr fontId="1" type="noConversion"/>
  </si>
  <si>
    <t>校验</t>
    <phoneticPr fontId="1" type="noConversion"/>
  </si>
  <si>
    <t>校验</t>
    <phoneticPr fontId="1" type="noConversion"/>
  </si>
  <si>
    <t>04</t>
    <phoneticPr fontId="1" type="noConversion"/>
  </si>
  <si>
    <t>00</t>
    <phoneticPr fontId="1" type="noConversion"/>
  </si>
  <si>
    <t>02</t>
    <phoneticPr fontId="1" type="noConversion"/>
  </si>
  <si>
    <t>08</t>
    <phoneticPr fontId="1" type="noConversion"/>
  </si>
  <si>
    <t>电机档速</t>
    <phoneticPr fontId="1" type="noConversion"/>
  </si>
  <si>
    <t>细分数</t>
    <phoneticPr fontId="1" type="noConversion"/>
  </si>
  <si>
    <t>电机档速和细分配置</t>
    <phoneticPr fontId="1" type="noConversion"/>
  </si>
  <si>
    <t>0x00 半步；0x01 4细分；0x02 8细分；0x03 16细分；</t>
    <phoneticPr fontId="1" type="noConversion"/>
  </si>
  <si>
    <t>设置MS954</t>
    <phoneticPr fontId="1" type="noConversion"/>
  </si>
  <si>
    <t>01</t>
    <phoneticPr fontId="1" type="noConversion"/>
  </si>
  <si>
    <t>0C</t>
    <phoneticPr fontId="1" type="noConversion"/>
  </si>
  <si>
    <t>消除装载不到位故障(使能自动装载)</t>
    <phoneticPr fontId="1" type="noConversion"/>
  </si>
  <si>
    <t>35</t>
    <phoneticPr fontId="1" type="noConversion"/>
  </si>
  <si>
    <t>0F</t>
    <phoneticPr fontId="1" type="noConversion"/>
  </si>
  <si>
    <t>设置条码扫描仪支持的码制以及是否有校验（说明1），返回1个字节的状态数据
0x00 无条码扫描仪
0x01: 有条码扫描仪</t>
    <phoneticPr fontId="1" type="noConversion"/>
  </si>
  <si>
    <t>36</t>
    <phoneticPr fontId="1" type="noConversion"/>
  </si>
  <si>
    <t>01</t>
    <phoneticPr fontId="1" type="noConversion"/>
  </si>
  <si>
    <t>测试旋转扫描组件</t>
    <phoneticPr fontId="1" type="noConversion"/>
  </si>
  <si>
    <t>测试末梢混匀组件</t>
    <phoneticPr fontId="1" type="noConversion"/>
  </si>
  <si>
    <t>自动进样时启动试管架移动（横向试管架向前移动一个试管位）</t>
    <phoneticPr fontId="1" type="noConversion"/>
  </si>
  <si>
    <t>查询从站版本信息，返回12/8字节版本信息：PCB+ARM+FPGA</t>
    <phoneticPr fontId="1" type="noConversion"/>
  </si>
  <si>
    <t>KB值自动转换到参数区（10000倍）</t>
    <phoneticPr fontId="1" type="noConversion"/>
  </si>
  <si>
    <t>10</t>
    <phoneticPr fontId="1" type="noConversion"/>
  </si>
  <si>
    <r>
      <t>指定档速初始化-&gt;</t>
    </r>
    <r>
      <rPr>
        <b/>
        <sz val="11"/>
        <color theme="1"/>
        <rFont val="宋体"/>
        <family val="3"/>
        <charset val="134"/>
        <scheme val="minor"/>
      </rPr>
      <t>垂直</t>
    </r>
    <phoneticPr fontId="1" type="noConversion"/>
  </si>
  <si>
    <t>0D</t>
    <phoneticPr fontId="1" type="noConversion"/>
  </si>
  <si>
    <t>01</t>
    <phoneticPr fontId="1" type="noConversion"/>
  </si>
  <si>
    <t>00</t>
    <phoneticPr fontId="1" type="noConversion"/>
  </si>
  <si>
    <t>00</t>
    <phoneticPr fontId="1" type="noConversion"/>
  </si>
  <si>
    <t>03</t>
    <phoneticPr fontId="1" type="noConversion"/>
  </si>
  <si>
    <t>转动时间</t>
    <phoneticPr fontId="1" type="noConversion"/>
  </si>
  <si>
    <t>摆动次数</t>
    <phoneticPr fontId="1" type="noConversion"/>
  </si>
  <si>
    <t>34</t>
    <phoneticPr fontId="1" type="noConversion"/>
  </si>
  <si>
    <t>0B</t>
    <phoneticPr fontId="1" type="noConversion"/>
  </si>
  <si>
    <t>63</t>
  </si>
  <si>
    <t>FF</t>
  </si>
  <si>
    <t>F6</t>
  </si>
  <si>
    <t>B1</t>
  </si>
  <si>
    <t>9C</t>
  </si>
  <si>
    <t>40</t>
  </si>
  <si>
    <t>54</t>
  </si>
  <si>
    <t>55</t>
  </si>
  <si>
    <t>11</t>
    <phoneticPr fontId="1" type="noConversion"/>
  </si>
  <si>
    <t>前摆</t>
    <phoneticPr fontId="1" type="noConversion"/>
  </si>
  <si>
    <t>后摆</t>
    <phoneticPr fontId="1" type="noConversion"/>
  </si>
  <si>
    <t>次数</t>
    <phoneticPr fontId="1" type="noConversion"/>
  </si>
  <si>
    <t>采样组件水平摆动</t>
    <phoneticPr fontId="1" type="noConversion"/>
  </si>
  <si>
    <t>后摆</t>
    <phoneticPr fontId="1" type="noConversion"/>
  </si>
  <si>
    <t>清空自动进样器</t>
    <phoneticPr fontId="1" type="noConversion"/>
  </si>
  <si>
    <t>自动进样中，启动末梢混匀。步骤1：底下夹起试管架（主机-&gt;驱动板）</t>
    <phoneticPr fontId="1" type="noConversion"/>
  </si>
  <si>
    <t xml:space="preserve">自动进样中，启动末梢混匀。步骤3：放试管到末梢混匀(主机-&gt;驱动板) </t>
    <phoneticPr fontId="1" type="noConversion"/>
  </si>
  <si>
    <r>
      <t>自动进样中，启动末梢混匀。步骤4：末梢混匀震动</t>
    </r>
    <r>
      <rPr>
        <sz val="8"/>
        <color rgb="FFFF0000"/>
        <rFont val="宋体"/>
        <family val="3"/>
        <charset val="134"/>
        <scheme val="minor"/>
      </rPr>
      <t>(主机-&gt;自动进样)</t>
    </r>
    <phoneticPr fontId="1" type="noConversion"/>
  </si>
  <si>
    <t>自动进样中，启动末梢混匀。步骤5：中间夹起试管(主机-&gt;驱动板)</t>
    <phoneticPr fontId="1" type="noConversion"/>
  </si>
  <si>
    <r>
      <t>自动进样中，启动末梢混匀。步骤6：末梢混匀后退离开</t>
    </r>
    <r>
      <rPr>
        <sz val="8"/>
        <color rgb="FFFF0000"/>
        <rFont val="宋体"/>
        <family val="3"/>
        <charset val="134"/>
        <scheme val="minor"/>
      </rPr>
      <t>(主机-&gt;自动进样)</t>
    </r>
    <phoneticPr fontId="1" type="noConversion"/>
  </si>
  <si>
    <t>自动进样中，启动末梢混匀。步骤7：放试管回试管架(主机-&gt;驱动板)</t>
    <phoneticPr fontId="1" type="noConversion"/>
  </si>
  <si>
    <t>37</t>
    <phoneticPr fontId="1" type="noConversion"/>
  </si>
  <si>
    <t>指定档速初始化-&gt;鞘流</t>
    <phoneticPr fontId="1" type="noConversion"/>
  </si>
  <si>
    <t>指定档速初始化-&gt;电机6</t>
    <phoneticPr fontId="1" type="noConversion"/>
  </si>
  <si>
    <t>指定档速初始化-&gt;电机7</t>
    <phoneticPr fontId="1" type="noConversion"/>
  </si>
  <si>
    <t>指定档速初始化-&gt;电机8</t>
    <phoneticPr fontId="1" type="noConversion"/>
  </si>
  <si>
    <t>指定档速初始化-&gt;电机9</t>
    <phoneticPr fontId="1" type="noConversion"/>
  </si>
  <si>
    <t>初始化自动进样器</t>
    <phoneticPr fontId="1" type="noConversion"/>
  </si>
  <si>
    <r>
      <t>自动进样中，启动末梢混匀。步骤2：末梢混匀前进接管</t>
    </r>
    <r>
      <rPr>
        <sz val="8"/>
        <color rgb="FFFF0000"/>
        <rFont val="宋体"/>
        <family val="3"/>
        <charset val="134"/>
        <scheme val="minor"/>
      </rPr>
      <t>(主机-&gt;自动进样)</t>
    </r>
    <phoneticPr fontId="1" type="noConversion"/>
  </si>
  <si>
    <t>01</t>
    <phoneticPr fontId="1" type="noConversion"/>
  </si>
  <si>
    <t>末梢清空。步骤1：末梢电机初始化(主机-&gt;自动进样)</t>
    <phoneticPr fontId="1" type="noConversion"/>
  </si>
  <si>
    <t xml:space="preserve">末梢清空。步骤2：全血混匀复位(主机-&gt;驱动板) </t>
    <phoneticPr fontId="1" type="noConversion"/>
  </si>
  <si>
    <t>末梢清空。步骤3：末梢混匀前进(主机-&gt;自动进样)</t>
    <phoneticPr fontId="1" type="noConversion"/>
  </si>
  <si>
    <t>末梢清空。步骤4：全血混匀夹起试管(主机-&gt;驱动板)</t>
    <phoneticPr fontId="1" type="noConversion"/>
  </si>
  <si>
    <t>末梢清空。步骤5：末梢混匀后退离开(主机-&gt;自动进样)</t>
    <phoneticPr fontId="1" type="noConversion"/>
  </si>
  <si>
    <t>末梢清空。步骤6：末梢混匀退回(主机-&gt;驱动板)</t>
    <phoneticPr fontId="1" type="noConversion"/>
  </si>
  <si>
    <r>
      <t>混匀组件</t>
    </r>
    <r>
      <rPr>
        <sz val="8"/>
        <color rgb="FFFF0000"/>
        <rFont val="宋体"/>
        <family val="3"/>
        <charset val="134"/>
        <scheme val="minor"/>
      </rPr>
      <t>复位</t>
    </r>
    <r>
      <rPr>
        <sz val="8"/>
        <color theme="1"/>
        <rFont val="宋体"/>
        <family val="2"/>
        <charset val="134"/>
        <scheme val="minor"/>
      </rPr>
      <t>命令</t>
    </r>
    <phoneticPr fontId="1" type="noConversion"/>
  </si>
  <si>
    <t>14</t>
    <phoneticPr fontId="1" type="noConversion"/>
  </si>
  <si>
    <t>14</t>
    <phoneticPr fontId="1" type="noConversion"/>
  </si>
  <si>
    <r>
      <t>以指定的档速</t>
    </r>
    <r>
      <rPr>
        <b/>
        <sz val="8"/>
        <color theme="1"/>
        <rFont val="宋体"/>
        <family val="3"/>
        <charset val="134"/>
        <scheme val="minor"/>
      </rPr>
      <t>水平</t>
    </r>
    <r>
      <rPr>
        <sz val="8"/>
        <color theme="1"/>
        <rFont val="宋体"/>
        <family val="2"/>
        <charset val="134"/>
        <scheme val="minor"/>
      </rPr>
      <t>运动到指定位置（垂直电机必须在上位）</t>
    </r>
    <phoneticPr fontId="1" type="noConversion"/>
  </si>
  <si>
    <t>查询指定通道的电源电压，返回两个字节的电源电压测量值，高位在前低位在后,-&gt;5V电压值</t>
    <phoneticPr fontId="1" type="noConversion"/>
  </si>
  <si>
    <t>试剂封闭</t>
    <phoneticPr fontId="1" type="noConversion"/>
  </si>
  <si>
    <t>02</t>
    <phoneticPr fontId="1" type="noConversion"/>
  </si>
  <si>
    <t>从站（读卡器）关闭射频</t>
    <phoneticPr fontId="1" type="noConversion"/>
  </si>
  <si>
    <t>从站（读卡器）读卡器芯片复位</t>
    <phoneticPr fontId="1" type="noConversion"/>
  </si>
  <si>
    <t>x</t>
    <phoneticPr fontId="1" type="noConversion"/>
  </si>
  <si>
    <t>x</t>
    <phoneticPr fontId="1" type="noConversion"/>
  </si>
  <si>
    <t>主站下发16字节指定目录下的外部认证密钥给从站(读卡器)，返回0x01--设置成功，0x00--设置失败</t>
    <phoneticPr fontId="1" type="noConversion"/>
  </si>
  <si>
    <t>主站下发16字节指定目录下的文件线路保护密钥给从站(读卡器) ，返回0x01--设置成功，0x00--设置失败</t>
    <phoneticPr fontId="1" type="noConversion"/>
  </si>
  <si>
    <t>从偏移地址XX处写入长度为XX的数据信息到智能卡上。注目前读卡器版本支持偏移地址小于256，数据长度不大于64，总数据信息不大于256.</t>
    <phoneticPr fontId="1" type="noConversion"/>
  </si>
  <si>
    <t>从偏移地址XX处读出长度为XX的卡上存储的数据。注意目前版本读卡器支持偏移地址小于256，数据信息长度不大于64.</t>
    <phoneticPr fontId="1" type="noConversion"/>
  </si>
  <si>
    <t>主站下发创建卡命令（发卡）。此时的卡是空卡，需烧写试剂信息</t>
    <phoneticPr fontId="1" type="noConversion"/>
  </si>
  <si>
    <t>查询卡的版本号（说明6），从站返回1字节的卡版本，
0x00 -- 1.0卡或2.0卡，0x01 -- 3.0卡</t>
    <phoneticPr fontId="1" type="noConversion"/>
  </si>
  <si>
    <r>
      <t xml:space="preserve">主站下发试剂信息存放在哪个目录下
</t>
    </r>
    <r>
      <rPr>
        <sz val="8"/>
        <color rgb="FFFF0000"/>
        <rFont val="宋体"/>
        <family val="3"/>
        <charset val="134"/>
        <scheme val="minor"/>
      </rPr>
      <t>0x00</t>
    </r>
    <r>
      <rPr>
        <sz val="8"/>
        <color theme="1"/>
        <rFont val="宋体"/>
        <family val="2"/>
        <charset val="134"/>
        <scheme val="minor"/>
      </rPr>
      <t xml:space="preserve">-- 试剂信息存放在主目录下的EF文件中；
</t>
    </r>
    <r>
      <rPr>
        <sz val="8"/>
        <color rgb="FFFF0000"/>
        <rFont val="宋体"/>
        <family val="3"/>
        <charset val="134"/>
        <scheme val="minor"/>
      </rPr>
      <t>0x01</t>
    </r>
    <r>
      <rPr>
        <sz val="8"/>
        <color theme="1"/>
        <rFont val="宋体"/>
        <family val="2"/>
        <charset val="134"/>
        <scheme val="minor"/>
      </rPr>
      <t>--试剂信息存放在主目录下文件标识符为002的目录下的EF文件中</t>
    </r>
    <phoneticPr fontId="1" type="noConversion"/>
  </si>
  <si>
    <t>09</t>
    <phoneticPr fontId="1" type="noConversion"/>
  </si>
  <si>
    <t>主站写读卡器设备，成功返回0x01，失败返回0x00.</t>
    <phoneticPr fontId="1" type="noConversion"/>
  </si>
  <si>
    <t>X</t>
    <phoneticPr fontId="1" type="noConversion"/>
  </si>
  <si>
    <t>主站读取卡号，成功返回5字节的卡号，失败返回0x00</t>
    <phoneticPr fontId="1" type="noConversion"/>
  </si>
  <si>
    <t>主站下发OEM代号，不同的OEM，读卡器的密钥不同</t>
    <phoneticPr fontId="1" type="noConversion"/>
  </si>
  <si>
    <t>注释区</t>
    <phoneticPr fontId="1" type="noConversion"/>
  </si>
  <si>
    <t>FF</t>
    <phoneticPr fontId="1" type="noConversion"/>
  </si>
  <si>
    <t>主站打开读卡器设备（读卡器设备开始读卡），
成功返回0x01，失败返回0x00</t>
    <phoneticPr fontId="1" type="noConversion"/>
  </si>
  <si>
    <t>主站关闭读卡器设备（读卡器设备停止读卡），
成功返回0x01，失败返回0x00</t>
    <phoneticPr fontId="1" type="noConversion"/>
  </si>
  <si>
    <t>01</t>
    <phoneticPr fontId="1" type="noConversion"/>
  </si>
  <si>
    <t>30</t>
    <phoneticPr fontId="1" type="noConversion"/>
  </si>
  <si>
    <t>02</t>
    <phoneticPr fontId="1" type="noConversion"/>
  </si>
  <si>
    <t>驱动LED1</t>
    <phoneticPr fontId="1" type="noConversion"/>
  </si>
  <si>
    <t>驱动LED2</t>
    <phoneticPr fontId="1" type="noConversion"/>
  </si>
  <si>
    <t>01</t>
    <phoneticPr fontId="1" type="noConversion"/>
  </si>
  <si>
    <t>驱动LED0</t>
    <phoneticPr fontId="1" type="noConversion"/>
  </si>
  <si>
    <t>E0</t>
    <phoneticPr fontId="1" type="noConversion"/>
  </si>
  <si>
    <t>01</t>
    <phoneticPr fontId="1" type="noConversion"/>
  </si>
  <si>
    <t>设置PID</t>
    <phoneticPr fontId="1" type="noConversion"/>
  </si>
  <si>
    <t>I</t>
    <phoneticPr fontId="1" type="noConversion"/>
  </si>
  <si>
    <t>D</t>
    <phoneticPr fontId="1" type="noConversion"/>
  </si>
  <si>
    <t>P</t>
    <phoneticPr fontId="1" type="noConversion"/>
  </si>
  <si>
    <t>00</t>
    <phoneticPr fontId="1" type="noConversion"/>
  </si>
  <si>
    <t>水平-&gt;  清洗池位</t>
    <phoneticPr fontId="1" type="noConversion"/>
  </si>
  <si>
    <t>0A</t>
    <phoneticPr fontId="1" type="noConversion"/>
  </si>
  <si>
    <t>0B</t>
    <phoneticPr fontId="1" type="noConversion"/>
  </si>
  <si>
    <t>0C</t>
    <phoneticPr fontId="1" type="noConversion"/>
  </si>
  <si>
    <t>垂直-》  2隔离</t>
    <phoneticPr fontId="1" type="noConversion"/>
  </si>
  <si>
    <t>垂直-》  3DIFF</t>
    <phoneticPr fontId="1" type="noConversion"/>
  </si>
  <si>
    <t>垂直-》  4RBC</t>
    <phoneticPr fontId="1" type="noConversion"/>
  </si>
  <si>
    <t>垂直-》  5开放</t>
    <phoneticPr fontId="1" type="noConversion"/>
  </si>
  <si>
    <t>垂直-》  6自动</t>
    <phoneticPr fontId="1" type="noConversion"/>
  </si>
  <si>
    <t>垂直-》  7蛋白</t>
    <phoneticPr fontId="1" type="noConversion"/>
  </si>
  <si>
    <t>查询指定压力 通道4（250KPa）</t>
    <phoneticPr fontId="1" type="noConversion"/>
  </si>
  <si>
    <t>04</t>
    <phoneticPr fontId="1" type="noConversion"/>
  </si>
  <si>
    <t>28</t>
    <phoneticPr fontId="1" type="noConversion"/>
  </si>
  <si>
    <t>试剂检测 0x64</t>
    <phoneticPr fontId="1" type="noConversion"/>
  </si>
  <si>
    <t>00</t>
    <phoneticPr fontId="1" type="noConversion"/>
  </si>
  <si>
    <t>0a</t>
    <phoneticPr fontId="1" type="noConversion"/>
  </si>
  <si>
    <t>查询指定开关通道的状态，0x00表示非正常状态，0x01表示正常状态</t>
    <phoneticPr fontId="1" type="noConversion"/>
  </si>
  <si>
    <t>自动建压：关机</t>
    <phoneticPr fontId="1" type="noConversion"/>
  </si>
  <si>
    <t>34</t>
    <phoneticPr fontId="1" type="noConversion"/>
  </si>
  <si>
    <t>00</t>
    <phoneticPr fontId="1" type="noConversion"/>
  </si>
  <si>
    <t>00</t>
    <phoneticPr fontId="1" type="noConversion"/>
  </si>
  <si>
    <t>04</t>
    <phoneticPr fontId="1" type="noConversion"/>
  </si>
  <si>
    <t>自动建压：待机</t>
    <phoneticPr fontId="1" type="noConversion"/>
  </si>
  <si>
    <t>自动建压：开机</t>
    <phoneticPr fontId="1" type="noConversion"/>
  </si>
  <si>
    <t>01</t>
    <phoneticPr fontId="1" type="noConversion"/>
  </si>
  <si>
    <t>02</t>
    <phoneticPr fontId="1" type="noConversion"/>
  </si>
  <si>
    <t>打开 泵1
（大气泵）</t>
    <phoneticPr fontId="1" type="noConversion"/>
  </si>
  <si>
    <t>启动通道4压力监测</t>
    <phoneticPr fontId="1" type="noConversion"/>
  </si>
  <si>
    <t>04</t>
    <phoneticPr fontId="1" type="noConversion"/>
  </si>
  <si>
    <t>启动通道4 建压</t>
    <phoneticPr fontId="1" type="noConversion"/>
  </si>
  <si>
    <t>通道0 开启排空</t>
    <phoneticPr fontId="1" type="noConversion"/>
  </si>
  <si>
    <t>00</t>
    <phoneticPr fontId="1" type="noConversion"/>
  </si>
  <si>
    <t>配置自动进样配件</t>
    <phoneticPr fontId="1" type="noConversion"/>
  </si>
  <si>
    <t>其他</t>
    <phoneticPr fontId="1" type="noConversion"/>
  </si>
  <si>
    <t>50</t>
    <phoneticPr fontId="1" type="noConversion"/>
  </si>
  <si>
    <t>占空比</t>
    <phoneticPr fontId="1" type="noConversion"/>
  </si>
  <si>
    <t>开无刷电机</t>
    <phoneticPr fontId="1" type="noConversion"/>
  </si>
  <si>
    <t>时间</t>
    <phoneticPr fontId="1" type="noConversion"/>
  </si>
  <si>
    <t>01</t>
    <phoneticPr fontId="1" type="noConversion"/>
  </si>
  <si>
    <t>固定时间内，开无刷电机
方向 0=逆时针转，1=顺时针转
占空比=0~100
时间单位为10ms</t>
    <phoneticPr fontId="1" type="noConversion"/>
  </si>
  <si>
    <t>无刷电机摆动</t>
    <phoneticPr fontId="1" type="noConversion"/>
  </si>
  <si>
    <t>51</t>
    <phoneticPr fontId="1" type="noConversion"/>
  </si>
  <si>
    <t>次数</t>
    <phoneticPr fontId="1" type="noConversion"/>
  </si>
  <si>
    <t>无刷摆动
次数=（1~255）
占空比=0~100
时间单位为10ms</t>
    <phoneticPr fontId="1" type="noConversion"/>
  </si>
  <si>
    <t>关无刷电机</t>
  </si>
  <si>
    <t>关无刷电机</t>
    <phoneticPr fontId="1" type="noConversion"/>
  </si>
  <si>
    <t>52</t>
    <phoneticPr fontId="1" type="noConversion"/>
  </si>
  <si>
    <t>占空比</t>
    <phoneticPr fontId="1" type="noConversion"/>
  </si>
  <si>
    <t>占空比</t>
    <phoneticPr fontId="1" type="noConversion"/>
  </si>
  <si>
    <t>查询指定长度的电机位置光耦组的状态。参数表示指定长度。返回 数据长度 + 数据长度字节的电机位置光耦组状态，其中，第一字节表示1~8号电机位置光耦的状态；字节低位表示低位号光耦状态。0表示未遮挡，1表示遮挡。没有超限的情况下返回的数据长度字节等于指定长度字节，如果超限，返回最大组。</t>
    <phoneticPr fontId="1" type="noConversion"/>
  </si>
  <si>
    <t>温度范围0 判断命令。状态：0x00-判断关温度范围判断命令。状态：0x00-判断关闭；0x01-判断打开</t>
    <phoneticPr fontId="1" type="noConversion"/>
  </si>
  <si>
    <t>固定时间内，开直流电机
方向 0=逆时针转，1=顺时针转
时间单位为10ms</t>
    <phoneticPr fontId="1" type="noConversion"/>
  </si>
  <si>
    <t>开直流减速电机</t>
    <phoneticPr fontId="1" type="noConversion"/>
  </si>
  <si>
    <t>关直流减速电机</t>
    <phoneticPr fontId="1" type="noConversion"/>
  </si>
  <si>
    <t>关直流减速电机</t>
    <phoneticPr fontId="1" type="noConversion"/>
  </si>
  <si>
    <t>末梢单向转动时间</t>
  </si>
  <si>
    <t>占空比</t>
    <phoneticPr fontId="1" type="noConversion"/>
  </si>
  <si>
    <t>启动自动进样-&gt;不扫描</t>
    <phoneticPr fontId="1" type="noConversion"/>
  </si>
  <si>
    <t>启动自动进样-&gt;全扫描</t>
    <phoneticPr fontId="1" type="noConversion"/>
  </si>
  <si>
    <t>03</t>
    <phoneticPr fontId="1" type="noConversion"/>
  </si>
  <si>
    <t>1107启动自动进样</t>
    <phoneticPr fontId="1" type="noConversion"/>
  </si>
  <si>
    <t>00</t>
    <phoneticPr fontId="1" type="noConversion"/>
  </si>
  <si>
    <t>末梢组件-&gt;0x</t>
    <phoneticPr fontId="1" type="noConversion"/>
  </si>
  <si>
    <t>配置</t>
    <phoneticPr fontId="1" type="noConversion"/>
  </si>
  <si>
    <t>2b</t>
    <phoneticPr fontId="1" type="noConversion"/>
  </si>
  <si>
    <t>2c</t>
    <phoneticPr fontId="1" type="noConversion"/>
  </si>
  <si>
    <t>初始化末梢组件</t>
    <phoneticPr fontId="1" type="noConversion"/>
  </si>
  <si>
    <t>启动末梢混匀（完成所有动作）</t>
    <phoneticPr fontId="1" type="noConversion"/>
  </si>
  <si>
    <t>18</t>
    <phoneticPr fontId="1" type="noConversion"/>
  </si>
  <si>
    <t>装载试管架</t>
    <phoneticPr fontId="1" type="noConversion"/>
  </si>
  <si>
    <t>卸载试管架</t>
    <phoneticPr fontId="1" type="noConversion"/>
  </si>
  <si>
    <t>抓取试管</t>
    <phoneticPr fontId="1" type="noConversion"/>
  </si>
  <si>
    <t>启动初始化升降机构</t>
    <phoneticPr fontId="1" type="noConversion"/>
  </si>
  <si>
    <t>举起试管</t>
    <phoneticPr fontId="1" type="noConversion"/>
  </si>
  <si>
    <t>启动速初始化摆动机构</t>
    <phoneticPr fontId="1" type="noConversion"/>
  </si>
  <si>
    <t>摆动试管</t>
    <phoneticPr fontId="1" type="noConversion"/>
  </si>
  <si>
    <t>接管试管架</t>
    <phoneticPr fontId="1" type="noConversion"/>
  </si>
  <si>
    <t>时间</t>
    <phoneticPr fontId="1" type="noConversion"/>
  </si>
  <si>
    <t>单次摆动时间</t>
    <phoneticPr fontId="1" type="noConversion"/>
  </si>
  <si>
    <t>26</t>
    <phoneticPr fontId="1" type="noConversion"/>
  </si>
  <si>
    <t>举起试管到末梢位</t>
    <phoneticPr fontId="1" type="noConversion"/>
  </si>
  <si>
    <t>试剂有无检测</t>
    <phoneticPr fontId="1" type="noConversion"/>
  </si>
  <si>
    <t>检测时间
1ms</t>
    <phoneticPr fontId="1" type="noConversion"/>
  </si>
  <si>
    <t>占空时间
1ms</t>
    <phoneticPr fontId="1" type="noConversion"/>
  </si>
  <si>
    <t>试剂有无监控</t>
    <phoneticPr fontId="1" type="noConversion"/>
  </si>
  <si>
    <t>columnCount</t>
  </si>
  <si>
    <t>columnWidth</t>
  </si>
  <si>
    <t>headerItemText</t>
  </si>
  <si>
    <t>命令</t>
    <phoneticPr fontId="1" type="noConversion"/>
  </si>
  <si>
    <t>中文注释</t>
    <phoneticPr fontId="1" type="noConversion"/>
  </si>
  <si>
    <t>+</t>
    <phoneticPr fontId="1" type="noConversion"/>
  </si>
  <si>
    <t>-</t>
    <phoneticPr fontId="1" type="noConversion"/>
  </si>
  <si>
    <t>test</t>
  </si>
  <si>
    <t>备注:
1.这个文件只能被Qt代码读取，不要被写入
2.这个文件用于将EXCEL数据转为tree文件
3.第一列数据代表递归关系，数字0代表不用
4.关于注释，ord代表命令注释，rep代表回复注释，no代表没有参数
4.1.子内容存放“数据长度，数据解释，数据解析格式”
4.2.“数据解析格式”：10+-=十进制(有正负数) 10 = 十进制(只有正数)，，16 = 16进制，100 = 匹配子对象内容
4.3.“匹配子对象内容”采用不区分大小写但要求字符个数完全匹配的格式，所以要完整写“01”或“0011”的完整个数，不能漏“0”</t>
    <phoneticPr fontId="1" type="noConversion"/>
  </si>
  <si>
    <t>从站</t>
  </si>
  <si>
    <r>
      <t>备注：本EXCEL 表格中，</t>
    </r>
    <r>
      <rPr>
        <sz val="11"/>
        <color rgb="FF0070C0"/>
        <rFont val="宋体"/>
        <family val="3"/>
        <charset val="134"/>
        <scheme val="minor"/>
      </rPr>
      <t>长度</t>
    </r>
    <r>
      <rPr>
        <sz val="11"/>
        <color theme="1"/>
        <rFont val="宋体"/>
        <family val="2"/>
        <charset val="134"/>
        <scheme val="minor"/>
      </rPr>
      <t>与</t>
    </r>
    <r>
      <rPr>
        <sz val="11"/>
        <color rgb="FF0070C0"/>
        <rFont val="宋体"/>
        <family val="3"/>
        <charset val="134"/>
        <scheme val="minor"/>
      </rPr>
      <t>校验</t>
    </r>
    <r>
      <rPr>
        <sz val="11"/>
        <color theme="1"/>
        <rFont val="宋体"/>
        <family val="2"/>
        <charset val="134"/>
        <scheme val="minor"/>
      </rPr>
      <t>和是自动计算的，但是其他参数的输入要以16进制输入</t>
    </r>
    <phoneticPr fontId="1" type="noConversion"/>
  </si>
  <si>
    <t>备用</t>
    <phoneticPr fontId="1" type="noConversion"/>
  </si>
  <si>
    <t>留白</t>
    <phoneticPr fontId="1" type="noConversion"/>
  </si>
  <si>
    <t>起始</t>
    <phoneticPr fontId="1" type="noConversion"/>
  </si>
  <si>
    <t>控制</t>
    <phoneticPr fontId="1" type="noConversion"/>
  </si>
  <si>
    <t>长度</t>
    <phoneticPr fontId="1" type="noConversion"/>
  </si>
  <si>
    <t>类型</t>
    <phoneticPr fontId="1" type="noConversion"/>
  </si>
  <si>
    <t>通道号</t>
    <phoneticPr fontId="1" type="noConversion"/>
  </si>
  <si>
    <t>命令码</t>
    <phoneticPr fontId="1" type="noConversion"/>
  </si>
  <si>
    <t>参数(没有就不写)</t>
    <phoneticPr fontId="1" type="noConversion"/>
  </si>
  <si>
    <t>校验</t>
    <phoneticPr fontId="1" type="noConversion"/>
  </si>
  <si>
    <t>结束</t>
    <phoneticPr fontId="1" type="noConversion"/>
  </si>
  <si>
    <t>源</t>
    <phoneticPr fontId="1" type="noConversion"/>
  </si>
  <si>
    <t>目的</t>
    <phoneticPr fontId="1" type="noConversion"/>
  </si>
  <si>
    <t>ID码</t>
    <phoneticPr fontId="1" type="noConversion"/>
  </si>
  <si>
    <t>0x00</t>
    <phoneticPr fontId="1" type="noConversion"/>
  </si>
  <si>
    <t>0x01</t>
    <phoneticPr fontId="1" type="noConversion"/>
  </si>
  <si>
    <t>0x00</t>
    <phoneticPr fontId="1" type="noConversion"/>
  </si>
  <si>
    <t>时间</t>
    <phoneticPr fontId="1" type="noConversion"/>
  </si>
  <si>
    <t>压力</t>
    <phoneticPr fontId="1" type="noConversion"/>
  </si>
  <si>
    <t>查询指定压力 通道0（6Kpa）</t>
  </si>
  <si>
    <t>查询指定压力 通道1（60Kpa）</t>
  </si>
  <si>
    <t>查询指定压力 通道2（-30Kpa）</t>
  </si>
  <si>
    <t>查询指定压力 通道3（鞘流）</t>
  </si>
  <si>
    <t>查询指定压力 通道4（250KPa）</t>
  </si>
  <si>
    <t>查询指定压力通道压力值，返回3字节压力数据</t>
    <phoneticPr fontId="1" type="noConversion"/>
  </si>
  <si>
    <t>查询指定压力通道压力值，返回2字节压力数据</t>
    <phoneticPr fontId="1" type="noConversion"/>
  </si>
  <si>
    <t>查询指定通道压力的K值和B值，返回8字节数据</t>
    <phoneticPr fontId="1" type="noConversion"/>
  </si>
  <si>
    <t>电机</t>
    <phoneticPr fontId="1" type="noConversion"/>
  </si>
  <si>
    <t>电机初始化</t>
    <phoneticPr fontId="1" type="noConversion"/>
  </si>
  <si>
    <t>电机以指定的档速走指定步数-&gt;正向走</t>
  </si>
  <si>
    <t>1114调试-》电机以指定的档速运动到指定位置-水平正向走</t>
  </si>
  <si>
    <t>电机以指定的档速运动到指定位置-垂直</t>
  </si>
  <si>
    <t>灌注</t>
    <phoneticPr fontId="1" type="noConversion"/>
  </si>
  <si>
    <t>07</t>
    <phoneticPr fontId="1" type="noConversion"/>
  </si>
  <si>
    <t>会报警的灌注-1114</t>
    <phoneticPr fontId="1" type="noConversion"/>
  </si>
  <si>
    <t>不会报警的灌注-1114</t>
    <phoneticPr fontId="1" type="noConversion"/>
  </si>
  <si>
    <t>临时测试1</t>
    <phoneticPr fontId="1" type="noConversion"/>
  </si>
  <si>
    <t>临时测试2</t>
  </si>
  <si>
    <t>临时测试3</t>
  </si>
  <si>
    <t>临时测试4</t>
  </si>
  <si>
    <t>临时测试5</t>
  </si>
  <si>
    <t>未完待续</t>
    <phoneticPr fontId="1" type="noConversion"/>
  </si>
  <si>
    <t>自动建压</t>
  </si>
  <si>
    <t>自动建压</t>
    <phoneticPr fontId="1" type="noConversion"/>
  </si>
  <si>
    <t>自动建压：关机</t>
  </si>
  <si>
    <t>自动建压：待机</t>
  </si>
  <si>
    <t>自动建压：开机</t>
  </si>
  <si>
    <t>查询压力值</t>
    <phoneticPr fontId="1" type="noConversion"/>
  </si>
  <si>
    <t>查询指定通道压力的K值和B值，返回8字节数据</t>
  </si>
  <si>
    <t>查询通道0的K值和B值</t>
  </si>
  <si>
    <t>采样</t>
    <phoneticPr fontId="1" type="noConversion"/>
  </si>
  <si>
    <t>以指定档速水平初始化采样组件（垂直电机必须在上位）</t>
  </si>
  <si>
    <t>以指定档速垂直初始化采样组件（水平电机必须在光耦位）</t>
  </si>
  <si>
    <t>以指定的档速水平运动到指定位置（垂直电机必须在上位）</t>
  </si>
  <si>
    <t>以指定的档速垂直运动到指定位置（水平电机必须在光耦位）</t>
  </si>
  <si>
    <t>配置采样组件的水平电机号与垂直电机号（电机号1-8）。</t>
  </si>
  <si>
    <t>以指定的档速水平运动到指定位置（垂直电机必须在上位）</t>
    <phoneticPr fontId="1" type="noConversion"/>
  </si>
  <si>
    <t>0x04</t>
    <phoneticPr fontId="1" type="noConversion"/>
  </si>
  <si>
    <t>阀</t>
    <phoneticPr fontId="1" type="noConversion"/>
  </si>
  <si>
    <t>关闭所有阀</t>
  </si>
  <si>
    <t>打开所有阀</t>
  </si>
  <si>
    <t>关闭 阀1</t>
  </si>
  <si>
    <t>打开 阀1</t>
  </si>
  <si>
    <t>打开 阀6</t>
  </si>
  <si>
    <t>打开 阀41</t>
  </si>
  <si>
    <t>阀1~40</t>
    <phoneticPr fontId="1" type="noConversion"/>
  </si>
  <si>
    <t>阀61~80</t>
    <phoneticPr fontId="1" type="noConversion"/>
  </si>
  <si>
    <t>阀41~60</t>
    <phoneticPr fontId="1" type="noConversion"/>
  </si>
  <si>
    <t>0A</t>
    <phoneticPr fontId="1" type="noConversion"/>
  </si>
  <si>
    <t>指定档速初始化-&gt;电机10</t>
    <phoneticPr fontId="1" type="noConversion"/>
  </si>
  <si>
    <t>关闭所有泵</t>
  </si>
  <si>
    <t>打开所有泵</t>
  </si>
  <si>
    <t>关闭 泵1</t>
  </si>
  <si>
    <t>打开 泵1
（大气泵）</t>
  </si>
  <si>
    <t>泵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</si>
</sst>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6"/>
      <color theme="1"/>
      <name val="宋体"/>
      <family val="3"/>
      <charset val="134"/>
      <scheme val="minor"/>
    </font>
    <font>
      <sz val="8"/>
      <color theme="1"/>
      <name val="宋体"/>
      <family val="3"/>
      <charset val="134"/>
      <scheme val="minor"/>
    </font>
    <font>
      <i/>
      <sz val="11"/>
      <color theme="1"/>
      <name val="宋体"/>
      <family val="3"/>
      <charset val="134"/>
      <scheme val="minor"/>
    </font>
    <font>
      <sz val="18"/>
      <color theme="1"/>
      <name val="宋体"/>
      <family val="2"/>
      <charset val="134"/>
      <scheme val="minor"/>
    </font>
    <font>
      <sz val="8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b/>
      <sz val="10"/>
      <color theme="1"/>
      <name val="宋体"/>
      <family val="3"/>
      <charset val="134"/>
      <scheme val="minor"/>
    </font>
    <font>
      <sz val="11"/>
      <color rgb="FF00B050"/>
      <name val="宋体"/>
      <family val="2"/>
      <charset val="134"/>
      <scheme val="minor"/>
    </font>
    <font>
      <sz val="11"/>
      <color rgb="FF00B05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i/>
      <sz val="11"/>
      <name val="宋体"/>
      <family val="3"/>
      <charset val="134"/>
      <scheme val="minor"/>
    </font>
    <font>
      <sz val="8"/>
      <name val="宋体"/>
      <family val="2"/>
      <charset val="134"/>
      <scheme val="minor"/>
    </font>
    <font>
      <sz val="8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sz val="8"/>
      <name val="宋体"/>
      <family val="3"/>
      <charset val="134"/>
      <scheme val="minor"/>
    </font>
    <font>
      <sz val="6"/>
      <name val="宋体"/>
      <family val="2"/>
      <charset val="134"/>
      <scheme val="minor"/>
    </font>
    <font>
      <sz val="6"/>
      <name val="宋体"/>
      <family val="3"/>
      <charset val="134"/>
      <scheme val="minor"/>
    </font>
    <font>
      <sz val="6"/>
      <color rgb="FF00B050"/>
      <name val="宋体"/>
      <family val="3"/>
      <charset val="134"/>
      <scheme val="minor"/>
    </font>
    <font>
      <sz val="6"/>
      <color rgb="FF00B050"/>
      <name val="宋体"/>
      <family val="2"/>
      <charset val="134"/>
      <scheme val="minor"/>
    </font>
    <font>
      <sz val="18"/>
      <color theme="1"/>
      <name val="宋体"/>
      <family val="3"/>
      <charset val="134"/>
      <scheme val="minor"/>
    </font>
    <font>
      <sz val="8"/>
      <color rgb="FFFF0000"/>
      <name val="宋体"/>
      <family val="2"/>
      <charset val="134"/>
      <scheme val="minor"/>
    </font>
    <font>
      <b/>
      <sz val="9"/>
      <color theme="1"/>
      <name val="黑体"/>
      <family val="3"/>
      <charset val="134"/>
    </font>
    <font>
      <sz val="6"/>
      <color theme="1"/>
      <name val="宋体"/>
      <family val="2"/>
      <charset val="134"/>
      <scheme val="minor"/>
    </font>
    <font>
      <sz val="8"/>
      <color rgb="FFFF0000"/>
      <name val="宋体"/>
      <family val="3"/>
      <charset val="134"/>
      <scheme val="minor"/>
    </font>
    <font>
      <b/>
      <sz val="8"/>
      <color theme="1"/>
      <name val="宋体"/>
      <family val="3"/>
      <charset val="134"/>
      <scheme val="minor"/>
    </font>
    <font>
      <b/>
      <i/>
      <sz val="12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8"/>
      <color theme="5"/>
      <name val="宋体"/>
      <family val="2"/>
      <charset val="134"/>
      <scheme val="minor"/>
    </font>
    <font>
      <sz val="8"/>
      <color rgb="FF00B050"/>
      <name val="宋体"/>
      <family val="2"/>
      <charset val="134"/>
      <scheme val="minor"/>
    </font>
    <font>
      <sz val="10"/>
      <color rgb="FF00B050"/>
      <name val="宋体"/>
      <family val="3"/>
      <charset val="134"/>
      <scheme val="minor"/>
    </font>
    <font>
      <sz val="10"/>
      <color rgb="FF00B050"/>
      <name val="宋体"/>
      <family val="2"/>
      <charset val="134"/>
      <scheme val="minor"/>
    </font>
    <font>
      <sz val="8"/>
      <color rgb="FF00B050"/>
      <name val="宋体"/>
      <family val="3"/>
      <charset val="134"/>
      <scheme val="minor"/>
    </font>
    <font>
      <sz val="11"/>
      <color rgb="FF0070C0"/>
      <name val="宋体"/>
      <family val="3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59999389629810485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 diagonalUp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604">
    <xf numFmtId="0" fontId="0" fillId="0" borderId="0" xfId="0">
      <alignment vertical="center"/>
    </xf>
    <xf numFmtId="0" fontId="0" fillId="4" borderId="1" xfId="0" quotePrefix="1" applyFill="1" applyBorder="1">
      <alignment vertical="center"/>
    </xf>
    <xf numFmtId="0" fontId="2" fillId="4" borderId="1" xfId="0" quotePrefix="1" applyFont="1" applyFill="1" applyBorder="1">
      <alignment vertical="center"/>
    </xf>
    <xf numFmtId="0" fontId="5" fillId="4" borderId="1" xfId="0" quotePrefix="1" applyFont="1" applyFill="1" applyBorder="1">
      <alignment vertical="center"/>
    </xf>
    <xf numFmtId="0" fontId="5" fillId="4" borderId="1" xfId="0" quotePrefix="1" applyFont="1" applyFill="1" applyBorder="1" applyAlignment="1">
      <alignment vertical="center"/>
    </xf>
    <xf numFmtId="0" fontId="0" fillId="5" borderId="1" xfId="0" quotePrefix="1" applyFill="1" applyBorder="1">
      <alignment vertical="center"/>
    </xf>
    <xf numFmtId="0" fontId="2" fillId="5" borderId="1" xfId="0" quotePrefix="1" applyFont="1" applyFill="1" applyBorder="1">
      <alignment vertical="center"/>
    </xf>
    <xf numFmtId="0" fontId="8" fillId="4" borderId="1" xfId="0" applyFont="1" applyFill="1" applyBorder="1">
      <alignment vertical="center"/>
    </xf>
    <xf numFmtId="0" fontId="9" fillId="4" borderId="1" xfId="0" quotePrefix="1" applyFont="1" applyFill="1" applyBorder="1">
      <alignment vertical="center"/>
    </xf>
    <xf numFmtId="0" fontId="8" fillId="4" borderId="1" xfId="0" quotePrefix="1" applyFont="1" applyFill="1" applyBorder="1">
      <alignment vertical="center"/>
    </xf>
    <xf numFmtId="0" fontId="10" fillId="4" borderId="1" xfId="0" quotePrefix="1" applyFont="1" applyFill="1" applyBorder="1">
      <alignment vertical="center"/>
    </xf>
    <xf numFmtId="0" fontId="11" fillId="4" borderId="1" xfId="0" quotePrefix="1" applyFont="1" applyFill="1" applyBorder="1">
      <alignment vertical="center"/>
    </xf>
    <xf numFmtId="0" fontId="7" fillId="6" borderId="1" xfId="0" applyFont="1" applyFill="1" applyBorder="1" applyAlignment="1">
      <alignment horizontal="center" vertical="center"/>
    </xf>
    <xf numFmtId="0" fontId="12" fillId="4" borderId="1" xfId="0" quotePrefix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17" fillId="6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12" fillId="2" borderId="1" xfId="0" quotePrefix="1" applyFont="1" applyFill="1" applyBorder="1" applyAlignment="1">
      <alignment horizontal="center" vertical="center"/>
    </xf>
    <xf numFmtId="0" fontId="13" fillId="2" borderId="1" xfId="0" quotePrefix="1" applyFont="1" applyFill="1" applyBorder="1" applyAlignment="1">
      <alignment horizontal="center" vertical="center"/>
    </xf>
    <xf numFmtId="0" fontId="16" fillId="2" borderId="1" xfId="0" quotePrefix="1" applyFont="1" applyFill="1" applyBorder="1" applyAlignment="1">
      <alignment horizontal="center" vertical="center"/>
    </xf>
    <xf numFmtId="0" fontId="19" fillId="2" borderId="1" xfId="0" quotePrefix="1" applyFont="1" applyFill="1" applyBorder="1" applyAlignment="1">
      <alignment horizontal="center" vertical="center"/>
    </xf>
    <xf numFmtId="0" fontId="17" fillId="0" borderId="0" xfId="0" applyFont="1">
      <alignment vertical="center"/>
    </xf>
    <xf numFmtId="0" fontId="4" fillId="8" borderId="1" xfId="0" applyFont="1" applyFill="1" applyBorder="1" applyAlignment="1">
      <alignment horizontal="center" vertical="center"/>
    </xf>
    <xf numFmtId="0" fontId="0" fillId="8" borderId="1" xfId="0" quotePrefix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0" fontId="12" fillId="0" borderId="0" xfId="0" quotePrefix="1" applyFont="1" applyFill="1" applyBorder="1" applyAlignment="1">
      <alignment vertical="center"/>
    </xf>
    <xf numFmtId="0" fontId="14" fillId="2" borderId="1" xfId="0" quotePrefix="1" applyFont="1" applyFill="1" applyBorder="1" applyAlignment="1">
      <alignment vertical="center"/>
    </xf>
    <xf numFmtId="0" fontId="16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4" borderId="1" xfId="0" quotePrefix="1" applyFill="1" applyBorder="1" applyAlignment="1">
      <alignment vertical="center"/>
    </xf>
    <xf numFmtId="0" fontId="4" fillId="4" borderId="1" xfId="0" quotePrefix="1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14" fillId="0" borderId="5" xfId="0" quotePrefix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16" fillId="2" borderId="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12" fillId="4" borderId="1" xfId="0" quotePrefix="1" applyFont="1" applyFill="1" applyBorder="1" applyAlignment="1" applyProtection="1">
      <alignment horizontal="center" vertical="center"/>
    </xf>
    <xf numFmtId="0" fontId="0" fillId="0" borderId="0" xfId="0" applyProtection="1">
      <alignment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3" fillId="8" borderId="1" xfId="0" applyFont="1" applyFill="1" applyBorder="1" applyAlignment="1" applyProtection="1">
      <alignment horizontal="center" vertical="center" wrapText="1"/>
      <protection locked="0"/>
    </xf>
    <xf numFmtId="0" fontId="12" fillId="4" borderId="10" xfId="0" quotePrefix="1" applyFont="1" applyFill="1" applyBorder="1" applyAlignment="1" applyProtection="1">
      <alignment horizontal="center" vertical="center"/>
      <protection locked="0"/>
    </xf>
    <xf numFmtId="0" fontId="13" fillId="4" borderId="10" xfId="0" quotePrefix="1" applyFont="1" applyFill="1" applyBorder="1" applyAlignment="1" applyProtection="1">
      <alignment horizontal="center" vertical="center"/>
      <protection locked="0"/>
    </xf>
    <xf numFmtId="0" fontId="12" fillId="4" borderId="10" xfId="0" quotePrefix="1" applyFont="1" applyFill="1" applyBorder="1" applyAlignment="1" applyProtection="1">
      <alignment horizontal="center" vertical="center"/>
    </xf>
    <xf numFmtId="0" fontId="7" fillId="6" borderId="10" xfId="0" applyFont="1" applyFill="1" applyBorder="1" applyAlignment="1" applyProtection="1">
      <alignment horizontal="center" vertical="center"/>
    </xf>
    <xf numFmtId="0" fontId="0" fillId="8" borderId="10" xfId="0" quotePrefix="1" applyFill="1" applyBorder="1" applyAlignment="1">
      <alignment horizontal="center" vertical="center"/>
    </xf>
    <xf numFmtId="0" fontId="4" fillId="6" borderId="1" xfId="0" applyFont="1" applyFill="1" applyBorder="1" applyAlignment="1" applyProtection="1">
      <alignment horizontal="center" vertical="center" wrapText="1"/>
      <protection locked="0"/>
    </xf>
    <xf numFmtId="0" fontId="20" fillId="4" borderId="1" xfId="0" applyFont="1" applyFill="1" applyBorder="1" applyAlignment="1" applyProtection="1">
      <alignment horizontal="center" vertical="center" wrapText="1"/>
      <protection locked="0"/>
    </xf>
    <xf numFmtId="0" fontId="7" fillId="0" borderId="1" xfId="0" applyFont="1" applyFill="1" applyBorder="1" applyAlignment="1" applyProtection="1">
      <alignment horizontal="center" vertical="center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7" fillId="6" borderId="1" xfId="0" applyFont="1" applyFill="1" applyBorder="1" applyAlignment="1" applyProtection="1">
      <alignment horizontal="center" vertical="center"/>
    </xf>
    <xf numFmtId="0" fontId="12" fillId="0" borderId="1" xfId="0" quotePrefix="1" applyFont="1" applyFill="1" applyBorder="1" applyAlignment="1" applyProtection="1">
      <alignment vertical="center"/>
    </xf>
    <xf numFmtId="0" fontId="14" fillId="4" borderId="23" xfId="0" quotePrefix="1" applyFont="1" applyFill="1" applyBorder="1" applyAlignment="1" applyProtection="1">
      <alignment horizontal="center" vertical="center"/>
      <protection locked="0"/>
    </xf>
    <xf numFmtId="0" fontId="0" fillId="0" borderId="1" xfId="0" quotePrefix="1" applyFill="1" applyBorder="1">
      <alignment vertical="center"/>
    </xf>
    <xf numFmtId="0" fontId="2" fillId="0" borderId="1" xfId="0" quotePrefix="1" applyFont="1" applyFill="1" applyBorder="1">
      <alignment vertical="center"/>
    </xf>
    <xf numFmtId="0" fontId="5" fillId="0" borderId="1" xfId="0" quotePrefix="1" applyFont="1" applyFill="1" applyBorder="1" applyAlignment="1">
      <alignment vertical="center"/>
    </xf>
    <xf numFmtId="0" fontId="14" fillId="0" borderId="23" xfId="0" quotePrefix="1" applyFont="1" applyFill="1" applyBorder="1" applyAlignment="1" applyProtection="1">
      <alignment horizontal="center" vertical="center"/>
      <protection locked="0"/>
    </xf>
    <xf numFmtId="0" fontId="12" fillId="0" borderId="1" xfId="0" quotePrefix="1" applyFont="1" applyFill="1" applyBorder="1" applyAlignment="1" applyProtection="1">
      <alignment horizontal="center" vertical="center"/>
    </xf>
    <xf numFmtId="0" fontId="0" fillId="0" borderId="0" xfId="0" quotePrefix="1" applyFill="1" applyBorder="1">
      <alignment vertical="center"/>
    </xf>
    <xf numFmtId="0" fontId="2" fillId="0" borderId="0" xfId="0" quotePrefix="1" applyFont="1" applyFill="1" applyBorder="1">
      <alignment vertical="center"/>
    </xf>
    <xf numFmtId="0" fontId="14" fillId="0" borderId="0" xfId="0" quotePrefix="1" applyFont="1" applyFill="1" applyBorder="1" applyAlignment="1" applyProtection="1">
      <alignment horizontal="center" vertical="center"/>
      <protection locked="0"/>
    </xf>
    <xf numFmtId="0" fontId="12" fillId="0" borderId="0" xfId="0" quotePrefix="1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14" fillId="4" borderId="1" xfId="0" quotePrefix="1" applyFont="1" applyFill="1" applyBorder="1" applyAlignment="1">
      <alignment vertical="center"/>
    </xf>
    <xf numFmtId="0" fontId="0" fillId="4" borderId="4" xfId="0" quotePrefix="1" applyFill="1" applyBorder="1" applyAlignment="1">
      <alignment vertical="center"/>
    </xf>
    <xf numFmtId="0" fontId="0" fillId="8" borderId="1" xfId="0" quotePrefix="1" applyFill="1" applyBorder="1">
      <alignment vertical="center"/>
    </xf>
    <xf numFmtId="0" fontId="21" fillId="2" borderId="1" xfId="0" applyFont="1" applyFill="1" applyBorder="1" applyAlignment="1">
      <alignment horizontal="center" vertical="center"/>
    </xf>
    <xf numFmtId="0" fontId="12" fillId="4" borderId="1" xfId="0" quotePrefix="1" applyFont="1" applyFill="1" applyBorder="1" applyAlignment="1" applyProtection="1">
      <alignment horizontal="center" vertical="center"/>
      <protection locked="0"/>
    </xf>
    <xf numFmtId="0" fontId="13" fillId="4" borderId="1" xfId="0" quotePrefix="1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Alignment="1" applyProtection="1">
      <alignment vertical="center"/>
      <protection locked="0"/>
    </xf>
    <xf numFmtId="0" fontId="12" fillId="0" borderId="5" xfId="0" quotePrefix="1" applyFont="1" applyFill="1" applyBorder="1" applyAlignment="1">
      <alignment horizontal="center" vertical="center"/>
    </xf>
    <xf numFmtId="0" fontId="13" fillId="0" borderId="5" xfId="0" quotePrefix="1" applyFont="1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vertical="center"/>
    </xf>
    <xf numFmtId="0" fontId="15" fillId="7" borderId="6" xfId="0" applyFont="1" applyFill="1" applyBorder="1" applyAlignment="1">
      <alignment vertical="center"/>
    </xf>
    <xf numFmtId="0" fontId="22" fillId="4" borderId="1" xfId="0" applyFont="1" applyFill="1" applyBorder="1" applyAlignment="1" applyProtection="1">
      <alignment horizontal="center" vertical="center" wrapText="1"/>
      <protection locked="0"/>
    </xf>
    <xf numFmtId="0" fontId="11" fillId="4" borderId="1" xfId="0" quotePrefix="1" applyFont="1" applyFill="1" applyBorder="1" applyAlignment="1" applyProtection="1">
      <alignment horizontal="center" vertical="center"/>
    </xf>
    <xf numFmtId="0" fontId="11" fillId="4" borderId="10" xfId="0" quotePrefix="1" applyFont="1" applyFill="1" applyBorder="1" applyAlignment="1" applyProtection="1">
      <alignment horizontal="center" vertical="center"/>
    </xf>
    <xf numFmtId="0" fontId="23" fillId="4" borderId="1" xfId="0" applyFont="1" applyFill="1" applyBorder="1" applyAlignment="1" applyProtection="1">
      <alignment horizontal="center" vertical="center" wrapText="1"/>
      <protection locked="0"/>
    </xf>
    <xf numFmtId="0" fontId="23" fillId="4" borderId="14" xfId="0" applyFont="1" applyFill="1" applyBorder="1" applyAlignment="1" applyProtection="1">
      <alignment horizontal="center" vertical="center" wrapText="1"/>
      <protection locked="0"/>
    </xf>
    <xf numFmtId="0" fontId="11" fillId="4" borderId="15" xfId="0" quotePrefix="1" applyFont="1" applyFill="1" applyBorder="1" applyAlignment="1" applyProtection="1">
      <alignment horizontal="center" vertical="center"/>
    </xf>
    <xf numFmtId="0" fontId="12" fillId="0" borderId="0" xfId="0" quotePrefix="1" applyFont="1" applyFill="1" applyBorder="1" applyAlignment="1">
      <alignment horizontal="center" vertical="center"/>
    </xf>
    <xf numFmtId="0" fontId="13" fillId="0" borderId="0" xfId="0" quotePrefix="1" applyFont="1" applyFill="1" applyBorder="1" applyAlignment="1">
      <alignment horizontal="center" vertical="center"/>
    </xf>
    <xf numFmtId="0" fontId="14" fillId="0" borderId="0" xfId="0" quotePrefix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0" xfId="0" applyAlignment="1" applyProtection="1">
      <alignment vertical="center" wrapText="1"/>
      <protection locked="0"/>
    </xf>
    <xf numFmtId="0" fontId="0" fillId="6" borderId="1" xfId="0" applyFill="1" applyBorder="1" applyAlignment="1" applyProtection="1">
      <alignment horizontal="center" vertical="center" wrapText="1"/>
      <protection locked="0"/>
    </xf>
    <xf numFmtId="0" fontId="0" fillId="9" borderId="1" xfId="0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14" fillId="2" borderId="1" xfId="0" quotePrefix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3" fillId="4" borderId="1" xfId="0" applyFont="1" applyFill="1" applyBorder="1">
      <alignment vertical="center"/>
    </xf>
    <xf numFmtId="0" fontId="14" fillId="2" borderId="1" xfId="0" quotePrefix="1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0" fillId="8" borderId="23" xfId="0" applyFill="1" applyBorder="1" applyAlignment="1" applyProtection="1">
      <alignment vertical="center"/>
      <protection locked="0"/>
    </xf>
    <xf numFmtId="0" fontId="14" fillId="2" borderId="23" xfId="0" quotePrefix="1" applyFont="1" applyFill="1" applyBorder="1" applyAlignment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0" fillId="8" borderId="4" xfId="0" applyFill="1" applyBorder="1" applyAlignment="1" applyProtection="1">
      <alignment horizontal="right" vertical="center"/>
      <protection locked="0"/>
    </xf>
    <xf numFmtId="0" fontId="0" fillId="8" borderId="30" xfId="0" applyFill="1" applyBorder="1" applyAlignment="1" applyProtection="1">
      <alignment vertical="center"/>
      <protection locked="0"/>
    </xf>
    <xf numFmtId="0" fontId="3" fillId="8" borderId="3" xfId="0" applyFont="1" applyFill="1" applyBorder="1" applyAlignment="1" applyProtection="1">
      <alignment horizontal="center" vertical="center" wrapText="1"/>
      <protection locked="0"/>
    </xf>
    <xf numFmtId="0" fontId="13" fillId="4" borderId="4" xfId="0" quotePrefix="1" applyFont="1" applyFill="1" applyBorder="1" applyAlignment="1" applyProtection="1">
      <alignment horizontal="center" vertical="center"/>
      <protection locked="0"/>
    </xf>
    <xf numFmtId="0" fontId="14" fillId="4" borderId="30" xfId="0" quotePrefix="1" applyFont="1" applyFill="1" applyBorder="1" applyAlignment="1" applyProtection="1">
      <alignment horizontal="center" vertical="center"/>
      <protection locked="0"/>
    </xf>
    <xf numFmtId="0" fontId="0" fillId="8" borderId="4" xfId="0" applyFill="1" applyBorder="1" applyAlignment="1" applyProtection="1">
      <alignment horizontal="center" vertical="center"/>
      <protection locked="0"/>
    </xf>
    <xf numFmtId="0" fontId="0" fillId="8" borderId="1" xfId="0" applyFill="1" applyBorder="1" applyAlignment="1" applyProtection="1">
      <alignment horizontal="center" vertical="center"/>
      <protection locked="0"/>
    </xf>
    <xf numFmtId="0" fontId="8" fillId="4" borderId="1" xfId="0" quotePrefix="1" applyFont="1" applyFill="1" applyBorder="1" applyAlignment="1">
      <alignment vertical="center"/>
    </xf>
    <xf numFmtId="0" fontId="25" fillId="6" borderId="1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11" fillId="2" borderId="1" xfId="0" quotePrefix="1" applyFont="1" applyFill="1" applyBorder="1" applyAlignment="1" applyProtection="1">
      <alignment horizontal="center" vertical="center"/>
    </xf>
    <xf numFmtId="0" fontId="4" fillId="4" borderId="1" xfId="0" applyFont="1" applyFill="1" applyBorder="1" applyAlignment="1">
      <alignment vertical="center"/>
    </xf>
    <xf numFmtId="0" fontId="20" fillId="2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11" fillId="0" borderId="1" xfId="0" quotePrefix="1" applyFont="1" applyFill="1" applyBorder="1" applyAlignment="1" applyProtection="1">
      <alignment horizontal="center" vertical="center"/>
    </xf>
    <xf numFmtId="0" fontId="12" fillId="0" borderId="1" xfId="0" quotePrefix="1" applyFont="1" applyFill="1" applyBorder="1" applyAlignment="1" applyProtection="1">
      <alignment horizontal="center" vertical="center"/>
      <protection locked="0"/>
    </xf>
    <xf numFmtId="0" fontId="13" fillId="0" borderId="1" xfId="0" quotePrefix="1" applyFont="1" applyFill="1" applyBorder="1" applyAlignment="1" applyProtection="1">
      <alignment horizontal="center" vertical="center"/>
      <protection locked="0"/>
    </xf>
    <xf numFmtId="0" fontId="14" fillId="0" borderId="1" xfId="0" quotePrefix="1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0" fontId="7" fillId="0" borderId="5" xfId="0" applyFont="1" applyFill="1" applyBorder="1" applyAlignment="1" applyProtection="1">
      <alignment horizontal="left" vertical="center"/>
      <protection locked="0"/>
    </xf>
    <xf numFmtId="0" fontId="7" fillId="0" borderId="6" xfId="0" applyFont="1" applyFill="1" applyBorder="1" applyAlignment="1" applyProtection="1">
      <alignment horizontal="left" vertical="center"/>
      <protection locked="0"/>
    </xf>
    <xf numFmtId="0" fontId="7" fillId="0" borderId="25" xfId="0" applyFont="1" applyFill="1" applyBorder="1" applyAlignment="1" applyProtection="1">
      <alignment horizontal="left" vertical="center"/>
      <protection locked="0"/>
    </xf>
    <xf numFmtId="0" fontId="26" fillId="3" borderId="1" xfId="0" applyFont="1" applyFill="1" applyBorder="1" applyAlignment="1">
      <alignment horizontal="center" vertical="center" wrapText="1"/>
    </xf>
    <xf numFmtId="0" fontId="0" fillId="0" borderId="24" xfId="0" applyFill="1" applyBorder="1" applyAlignment="1" applyProtection="1">
      <alignment vertical="center"/>
      <protection locked="0"/>
    </xf>
    <xf numFmtId="0" fontId="0" fillId="0" borderId="25" xfId="0" applyFill="1" applyBorder="1" applyAlignment="1" applyProtection="1">
      <alignment vertical="center"/>
      <protection locked="0"/>
    </xf>
    <xf numFmtId="0" fontId="7" fillId="0" borderId="25" xfId="0" applyFont="1" applyFill="1" applyBorder="1" applyAlignment="1" applyProtection="1">
      <alignment horizontal="left" vertical="center" wrapText="1"/>
      <protection locked="0"/>
    </xf>
    <xf numFmtId="0" fontId="7" fillId="0" borderId="1" xfId="0" applyFont="1" applyFill="1" applyBorder="1" applyAlignment="1" applyProtection="1">
      <alignment vertical="center" wrapText="1"/>
      <protection locked="0"/>
    </xf>
    <xf numFmtId="0" fontId="7" fillId="0" borderId="1" xfId="0" applyFont="1" applyFill="1" applyBorder="1" applyAlignment="1" applyProtection="1">
      <alignment vertical="center"/>
      <protection locked="0"/>
    </xf>
    <xf numFmtId="0" fontId="4" fillId="0" borderId="1" xfId="0" applyFont="1" applyFill="1" applyBorder="1" applyAlignment="1" applyProtection="1">
      <alignment vertical="center" wrapText="1"/>
      <protection locked="0"/>
    </xf>
    <xf numFmtId="0" fontId="4" fillId="0" borderId="1" xfId="0" applyFont="1" applyFill="1" applyBorder="1" applyAlignment="1" applyProtection="1">
      <alignment vertical="center"/>
      <protection locked="0"/>
    </xf>
    <xf numFmtId="0" fontId="0" fillId="0" borderId="1" xfId="0" applyBorder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quotePrefix="1" applyFont="1" applyFill="1" applyBorder="1" applyAlignment="1">
      <alignment vertical="center"/>
    </xf>
    <xf numFmtId="0" fontId="5" fillId="0" borderId="0" xfId="0" quotePrefix="1" applyFont="1" applyFill="1" applyBorder="1">
      <alignment vertical="center"/>
    </xf>
    <xf numFmtId="0" fontId="11" fillId="0" borderId="0" xfId="0" quotePrefix="1" applyFont="1" applyFill="1" applyBorder="1">
      <alignment vertical="center"/>
    </xf>
    <xf numFmtId="0" fontId="15" fillId="0" borderId="0" xfId="0" applyFont="1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14" fillId="4" borderId="31" xfId="0" quotePrefix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>
      <alignment vertical="center"/>
    </xf>
    <xf numFmtId="0" fontId="0" fillId="0" borderId="1" xfId="0" applyFill="1" applyBorder="1" applyAlignment="1" applyProtection="1">
      <alignment horizontal="center" vertical="center"/>
      <protection locked="0"/>
    </xf>
    <xf numFmtId="0" fontId="26" fillId="0" borderId="1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 applyProtection="1">
      <alignment horizontal="center" vertical="center" wrapText="1"/>
      <protection locked="0"/>
    </xf>
    <xf numFmtId="0" fontId="21" fillId="0" borderId="0" xfId="0" applyFont="1" applyFill="1" applyBorder="1" applyAlignment="1" applyProtection="1">
      <alignment horizontal="center" vertical="center" wrapText="1"/>
      <protection locked="0"/>
    </xf>
    <xf numFmtId="0" fontId="22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Fill="1" applyBorder="1" applyAlignment="1" applyProtection="1">
      <alignment horizontal="center" vertical="center" wrapText="1"/>
      <protection locked="0"/>
    </xf>
    <xf numFmtId="0" fontId="11" fillId="0" borderId="0" xfId="0" quotePrefix="1" applyFont="1" applyFill="1" applyBorder="1" applyAlignment="1" applyProtection="1">
      <alignment horizontal="center" vertical="center"/>
    </xf>
    <xf numFmtId="0" fontId="12" fillId="0" borderId="0" xfId="0" quotePrefix="1" applyFont="1" applyFill="1" applyBorder="1" applyAlignment="1" applyProtection="1">
      <alignment horizontal="center" vertical="center"/>
      <protection locked="0"/>
    </xf>
    <xf numFmtId="0" fontId="13" fillId="0" borderId="0" xfId="0" quotePrefix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8" borderId="4" xfId="0" applyFill="1" applyBorder="1" applyAlignment="1" applyProtection="1">
      <alignment vertical="center"/>
      <protection locked="0"/>
    </xf>
    <xf numFmtId="0" fontId="4" fillId="3" borderId="1" xfId="0" applyFont="1" applyFill="1" applyBorder="1" applyAlignment="1" applyProtection="1">
      <alignment vertical="center" wrapText="1"/>
      <protection locked="0"/>
    </xf>
    <xf numFmtId="0" fontId="4" fillId="3" borderId="1" xfId="0" applyFont="1" applyFill="1" applyBorder="1">
      <alignment vertical="center"/>
    </xf>
    <xf numFmtId="0" fontId="4" fillId="3" borderId="1" xfId="0" applyFont="1" applyFill="1" applyBorder="1" applyAlignment="1">
      <alignment vertical="center" wrapText="1"/>
    </xf>
    <xf numFmtId="0" fontId="15" fillId="6" borderId="1" xfId="0" applyFont="1" applyFill="1" applyBorder="1" applyAlignment="1" applyProtection="1">
      <alignment horizontal="center" vertical="center"/>
    </xf>
    <xf numFmtId="0" fontId="25" fillId="8" borderId="1" xfId="0" applyFont="1" applyFill="1" applyBorder="1" applyAlignment="1" applyProtection="1">
      <alignment vertical="center"/>
      <protection locked="0"/>
    </xf>
    <xf numFmtId="0" fontId="28" fillId="8" borderId="1" xfId="0" applyFont="1" applyFill="1" applyBorder="1" applyAlignment="1" applyProtection="1">
      <alignment vertical="center"/>
      <protection locked="0"/>
    </xf>
    <xf numFmtId="0" fontId="15" fillId="7" borderId="5" xfId="0" applyFont="1" applyFill="1" applyBorder="1" applyAlignment="1">
      <alignment horizontal="center" vertical="center"/>
    </xf>
    <xf numFmtId="0" fontId="12" fillId="0" borderId="4" xfId="0" quotePrefix="1" applyFont="1" applyFill="1" applyBorder="1" applyAlignment="1">
      <alignment horizontal="center" vertical="center"/>
    </xf>
    <xf numFmtId="0" fontId="12" fillId="0" borderId="5" xfId="0" quotePrefix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12" fillId="0" borderId="5" xfId="0" quotePrefix="1" applyFont="1" applyFill="1" applyBorder="1" applyAlignment="1">
      <alignment vertical="center"/>
    </xf>
    <xf numFmtId="0" fontId="12" fillId="0" borderId="6" xfId="0" quotePrefix="1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4" xfId="0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21" fillId="4" borderId="3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horizontal="center" vertical="center"/>
    </xf>
    <xf numFmtId="0" fontId="7" fillId="3" borderId="4" xfId="0" applyFont="1" applyFill="1" applyBorder="1" applyAlignment="1" applyProtection="1">
      <alignment horizontal="left" vertical="center"/>
      <protection locked="0"/>
    </xf>
    <xf numFmtId="0" fontId="7" fillId="3" borderId="5" xfId="0" applyFont="1" applyFill="1" applyBorder="1" applyAlignment="1" applyProtection="1">
      <alignment horizontal="left" vertical="center"/>
      <protection locked="0"/>
    </xf>
    <xf numFmtId="0" fontId="7" fillId="3" borderId="6" xfId="0" applyFont="1" applyFill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14" fillId="4" borderId="10" xfId="0" quotePrefix="1" applyFont="1" applyFill="1" applyBorder="1" applyAlignment="1" applyProtection="1">
      <alignment horizontal="center" vertical="center"/>
      <protection locked="0"/>
    </xf>
    <xf numFmtId="0" fontId="4" fillId="8" borderId="1" xfId="0" applyFont="1" applyFill="1" applyBorder="1" applyAlignment="1" applyProtection="1">
      <alignment horizontal="center" vertical="center" wrapText="1"/>
      <protection locked="0"/>
    </xf>
    <xf numFmtId="0" fontId="14" fillId="4" borderId="1" xfId="0" quotePrefix="1" applyFont="1" applyFill="1" applyBorder="1" applyAlignment="1" applyProtection="1">
      <alignment vertical="center"/>
      <protection locked="0"/>
    </xf>
    <xf numFmtId="0" fontId="21" fillId="4" borderId="1" xfId="0" applyFont="1" applyFill="1" applyBorder="1" applyAlignment="1" applyProtection="1">
      <alignment vertical="center" wrapText="1"/>
      <protection locked="0"/>
    </xf>
    <xf numFmtId="0" fontId="23" fillId="4" borderId="3" xfId="0" applyFont="1" applyFill="1" applyBorder="1" applyAlignment="1" applyProtection="1">
      <alignment horizontal="center" vertical="center" wrapText="1"/>
      <protection locked="0"/>
    </xf>
    <xf numFmtId="0" fontId="21" fillId="4" borderId="3" xfId="0" applyFont="1" applyFill="1" applyBorder="1" applyAlignment="1" applyProtection="1">
      <alignment vertical="center" wrapText="1"/>
      <protection locked="0"/>
    </xf>
    <xf numFmtId="0" fontId="22" fillId="4" borderId="3" xfId="0" applyFont="1" applyFill="1" applyBorder="1" applyAlignment="1" applyProtection="1">
      <alignment horizontal="center" vertical="center" wrapText="1"/>
      <protection locked="0"/>
    </xf>
    <xf numFmtId="0" fontId="4" fillId="6" borderId="3" xfId="0" applyFont="1" applyFill="1" applyBorder="1" applyAlignment="1" applyProtection="1">
      <alignment horizontal="center" vertical="center" wrapText="1"/>
      <protection locked="0"/>
    </xf>
    <xf numFmtId="0" fontId="4" fillId="8" borderId="3" xfId="0" applyFont="1" applyFill="1" applyBorder="1" applyAlignment="1">
      <alignment horizontal="center" vertical="center"/>
    </xf>
    <xf numFmtId="0" fontId="11" fillId="4" borderId="11" xfId="0" quotePrefix="1" applyFont="1" applyFill="1" applyBorder="1" applyAlignment="1" applyProtection="1">
      <alignment horizontal="center" vertical="center"/>
    </xf>
    <xf numFmtId="0" fontId="12" fillId="4" borderId="12" xfId="0" quotePrefix="1" applyFont="1" applyFill="1" applyBorder="1" applyAlignment="1" applyProtection="1">
      <alignment horizontal="center" vertical="center"/>
      <protection locked="0"/>
    </xf>
    <xf numFmtId="0" fontId="13" fillId="4" borderId="12" xfId="0" quotePrefix="1" applyFont="1" applyFill="1" applyBorder="1" applyAlignment="1" applyProtection="1">
      <alignment horizontal="center" vertical="center"/>
      <protection locked="0"/>
    </xf>
    <xf numFmtId="0" fontId="14" fillId="4" borderId="12" xfId="0" quotePrefix="1" applyFont="1" applyFill="1" applyBorder="1" applyAlignment="1" applyProtection="1">
      <alignment vertical="center"/>
      <protection locked="0"/>
    </xf>
    <xf numFmtId="0" fontId="11" fillId="4" borderId="12" xfId="0" quotePrefix="1" applyFont="1" applyFill="1" applyBorder="1" applyAlignment="1" applyProtection="1">
      <alignment horizontal="center" vertical="center"/>
    </xf>
    <xf numFmtId="0" fontId="7" fillId="6" borderId="12" xfId="0" applyFont="1" applyFill="1" applyBorder="1" applyAlignment="1" applyProtection="1">
      <alignment horizontal="center" vertical="center"/>
    </xf>
    <xf numFmtId="0" fontId="0" fillId="8" borderId="12" xfId="0" applyFill="1" applyBorder="1" applyAlignment="1" applyProtection="1">
      <alignment horizontal="center" vertical="center"/>
      <protection locked="0"/>
    </xf>
    <xf numFmtId="0" fontId="11" fillId="4" borderId="14" xfId="0" quotePrefix="1" applyFont="1" applyFill="1" applyBorder="1" applyAlignment="1" applyProtection="1">
      <alignment horizontal="center" vertical="center"/>
    </xf>
    <xf numFmtId="0" fontId="14" fillId="4" borderId="10" xfId="0" quotePrefix="1" applyFont="1" applyFill="1" applyBorder="1" applyAlignment="1" applyProtection="1">
      <alignment vertical="center"/>
      <protection locked="0"/>
    </xf>
    <xf numFmtId="0" fontId="0" fillId="8" borderId="10" xfId="0" applyFill="1" applyBorder="1" applyAlignment="1" applyProtection="1">
      <alignment horizontal="center" vertical="center"/>
      <protection locked="0"/>
    </xf>
    <xf numFmtId="0" fontId="0" fillId="0" borderId="35" xfId="0" applyBorder="1">
      <alignment vertical="center"/>
    </xf>
    <xf numFmtId="0" fontId="0" fillId="0" borderId="36" xfId="0" applyBorder="1">
      <alignment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>
      <alignment vertical="center"/>
    </xf>
    <xf numFmtId="0" fontId="32" fillId="6" borderId="1" xfId="0" applyFont="1" applyFill="1" applyBorder="1" applyAlignment="1" applyProtection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3" fillId="4" borderId="1" xfId="0" quotePrefix="1" applyFont="1" applyFill="1" applyBorder="1">
      <alignment vertical="center"/>
    </xf>
    <xf numFmtId="0" fontId="34" fillId="4" borderId="1" xfId="0" quotePrefix="1" applyFont="1" applyFill="1" applyBorder="1">
      <alignment vertical="center"/>
    </xf>
    <xf numFmtId="0" fontId="11" fillId="0" borderId="0" xfId="0" applyFont="1">
      <alignment vertical="center"/>
    </xf>
    <xf numFmtId="0" fontId="11" fillId="0" borderId="1" xfId="0" applyFont="1" applyBorder="1">
      <alignment vertical="center"/>
    </xf>
    <xf numFmtId="0" fontId="11" fillId="0" borderId="0" xfId="0" quotePrefix="1" applyFont="1" applyFill="1" applyBorder="1" applyAlignment="1">
      <alignment horizontal="center" vertical="center"/>
    </xf>
    <xf numFmtId="0" fontId="11" fillId="0" borderId="0" xfId="0" applyFont="1" applyFill="1" applyBorder="1">
      <alignment vertical="center"/>
    </xf>
    <xf numFmtId="0" fontId="0" fillId="0" borderId="1" xfId="0" applyBorder="1" applyProtection="1">
      <alignment vertical="center"/>
      <protection locked="0"/>
    </xf>
    <xf numFmtId="0" fontId="14" fillId="4" borderId="10" xfId="0" quotePrefix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15" fillId="4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3" fillId="4" borderId="1" xfId="0" quotePrefix="1" applyFont="1" applyFill="1" applyBorder="1" applyAlignment="1">
      <alignment horizontal="center" vertical="center"/>
    </xf>
    <xf numFmtId="0" fontId="21" fillId="0" borderId="0" xfId="0" applyFont="1" applyFill="1" applyBorder="1" applyAlignment="1" applyProtection="1">
      <alignment vertical="center" wrapText="1"/>
      <protection locked="0"/>
    </xf>
    <xf numFmtId="0" fontId="10" fillId="4" borderId="1" xfId="0" quotePrefix="1" applyFont="1" applyFill="1" applyBorder="1" applyAlignment="1">
      <alignment vertical="center"/>
    </xf>
    <xf numFmtId="0" fontId="35" fillId="4" borderId="1" xfId="0" applyFont="1" applyFill="1" applyBorder="1" applyAlignment="1">
      <alignment vertical="center"/>
    </xf>
    <xf numFmtId="0" fontId="34" fillId="4" borderId="1" xfId="0" applyFont="1" applyFill="1" applyBorder="1" applyAlignment="1">
      <alignment vertical="center"/>
    </xf>
    <xf numFmtId="0" fontId="34" fillId="4" borderId="1" xfId="0" quotePrefix="1" applyFont="1" applyFill="1" applyBorder="1" applyAlignment="1">
      <alignment vertical="center"/>
    </xf>
    <xf numFmtId="0" fontId="11" fillId="4" borderId="1" xfId="0" quotePrefix="1" applyFont="1" applyFill="1" applyBorder="1" applyAlignment="1">
      <alignment vertical="center"/>
    </xf>
    <xf numFmtId="0" fontId="11" fillId="4" borderId="1" xfId="0" applyFont="1" applyFill="1" applyBorder="1" applyAlignment="1">
      <alignment vertical="center"/>
    </xf>
    <xf numFmtId="0" fontId="36" fillId="4" borderId="1" xfId="0" applyFont="1" applyFill="1" applyBorder="1" applyAlignment="1">
      <alignment vertical="center"/>
    </xf>
    <xf numFmtId="0" fontId="0" fillId="4" borderId="1" xfId="0" applyFill="1" applyBorder="1">
      <alignment vertical="center"/>
    </xf>
    <xf numFmtId="0" fontId="36" fillId="4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7" fillId="3" borderId="0" xfId="0" applyFont="1" applyFill="1" applyBorder="1" applyAlignment="1" applyProtection="1">
      <alignment horizontal="left" vertical="center" wrapText="1"/>
      <protection locked="0"/>
    </xf>
    <xf numFmtId="0" fontId="4" fillId="3" borderId="0" xfId="0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11" fillId="4" borderId="3" xfId="0" quotePrefix="1" applyFont="1" applyFill="1" applyBorder="1" applyAlignment="1" applyProtection="1">
      <alignment horizontal="center" vertical="center"/>
    </xf>
    <xf numFmtId="0" fontId="12" fillId="4" borderId="3" xfId="0" quotePrefix="1" applyFont="1" applyFill="1" applyBorder="1" applyAlignment="1" applyProtection="1">
      <alignment horizontal="center" vertical="center"/>
      <protection locked="0"/>
    </xf>
    <xf numFmtId="0" fontId="7" fillId="6" borderId="3" xfId="0" applyFont="1" applyFill="1" applyBorder="1" applyAlignment="1" applyProtection="1">
      <alignment horizontal="center" vertical="center"/>
    </xf>
    <xf numFmtId="0" fontId="7" fillId="6" borderId="38" xfId="0" applyFont="1" applyFill="1" applyBorder="1" applyAlignment="1" applyProtection="1">
      <alignment horizontal="center" vertical="center"/>
    </xf>
    <xf numFmtId="0" fontId="10" fillId="4" borderId="4" xfId="0" quotePrefix="1" applyFont="1" applyFill="1" applyBorder="1">
      <alignment vertical="center"/>
    </xf>
    <xf numFmtId="0" fontId="7" fillId="6" borderId="39" xfId="0" applyFont="1" applyFill="1" applyBorder="1" applyAlignment="1" applyProtection="1">
      <alignment horizontal="center" vertical="center"/>
    </xf>
    <xf numFmtId="0" fontId="7" fillId="6" borderId="40" xfId="0" applyFont="1" applyFill="1" applyBorder="1" applyAlignment="1" applyProtection="1">
      <alignment horizontal="center" vertical="center"/>
    </xf>
    <xf numFmtId="0" fontId="7" fillId="6" borderId="41" xfId="0" applyFont="1" applyFill="1" applyBorder="1" applyAlignment="1" applyProtection="1">
      <alignment horizontal="center" vertical="center"/>
    </xf>
    <xf numFmtId="0" fontId="10" fillId="4" borderId="3" xfId="0" quotePrefix="1" applyFont="1" applyFill="1" applyBorder="1">
      <alignment vertical="center"/>
    </xf>
    <xf numFmtId="0" fontId="0" fillId="4" borderId="3" xfId="0" quotePrefix="1" applyFill="1" applyBorder="1">
      <alignment vertical="center"/>
    </xf>
    <xf numFmtId="0" fontId="2" fillId="4" borderId="3" xfId="0" quotePrefix="1" applyFont="1" applyFill="1" applyBorder="1">
      <alignment vertical="center"/>
    </xf>
    <xf numFmtId="0" fontId="5" fillId="4" borderId="3" xfId="0" quotePrefix="1" applyFont="1" applyFill="1" applyBorder="1">
      <alignment vertical="center"/>
    </xf>
    <xf numFmtId="0" fontId="11" fillId="4" borderId="3" xfId="0" quotePrefix="1" applyFont="1" applyFill="1" applyBorder="1" applyAlignment="1">
      <alignment vertical="center"/>
    </xf>
    <xf numFmtId="0" fontId="11" fillId="4" borderId="3" xfId="0" applyFont="1" applyFill="1" applyBorder="1" applyAlignment="1">
      <alignment vertical="center"/>
    </xf>
    <xf numFmtId="0" fontId="11" fillId="4" borderId="3" xfId="0" quotePrefix="1" applyFont="1" applyFill="1" applyBorder="1">
      <alignment vertical="center"/>
    </xf>
    <xf numFmtId="0" fontId="0" fillId="8" borderId="3" xfId="0" applyFill="1" applyBorder="1" applyAlignment="1">
      <alignment horizontal="center" vertical="center"/>
    </xf>
    <xf numFmtId="0" fontId="5" fillId="4" borderId="4" xfId="0" quotePrefix="1" applyFont="1" applyFill="1" applyBorder="1">
      <alignment vertical="center"/>
    </xf>
    <xf numFmtId="0" fontId="5" fillId="4" borderId="6" xfId="0" quotePrefix="1" applyFont="1" applyFill="1" applyBorder="1" applyAlignment="1">
      <alignment vertical="center"/>
    </xf>
    <xf numFmtId="0" fontId="5" fillId="4" borderId="38" xfId="0" quotePrefix="1" applyFont="1" applyFill="1" applyBorder="1" applyAlignment="1">
      <alignment vertical="center"/>
    </xf>
    <xf numFmtId="0" fontId="5" fillId="4" borderId="42" xfId="0" quotePrefix="1" applyFont="1" applyFill="1" applyBorder="1" applyAlignment="1">
      <alignment vertical="center"/>
    </xf>
    <xf numFmtId="0" fontId="5" fillId="4" borderId="43" xfId="0" quotePrefix="1" applyFont="1" applyFill="1" applyBorder="1" applyAlignment="1">
      <alignment vertical="center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7" fillId="8" borderId="1" xfId="0" applyFont="1" applyFill="1" applyBorder="1" applyAlignment="1" applyProtection="1">
      <alignment horizontal="left" vertical="center"/>
      <protection locked="0"/>
    </xf>
    <xf numFmtId="0" fontId="4" fillId="3" borderId="4" xfId="0" applyFont="1" applyFill="1" applyBorder="1" applyAlignment="1" applyProtection="1">
      <alignment vertical="center" wrapText="1"/>
      <protection locked="0"/>
    </xf>
    <xf numFmtId="0" fontId="4" fillId="3" borderId="5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vertical="center"/>
      <protection locked="0"/>
    </xf>
    <xf numFmtId="0" fontId="7" fillId="3" borderId="5" xfId="0" applyFont="1" applyFill="1" applyBorder="1" applyAlignment="1" applyProtection="1">
      <alignment vertical="center"/>
      <protection locked="0"/>
    </xf>
    <xf numFmtId="0" fontId="29" fillId="6" borderId="1" xfId="0" applyFont="1" applyFill="1" applyBorder="1" applyAlignment="1" applyProtection="1">
      <alignment horizontal="center" vertical="center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vertical="center" wrapText="1"/>
      <protection locked="0"/>
    </xf>
    <xf numFmtId="0" fontId="7" fillId="3" borderId="13" xfId="0" applyFont="1" applyFill="1" applyBorder="1" applyAlignment="1" applyProtection="1">
      <alignment vertical="center" wrapText="1"/>
      <protection locked="0"/>
    </xf>
    <xf numFmtId="0" fontId="7" fillId="3" borderId="8" xfId="0" applyFont="1" applyFill="1" applyBorder="1" applyAlignment="1" applyProtection="1">
      <alignment vertical="center" wrapText="1"/>
      <protection locked="0"/>
    </xf>
    <xf numFmtId="0" fontId="7" fillId="3" borderId="16" xfId="0" applyFont="1" applyFill="1" applyBorder="1" applyAlignment="1" applyProtection="1">
      <alignment vertical="center" wrapText="1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12" fillId="2" borderId="3" xfId="0" quotePrefix="1" applyFont="1" applyFill="1" applyBorder="1" applyAlignment="1">
      <alignment horizontal="center" vertical="center"/>
    </xf>
    <xf numFmtId="0" fontId="13" fillId="2" borderId="3" xfId="0" quotePrefix="1" applyFont="1" applyFill="1" applyBorder="1" applyAlignment="1">
      <alignment horizontal="center" vertical="center"/>
    </xf>
    <xf numFmtId="0" fontId="14" fillId="2" borderId="3" xfId="0" quotePrefix="1" applyFont="1" applyFill="1" applyBorder="1" applyAlignment="1">
      <alignment vertical="center"/>
    </xf>
    <xf numFmtId="0" fontId="0" fillId="0" borderId="3" xfId="0" applyBorder="1">
      <alignment vertical="center"/>
    </xf>
    <xf numFmtId="0" fontId="17" fillId="3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>
      <alignment horizontal="center" vertical="center"/>
    </xf>
    <xf numFmtId="0" fontId="0" fillId="8" borderId="4" xfId="0" quotePrefix="1" applyFill="1" applyBorder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 wrapText="1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21" fillId="2" borderId="1" xfId="0" applyFont="1" applyFill="1" applyBorder="1" applyAlignment="1">
      <alignment horizontal="center" vertical="center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25" fillId="8" borderId="4" xfId="0" applyFont="1" applyFill="1" applyBorder="1" applyAlignment="1" applyProtection="1">
      <alignment vertical="center"/>
      <protection locked="0"/>
    </xf>
    <xf numFmtId="0" fontId="28" fillId="8" borderId="5" xfId="0" applyFont="1" applyFill="1" applyBorder="1" applyAlignment="1" applyProtection="1">
      <alignment vertical="center"/>
      <protection locked="0"/>
    </xf>
    <xf numFmtId="0" fontId="14" fillId="4" borderId="1" xfId="0" applyFont="1" applyFill="1" applyBorder="1" applyAlignment="1" applyProtection="1">
      <alignment horizontal="center" vertical="center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7" fillId="3" borderId="1" xfId="0" applyFont="1" applyFill="1" applyBorder="1" applyAlignment="1" applyProtection="1">
      <alignment vertical="center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27" fillId="3" borderId="4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11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10" borderId="1" xfId="0" applyFill="1" applyBorder="1" applyAlignment="1">
      <alignment horizontal="center" vertical="center"/>
    </xf>
    <xf numFmtId="0" fontId="7" fillId="3" borderId="17" xfId="0" applyFont="1" applyFill="1" applyBorder="1" applyAlignment="1" applyProtection="1">
      <alignment vertical="center"/>
      <protection locked="0"/>
    </xf>
    <xf numFmtId="0" fontId="7" fillId="3" borderId="18" xfId="0" applyFont="1" applyFill="1" applyBorder="1" applyAlignment="1" applyProtection="1">
      <alignment vertical="center"/>
      <protection locked="0"/>
    </xf>
    <xf numFmtId="0" fontId="7" fillId="3" borderId="19" xfId="0" applyFont="1" applyFill="1" applyBorder="1" applyAlignment="1" applyProtection="1">
      <alignment vertical="center"/>
      <protection locked="0"/>
    </xf>
    <xf numFmtId="0" fontId="0" fillId="12" borderId="1" xfId="0" applyFill="1" applyBorder="1" applyAlignment="1" applyProtection="1">
      <alignment horizontal="center" vertical="center"/>
      <protection locked="0"/>
    </xf>
    <xf numFmtId="0" fontId="7" fillId="3" borderId="9" xfId="0" applyFont="1" applyFill="1" applyBorder="1" applyAlignment="1" applyProtection="1">
      <alignment vertical="center"/>
      <protection locked="0"/>
    </xf>
    <xf numFmtId="0" fontId="0" fillId="13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12" borderId="1" xfId="0" applyFill="1" applyBorder="1" applyAlignment="1" applyProtection="1">
      <alignment vertical="center"/>
      <protection locked="0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4" fillId="3" borderId="4" xfId="0" applyFont="1" applyFill="1" applyBorder="1" applyAlignment="1">
      <alignment vertical="center"/>
    </xf>
    <xf numFmtId="0" fontId="4" fillId="3" borderId="6" xfId="0" applyFont="1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vertical="center"/>
    </xf>
    <xf numFmtId="0" fontId="8" fillId="8" borderId="38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7" fillId="3" borderId="1" xfId="0" applyFont="1" applyFill="1" applyBorder="1" applyAlignment="1" applyProtection="1">
      <alignment vertical="center"/>
      <protection locked="0"/>
    </xf>
    <xf numFmtId="0" fontId="0" fillId="0" borderId="1" xfId="0" applyBorder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0" fontId="21" fillId="4" borderId="3" xfId="0" applyFont="1" applyFill="1" applyBorder="1" applyAlignment="1" applyProtection="1">
      <alignment horizontal="center" vertical="center" wrapText="1"/>
      <protection locked="0"/>
    </xf>
    <xf numFmtId="0" fontId="29" fillId="3" borderId="1" xfId="0" applyFont="1" applyFill="1" applyBorder="1" applyAlignment="1" applyProtection="1">
      <alignment horizontal="center" vertical="center"/>
      <protection locked="0"/>
    </xf>
    <xf numFmtId="0" fontId="0" fillId="12" borderId="4" xfId="0" applyFill="1" applyBorder="1" applyAlignment="1" applyProtection="1">
      <alignment horizontal="center" vertical="center"/>
      <protection locked="0"/>
    </xf>
    <xf numFmtId="0" fontId="0" fillId="11" borderId="6" xfId="0" applyFill="1" applyBorder="1" applyAlignment="1">
      <alignment horizontal="center" vertical="center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3" borderId="1" xfId="0" applyFill="1" applyBorder="1" applyAlignment="1">
      <alignment vertical="center" wrapText="1"/>
    </xf>
    <xf numFmtId="0" fontId="0" fillId="3" borderId="1" xfId="0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11" fillId="4" borderId="4" xfId="0" applyFont="1" applyFill="1" applyBorder="1" applyAlignment="1" applyProtection="1">
      <alignment horizontal="center" vertical="center"/>
    </xf>
    <xf numFmtId="0" fontId="11" fillId="4" borderId="5" xfId="0" quotePrefix="1" applyFont="1" applyFill="1" applyBorder="1" applyAlignment="1" applyProtection="1">
      <alignment horizontal="center" vertical="center"/>
    </xf>
    <xf numFmtId="0" fontId="11" fillId="4" borderId="6" xfId="0" quotePrefix="1" applyFont="1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8" fillId="4" borderId="1" xfId="0" quotePrefix="1" applyFont="1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1" xfId="0" applyFont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21" fillId="4" borderId="4" xfId="0" applyFont="1" applyFill="1" applyBorder="1" applyAlignment="1" applyProtection="1">
      <alignment horizontal="center" vertical="center" wrapText="1"/>
      <protection locked="0"/>
    </xf>
    <xf numFmtId="0" fontId="21" fillId="4" borderId="5" xfId="0" applyFont="1" applyFill="1" applyBorder="1" applyAlignment="1" applyProtection="1">
      <alignment horizontal="center" vertical="center" wrapText="1"/>
      <protection locked="0"/>
    </xf>
    <xf numFmtId="0" fontId="21" fillId="4" borderId="6" xfId="0" applyFont="1" applyFill="1" applyBorder="1" applyAlignment="1" applyProtection="1">
      <alignment horizontal="center" vertical="center" wrapText="1"/>
      <protection locked="0"/>
    </xf>
    <xf numFmtId="0" fontId="14" fillId="4" borderId="3" xfId="0" quotePrefix="1" applyFont="1" applyFill="1" applyBorder="1" applyAlignment="1" applyProtection="1">
      <alignment horizontal="center" vertical="center"/>
      <protection locked="0"/>
    </xf>
    <xf numFmtId="0" fontId="30" fillId="4" borderId="4" xfId="0" quotePrefix="1" applyFont="1" applyFill="1" applyBorder="1" applyAlignment="1" applyProtection="1">
      <alignment horizontal="center" vertical="center" wrapText="1"/>
      <protection locked="0"/>
    </xf>
    <xf numFmtId="0" fontId="30" fillId="4" borderId="5" xfId="0" applyFont="1" applyFill="1" applyBorder="1" applyAlignment="1" applyProtection="1">
      <alignment horizontal="center" vertical="center" wrapText="1"/>
      <protection locked="0"/>
    </xf>
    <xf numFmtId="0" fontId="30" fillId="4" borderId="6" xfId="0" applyFont="1" applyFill="1" applyBorder="1" applyAlignment="1" applyProtection="1">
      <alignment horizontal="center" vertical="center" wrapText="1"/>
      <protection locked="0"/>
    </xf>
    <xf numFmtId="0" fontId="0" fillId="3" borderId="4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30" fillId="4" borderId="17" xfId="0" quotePrefix="1" applyFont="1" applyFill="1" applyBorder="1" applyAlignment="1" applyProtection="1">
      <alignment horizontal="center" vertical="center" wrapText="1"/>
      <protection locked="0"/>
    </xf>
    <xf numFmtId="0" fontId="30" fillId="4" borderId="18" xfId="0" applyFont="1" applyFill="1" applyBorder="1" applyAlignment="1" applyProtection="1">
      <alignment horizontal="center" vertical="center" wrapText="1"/>
      <protection locked="0"/>
    </xf>
    <xf numFmtId="0" fontId="30" fillId="4" borderId="32" xfId="0" applyFont="1" applyFill="1" applyBorder="1" applyAlignment="1" applyProtection="1">
      <alignment horizontal="center" vertical="center" wrapText="1"/>
      <protection locked="0"/>
    </xf>
    <xf numFmtId="0" fontId="30" fillId="4" borderId="33" xfId="0" quotePrefix="1" applyFont="1" applyFill="1" applyBorder="1" applyAlignment="1" applyProtection="1">
      <alignment horizontal="center" vertical="center" wrapText="1"/>
      <protection locked="0"/>
    </xf>
    <xf numFmtId="0" fontId="30" fillId="4" borderId="21" xfId="0" applyFont="1" applyFill="1" applyBorder="1" applyAlignment="1" applyProtection="1">
      <alignment horizontal="center" vertical="center" wrapText="1"/>
      <protection locked="0"/>
    </xf>
    <xf numFmtId="0" fontId="30" fillId="4" borderId="34" xfId="0" applyFont="1" applyFill="1" applyBorder="1" applyAlignment="1" applyProtection="1">
      <alignment horizontal="center" vertical="center" wrapText="1"/>
      <protection locked="0"/>
    </xf>
    <xf numFmtId="0" fontId="21" fillId="4" borderId="24" xfId="0" applyFont="1" applyFill="1" applyBorder="1" applyAlignment="1" applyProtection="1">
      <alignment horizontal="center" vertical="center" wrapText="1"/>
      <protection locked="0"/>
    </xf>
    <xf numFmtId="0" fontId="21" fillId="4" borderId="25" xfId="0" applyFont="1" applyFill="1" applyBorder="1" applyAlignment="1" applyProtection="1">
      <alignment horizontal="center" vertical="center" wrapText="1"/>
      <protection locked="0"/>
    </xf>
    <xf numFmtId="0" fontId="21" fillId="4" borderId="26" xfId="0" applyFont="1" applyFill="1" applyBorder="1" applyAlignment="1" applyProtection="1">
      <alignment horizontal="center" vertical="center" wrapText="1"/>
      <protection locked="0"/>
    </xf>
    <xf numFmtId="0" fontId="12" fillId="7" borderId="1" xfId="0" quotePrefix="1" applyFont="1" applyFill="1" applyBorder="1" applyAlignment="1" applyProtection="1">
      <alignment horizontal="center" vertical="center"/>
    </xf>
    <xf numFmtId="0" fontId="12" fillId="7" borderId="3" xfId="0" quotePrefix="1" applyFont="1" applyFill="1" applyBorder="1" applyAlignment="1" applyProtection="1">
      <alignment horizontal="center" vertical="center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12" fillId="7" borderId="4" xfId="0" quotePrefix="1" applyFont="1" applyFill="1" applyBorder="1" applyAlignment="1">
      <alignment horizontal="center" vertical="center"/>
    </xf>
    <xf numFmtId="0" fontId="12" fillId="7" borderId="5" xfId="0" quotePrefix="1" applyFont="1" applyFill="1" applyBorder="1" applyAlignment="1">
      <alignment horizontal="center" vertical="center"/>
    </xf>
    <xf numFmtId="0" fontId="12" fillId="7" borderId="6" xfId="0" quotePrefix="1" applyFont="1" applyFill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8" xfId="0" applyFont="1" applyFill="1" applyBorder="1" applyAlignment="1" applyProtection="1">
      <alignment horizontal="center" vertical="center" wrapText="1"/>
      <protection locked="0"/>
    </xf>
    <xf numFmtId="0" fontId="0" fillId="3" borderId="10" xfId="0" applyFill="1" applyBorder="1" applyAlignment="1" applyProtection="1">
      <alignment horizontal="center" vertical="center"/>
      <protection locked="0"/>
    </xf>
    <xf numFmtId="0" fontId="0" fillId="3" borderId="16" xfId="0" applyFill="1" applyBorder="1" applyAlignment="1" applyProtection="1">
      <alignment horizontal="center" vertical="center"/>
      <protection locked="0"/>
    </xf>
    <xf numFmtId="0" fontId="14" fillId="4" borderId="10" xfId="0" quotePrefix="1" applyFont="1" applyFill="1" applyBorder="1" applyAlignment="1" applyProtection="1">
      <alignment horizontal="center" vertical="center"/>
      <protection locked="0"/>
    </xf>
    <xf numFmtId="21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left" vertical="top" wrapText="1"/>
      <protection locked="0"/>
    </xf>
    <xf numFmtId="0" fontId="0" fillId="0" borderId="25" xfId="0" applyBorder="1" applyAlignment="1" applyProtection="1">
      <alignment horizontal="left" vertical="top" wrapText="1"/>
      <protection locked="0"/>
    </xf>
    <xf numFmtId="0" fontId="0" fillId="0" borderId="26" xfId="0" applyBorder="1" applyAlignment="1" applyProtection="1">
      <alignment horizontal="left" vertical="top" wrapText="1"/>
      <protection locked="0"/>
    </xf>
    <xf numFmtId="0" fontId="0" fillId="0" borderId="27" xfId="0" applyBorder="1" applyAlignment="1" applyProtection="1">
      <alignment horizontal="left" vertical="top" wrapText="1"/>
      <protection locked="0"/>
    </xf>
    <xf numFmtId="0" fontId="0" fillId="0" borderId="0" xfId="0" applyBorder="1" applyAlignment="1" applyProtection="1">
      <alignment horizontal="left" vertical="top" wrapText="1"/>
      <protection locked="0"/>
    </xf>
    <xf numFmtId="0" fontId="0" fillId="0" borderId="28" xfId="0" applyBorder="1" applyAlignment="1" applyProtection="1">
      <alignment horizontal="left" vertical="top" wrapText="1"/>
      <protection locked="0"/>
    </xf>
    <xf numFmtId="0" fontId="0" fillId="0" borderId="29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7" xfId="0" applyBorder="1" applyAlignment="1" applyProtection="1">
      <alignment horizontal="left" vertical="top" wrapText="1"/>
      <protection locked="0"/>
    </xf>
    <xf numFmtId="0" fontId="0" fillId="0" borderId="24" xfId="0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6" xfId="0" applyBorder="1" applyAlignment="1">
      <alignment horizontal="left" vertical="center"/>
    </xf>
    <xf numFmtId="0" fontId="6" fillId="0" borderId="11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6" fillId="0" borderId="1" xfId="0" applyFont="1" applyBorder="1" applyAlignment="1" applyProtection="1">
      <alignment horizontal="center" vertical="top"/>
      <protection locked="0"/>
    </xf>
    <xf numFmtId="0" fontId="24" fillId="0" borderId="1" xfId="0" applyFont="1" applyBorder="1" applyAlignment="1" applyProtection="1">
      <alignment horizontal="center" vertical="top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8" xfId="0" applyFill="1" applyBorder="1" applyAlignment="1" applyProtection="1">
      <alignment horizontal="center" vertical="center"/>
      <protection locked="0"/>
    </xf>
    <xf numFmtId="0" fontId="7" fillId="3" borderId="10" xfId="0" applyFont="1" applyFill="1" applyBorder="1" applyAlignment="1" applyProtection="1">
      <alignment horizontal="center" vertical="center"/>
      <protection locked="0"/>
    </xf>
    <xf numFmtId="0" fontId="7" fillId="3" borderId="16" xfId="0" applyFont="1" applyFill="1" applyBorder="1" applyAlignment="1" applyProtection="1">
      <alignment horizontal="center" vertical="center"/>
      <protection locked="0"/>
    </xf>
    <xf numFmtId="0" fontId="6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34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4" fillId="3" borderId="4" xfId="0" applyFont="1" applyFill="1" applyBorder="1" applyAlignment="1" applyProtection="1">
      <alignment horizontal="center" vertical="center"/>
      <protection locked="0"/>
    </xf>
    <xf numFmtId="0" fontId="7" fillId="3" borderId="5" xfId="0" applyFont="1" applyFill="1" applyBorder="1" applyAlignment="1" applyProtection="1">
      <alignment horizontal="center" vertical="center"/>
      <protection locked="0"/>
    </xf>
    <xf numFmtId="0" fontId="7" fillId="3" borderId="6" xfId="0" applyFont="1" applyFill="1" applyBorder="1" applyAlignment="1" applyProtection="1">
      <alignment horizontal="center" vertical="center"/>
      <protection locked="0"/>
    </xf>
    <xf numFmtId="0" fontId="4" fillId="3" borderId="4" xfId="0" applyFont="1" applyFill="1" applyBorder="1" applyAlignment="1" applyProtection="1">
      <alignment horizontal="center" vertical="center" wrapText="1"/>
      <protection locked="0"/>
    </xf>
    <xf numFmtId="0" fontId="4" fillId="3" borderId="5" xfId="0" applyFont="1" applyFill="1" applyBorder="1" applyAlignment="1" applyProtection="1">
      <alignment horizontal="center" vertical="center" wrapText="1"/>
      <protection locked="0"/>
    </xf>
    <xf numFmtId="0" fontId="4" fillId="3" borderId="6" xfId="0" applyFont="1" applyFill="1" applyBorder="1" applyAlignment="1" applyProtection="1">
      <alignment horizontal="center"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0" fontId="7" fillId="3" borderId="33" xfId="0" applyFont="1" applyFill="1" applyBorder="1" applyAlignment="1" applyProtection="1">
      <alignment horizontal="center" vertical="center"/>
      <protection locked="0"/>
    </xf>
    <xf numFmtId="0" fontId="7" fillId="3" borderId="21" xfId="0" applyFont="1" applyFill="1" applyBorder="1" applyAlignment="1" applyProtection="1">
      <alignment horizontal="center" vertical="center"/>
      <protection locked="0"/>
    </xf>
    <xf numFmtId="0" fontId="7" fillId="3" borderId="22" xfId="0" applyFont="1" applyFill="1" applyBorder="1" applyAlignment="1" applyProtection="1">
      <alignment horizontal="center" vertical="center"/>
      <protection locked="0"/>
    </xf>
    <xf numFmtId="0" fontId="4" fillId="3" borderId="24" xfId="0" applyFont="1" applyFill="1" applyBorder="1" applyAlignment="1" applyProtection="1">
      <alignment horizontal="center" vertical="center" wrapText="1"/>
      <protection locked="0"/>
    </xf>
    <xf numFmtId="0" fontId="4" fillId="3" borderId="25" xfId="0" applyFont="1" applyFill="1" applyBorder="1" applyAlignment="1" applyProtection="1">
      <alignment horizontal="center" vertical="center" wrapText="1"/>
      <protection locked="0"/>
    </xf>
    <xf numFmtId="0" fontId="4" fillId="3" borderId="26" xfId="0" applyFont="1" applyFill="1" applyBorder="1" applyAlignment="1" applyProtection="1">
      <alignment horizontal="center" vertical="center" wrapText="1"/>
      <protection locked="0"/>
    </xf>
    <xf numFmtId="0" fontId="7" fillId="3" borderId="9" xfId="0" applyFont="1" applyFill="1" applyBorder="1" applyAlignment="1" applyProtection="1">
      <alignment horizontal="center" vertical="center"/>
      <protection locked="0"/>
    </xf>
    <xf numFmtId="0" fontId="7" fillId="3" borderId="17" xfId="0" applyFont="1" applyFill="1" applyBorder="1" applyAlignment="1" applyProtection="1">
      <alignment horizontal="center" vertical="center"/>
      <protection locked="0"/>
    </xf>
    <xf numFmtId="0" fontId="7" fillId="3" borderId="18" xfId="0" applyFont="1" applyFill="1" applyBorder="1" applyAlignment="1" applyProtection="1">
      <alignment horizontal="center" vertical="center"/>
      <protection locked="0"/>
    </xf>
    <xf numFmtId="0" fontId="7" fillId="3" borderId="19" xfId="0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3" borderId="4" xfId="0" applyFont="1" applyFill="1" applyBorder="1" applyAlignment="1" applyProtection="1">
      <alignment horizontal="left" vertical="center"/>
      <protection locked="0"/>
    </xf>
    <xf numFmtId="0" fontId="7" fillId="3" borderId="5" xfId="0" applyFont="1" applyFill="1" applyBorder="1" applyAlignment="1" applyProtection="1">
      <alignment horizontal="left" vertical="center"/>
      <protection locked="0"/>
    </xf>
    <xf numFmtId="0" fontId="7" fillId="3" borderId="6" xfId="0" applyFont="1" applyFill="1" applyBorder="1" applyAlignment="1" applyProtection="1">
      <alignment horizontal="left"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6" fillId="0" borderId="24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19" fillId="3" borderId="1" xfId="0" applyFont="1" applyFill="1" applyBorder="1" applyAlignment="1" applyProtection="1">
      <alignment horizontal="center" vertical="center" wrapText="1"/>
      <protection locked="0"/>
    </xf>
    <xf numFmtId="0" fontId="19" fillId="3" borderId="1" xfId="0" applyFont="1" applyFill="1" applyBorder="1" applyAlignment="1" applyProtection="1">
      <alignment horizontal="center" vertical="center"/>
      <protection locked="0"/>
    </xf>
    <xf numFmtId="0" fontId="19" fillId="3" borderId="5" xfId="0" applyFont="1" applyFill="1" applyBorder="1" applyAlignment="1" applyProtection="1">
      <alignment horizontal="center" vertical="center" wrapText="1"/>
      <protection locked="0"/>
    </xf>
    <xf numFmtId="0" fontId="19" fillId="3" borderId="6" xfId="0" applyFont="1" applyFill="1" applyBorder="1" applyAlignment="1" applyProtection="1">
      <alignment horizontal="center" vertical="center" wrapText="1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25" fillId="3" borderId="4" xfId="0" applyFont="1" applyFill="1" applyBorder="1" applyAlignment="1" applyProtection="1">
      <alignment horizontal="left" vertical="center"/>
      <protection locked="0"/>
    </xf>
    <xf numFmtId="0" fontId="25" fillId="3" borderId="5" xfId="0" applyFont="1" applyFill="1" applyBorder="1" applyAlignment="1" applyProtection="1">
      <alignment horizontal="left" vertical="center"/>
      <protection locked="0"/>
    </xf>
    <xf numFmtId="0" fontId="25" fillId="3" borderId="6" xfId="0" applyFont="1" applyFill="1" applyBorder="1" applyAlignment="1" applyProtection="1">
      <alignment horizontal="left" vertical="center"/>
      <protection locked="0"/>
    </xf>
    <xf numFmtId="0" fontId="4" fillId="2" borderId="4" xfId="0" applyFont="1" applyFill="1" applyBorder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0" fontId="4" fillId="2" borderId="6" xfId="0" applyFont="1" applyFill="1" applyBorder="1" applyAlignment="1">
      <alignment horizontal="left" vertical="center"/>
    </xf>
    <xf numFmtId="0" fontId="7" fillId="3" borderId="1" xfId="0" applyFont="1" applyFill="1" applyBorder="1" applyAlignment="1" applyProtection="1">
      <alignment horizontal="left" vertical="center" wrapText="1"/>
      <protection locked="0"/>
    </xf>
    <xf numFmtId="0" fontId="24" fillId="0" borderId="1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24" xfId="0" applyFont="1" applyFill="1" applyBorder="1" applyAlignment="1">
      <alignment horizontal="center" vertical="center"/>
    </xf>
    <xf numFmtId="0" fontId="4" fillId="2" borderId="25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0" fontId="16" fillId="2" borderId="4" xfId="0" applyFont="1" applyFill="1" applyBorder="1" applyAlignment="1">
      <alignment horizontal="center" vertical="center"/>
    </xf>
    <xf numFmtId="0" fontId="16" fillId="2" borderId="5" xfId="0" applyFont="1" applyFill="1" applyBorder="1" applyAlignment="1">
      <alignment horizontal="center" vertical="center"/>
    </xf>
    <xf numFmtId="0" fontId="16" fillId="2" borderId="6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5" fillId="7" borderId="4" xfId="0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14" fillId="2" borderId="4" xfId="0" quotePrefix="1" applyFont="1" applyFill="1" applyBorder="1" applyAlignment="1">
      <alignment horizontal="center" vertical="center"/>
    </xf>
    <xf numFmtId="0" fontId="14" fillId="2" borderId="5" xfId="0" quotePrefix="1" applyFont="1" applyFill="1" applyBorder="1" applyAlignment="1">
      <alignment horizontal="center" vertical="center"/>
    </xf>
    <xf numFmtId="0" fontId="14" fillId="2" borderId="6" xfId="0" quotePrefix="1" applyFont="1" applyFill="1" applyBorder="1" applyAlignment="1">
      <alignment horizontal="center" vertical="center"/>
    </xf>
    <xf numFmtId="0" fontId="12" fillId="0" borderId="4" xfId="0" quotePrefix="1" applyFont="1" applyFill="1" applyBorder="1" applyAlignment="1">
      <alignment horizontal="center" vertical="center"/>
    </xf>
    <xf numFmtId="0" fontId="12" fillId="0" borderId="5" xfId="0" quotePrefix="1" applyFont="1" applyFill="1" applyBorder="1" applyAlignment="1">
      <alignment horizontal="center" vertical="center"/>
    </xf>
    <xf numFmtId="0" fontId="12" fillId="0" borderId="6" xfId="0" quotePrefix="1" applyFont="1" applyFill="1" applyBorder="1" applyAlignment="1">
      <alignment horizontal="center" vertical="center"/>
    </xf>
    <xf numFmtId="0" fontId="31" fillId="3" borderId="32" xfId="0" applyFont="1" applyFill="1" applyBorder="1" applyAlignment="1">
      <alignment horizontal="center" vertical="center"/>
    </xf>
    <xf numFmtId="0" fontId="31" fillId="3" borderId="16" xfId="0" applyFont="1" applyFill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4" fillId="3" borderId="9" xfId="0" applyFont="1" applyFill="1" applyBorder="1" applyAlignment="1" applyProtection="1">
      <alignment horizontal="center" vertical="center" wrapText="1"/>
      <protection locked="0"/>
    </xf>
    <xf numFmtId="0" fontId="16" fillId="2" borderId="1" xfId="0" applyFont="1" applyFill="1" applyBorder="1" applyAlignment="1">
      <alignment horizontal="center" vertical="center"/>
    </xf>
    <xf numFmtId="0" fontId="16" fillId="2" borderId="1" xfId="0" quotePrefix="1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4" fillId="2" borderId="1" xfId="0" quotePrefix="1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4" xfId="0" quotePrefix="1" applyFill="1" applyBorder="1" applyAlignment="1">
      <alignment horizontal="center" vertical="center"/>
    </xf>
    <xf numFmtId="0" fontId="0" fillId="3" borderId="5" xfId="0" quotePrefix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quotePrefix="1" applyFill="1" applyBorder="1" applyAlignment="1">
      <alignment horizontal="center" vertical="center"/>
    </xf>
    <xf numFmtId="0" fontId="0" fillId="0" borderId="4" xfId="0" quotePrefix="1" applyFill="1" applyBorder="1" applyAlignment="1">
      <alignment horizontal="center" vertical="center"/>
    </xf>
    <xf numFmtId="0" fontId="0" fillId="0" borderId="5" xfId="0" quotePrefix="1" applyFill="1" applyBorder="1" applyAlignment="1">
      <alignment horizontal="center" vertical="center"/>
    </xf>
    <xf numFmtId="0" fontId="0" fillId="0" borderId="3" xfId="0" quotePrefix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5" xfId="0" applyFont="1" applyFill="1" applyBorder="1" applyAlignment="1">
      <alignment horizontal="center" vertical="center"/>
    </xf>
    <xf numFmtId="0" fontId="0" fillId="0" borderId="1" xfId="0" applyFill="1" applyBorder="1" applyAlignment="1" applyProtection="1">
      <alignment horizontal="center" vertical="center"/>
      <protection locked="0"/>
    </xf>
    <xf numFmtId="0" fontId="12" fillId="0" borderId="1" xfId="0" quotePrefix="1" applyFont="1" applyFill="1" applyBorder="1" applyAlignment="1" applyProtection="1">
      <alignment horizontal="center" vertical="center"/>
    </xf>
    <xf numFmtId="0" fontId="6" fillId="0" borderId="1" xfId="0" applyFont="1" applyBorder="1" applyAlignment="1" applyProtection="1">
      <alignment horizontal="center" vertical="center"/>
      <protection locked="0"/>
    </xf>
    <xf numFmtId="0" fontId="21" fillId="4" borderId="3" xfId="0" applyFont="1" applyFill="1" applyBorder="1" applyAlignment="1" applyProtection="1">
      <alignment horizontal="center" vertical="center" wrapText="1"/>
      <protection locked="0"/>
    </xf>
    <xf numFmtId="0" fontId="7" fillId="0" borderId="4" xfId="0" applyFont="1" applyBorder="1" applyAlignment="1" applyProtection="1">
      <alignment horizontal="left" vertical="center" wrapText="1"/>
      <protection locked="0"/>
    </xf>
    <xf numFmtId="0" fontId="7" fillId="0" borderId="5" xfId="0" applyFont="1" applyBorder="1" applyAlignment="1" applyProtection="1">
      <alignment horizontal="left" vertical="center" wrapText="1"/>
      <protection locked="0"/>
    </xf>
    <xf numFmtId="0" fontId="7" fillId="0" borderId="6" xfId="0" applyFont="1" applyBorder="1" applyAlignment="1" applyProtection="1">
      <alignment horizontal="left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8" fillId="4" borderId="4" xfId="0" quotePrefix="1" applyFont="1" applyFill="1" applyBorder="1" applyAlignment="1">
      <alignment horizontal="center" vertical="center"/>
    </xf>
    <xf numFmtId="0" fontId="8" fillId="4" borderId="6" xfId="0" quotePrefix="1" applyFont="1" applyFill="1" applyBorder="1" applyAlignment="1">
      <alignment horizontal="center" vertical="center"/>
    </xf>
    <xf numFmtId="0" fontId="0" fillId="3" borderId="4" xfId="0" applyFill="1" applyBorder="1" applyAlignment="1">
      <alignment horizontal="left" vertical="center"/>
    </xf>
    <xf numFmtId="0" fontId="0" fillId="3" borderId="5" xfId="0" applyFill="1" applyBorder="1" applyAlignment="1">
      <alignment horizontal="left" vertical="center"/>
    </xf>
    <xf numFmtId="0" fontId="7" fillId="3" borderId="4" xfId="0" applyFont="1" applyFill="1" applyBorder="1" applyAlignment="1">
      <alignment horizontal="left" vertical="center" wrapText="1"/>
    </xf>
    <xf numFmtId="0" fontId="7" fillId="3" borderId="5" xfId="0" applyFont="1" applyFill="1" applyBorder="1" applyAlignment="1">
      <alignment horizontal="left" vertical="center" wrapText="1"/>
    </xf>
    <xf numFmtId="0" fontId="7" fillId="0" borderId="4" xfId="0" applyFont="1" applyBorder="1" applyAlignment="1">
      <alignment horizontal="left" vertical="center" wrapText="1"/>
    </xf>
    <xf numFmtId="0" fontId="4" fillId="0" borderId="5" xfId="0" applyFont="1" applyBorder="1" applyAlignment="1">
      <alignment horizontal="left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0" fillId="0" borderId="38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0" fillId="4" borderId="6" xfId="0" applyFill="1" applyBorder="1">
      <alignment vertical="center"/>
    </xf>
    <xf numFmtId="0" fontId="8" fillId="4" borderId="4" xfId="0" applyFont="1" applyFill="1" applyBorder="1" applyAlignment="1">
      <alignment horizontal="center" vertical="center"/>
    </xf>
    <xf numFmtId="0" fontId="0" fillId="0" borderId="6" xfId="0" applyBorder="1">
      <alignment vertical="center"/>
    </xf>
    <xf numFmtId="0" fontId="7" fillId="3" borderId="4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  <xf numFmtId="0" fontId="7" fillId="3" borderId="4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14" fillId="4" borderId="4" xfId="0" quotePrefix="1" applyFont="1" applyFill="1" applyBorder="1" applyAlignment="1" applyProtection="1">
      <alignment horizontal="center" vertical="center"/>
      <protection locked="0"/>
    </xf>
    <xf numFmtId="0" fontId="14" fillId="4" borderId="5" xfId="0" quotePrefix="1" applyFont="1" applyFill="1" applyBorder="1" applyAlignment="1" applyProtection="1">
      <alignment horizontal="center" vertical="center"/>
      <protection locked="0"/>
    </xf>
    <xf numFmtId="0" fontId="14" fillId="4" borderId="6" xfId="0" quotePrefix="1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 applyProtection="1">
      <alignment horizontal="center" vertical="center" wrapText="1"/>
      <protection locked="0"/>
    </xf>
    <xf numFmtId="0" fontId="7" fillId="0" borderId="1" xfId="0" applyFont="1" applyFill="1" applyBorder="1" applyAlignment="1" applyProtection="1">
      <alignment horizontal="center" vertical="center" wrapText="1"/>
      <protection locked="0"/>
    </xf>
    <xf numFmtId="0" fontId="7" fillId="3" borderId="3" xfId="0" applyFont="1" applyFill="1" applyBorder="1" applyAlignment="1" applyProtection="1">
      <alignment horizontal="center" vertical="center" wrapText="1"/>
      <protection locked="0"/>
    </xf>
    <xf numFmtId="0" fontId="7" fillId="3" borderId="4" xfId="0" applyFont="1" applyFill="1" applyBorder="1" applyAlignment="1" applyProtection="1">
      <alignment horizontal="left" vertical="center" wrapText="1"/>
      <protection locked="0"/>
    </xf>
    <xf numFmtId="0" fontId="7" fillId="3" borderId="5" xfId="0" applyFont="1" applyFill="1" applyBorder="1" applyAlignment="1" applyProtection="1">
      <alignment horizontal="left" vertical="center" wrapText="1"/>
      <protection locked="0"/>
    </xf>
    <xf numFmtId="0" fontId="7" fillId="3" borderId="6" xfId="0" applyFont="1" applyFill="1" applyBorder="1" applyAlignment="1" applyProtection="1">
      <alignment horizontal="left" vertical="center" wrapText="1"/>
      <protection locked="0"/>
    </xf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CCCC"/>
      <color rgb="FFFFCCFF"/>
      <color rgb="FFFF99FF"/>
      <color rgb="FFCCECFF"/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F252"/>
  <sheetViews>
    <sheetView tabSelected="1" topLeftCell="A29" zoomScale="70" zoomScaleNormal="70" workbookViewId="0">
      <selection activeCell="AC55" sqref="AC55:AC64"/>
    </sheetView>
  </sheetViews>
  <sheetFormatPr defaultRowHeight="14.4" outlineLevelRow="1" x14ac:dyDescent="0.25"/>
  <cols>
    <col min="1" max="1" width="17.77734375" customWidth="1"/>
    <col min="2" max="2" width="10.21875" customWidth="1"/>
    <col min="3" max="3" width="51.6640625" customWidth="1"/>
    <col min="4" max="4" width="35.6640625" customWidth="1"/>
    <col min="5" max="6" width="5.44140625" customWidth="1"/>
    <col min="7" max="9" width="5" customWidth="1"/>
    <col min="10" max="27" width="3.6640625" customWidth="1"/>
  </cols>
  <sheetData>
    <row r="1" spans="1:7" x14ac:dyDescent="0.25">
      <c r="A1" s="330" t="s">
        <v>798</v>
      </c>
      <c r="B1" s="330">
        <v>6</v>
      </c>
      <c r="C1" s="330"/>
      <c r="D1" s="339"/>
      <c r="E1" s="330"/>
      <c r="F1" s="330"/>
      <c r="G1" s="330"/>
    </row>
    <row r="2" spans="1:7" x14ac:dyDescent="0.25">
      <c r="A2" s="330" t="s">
        <v>799</v>
      </c>
      <c r="B2" s="330">
        <v>100</v>
      </c>
      <c r="C2" s="330">
        <v>400</v>
      </c>
      <c r="D2" s="339">
        <v>300</v>
      </c>
      <c r="E2" s="330">
        <v>40</v>
      </c>
      <c r="F2" s="330">
        <v>20</v>
      </c>
      <c r="G2" s="330">
        <v>20</v>
      </c>
    </row>
    <row r="3" spans="1:7" x14ac:dyDescent="0.25">
      <c r="A3" s="330" t="s">
        <v>800</v>
      </c>
      <c r="B3" s="330" t="s">
        <v>826</v>
      </c>
      <c r="C3" s="330" t="s">
        <v>801</v>
      </c>
      <c r="D3" s="330" t="s">
        <v>802</v>
      </c>
      <c r="E3" s="340" t="s">
        <v>809</v>
      </c>
      <c r="F3" s="330" t="s">
        <v>803</v>
      </c>
      <c r="G3" s="330" t="s">
        <v>804</v>
      </c>
    </row>
    <row r="4" spans="1:7" x14ac:dyDescent="0.25">
      <c r="A4" s="331">
        <v>0</v>
      </c>
      <c r="B4" s="331" t="s">
        <v>805</v>
      </c>
      <c r="C4" s="331"/>
      <c r="D4" s="339"/>
      <c r="E4" s="331"/>
      <c r="F4" s="331"/>
      <c r="G4" s="331"/>
    </row>
    <row r="5" spans="1:7" x14ac:dyDescent="0.25">
      <c r="A5" s="331">
        <v>0</v>
      </c>
      <c r="B5" s="331" t="s">
        <v>805</v>
      </c>
      <c r="C5" s="331"/>
      <c r="D5" s="339"/>
      <c r="E5" s="331"/>
      <c r="F5" s="331"/>
      <c r="G5" s="331"/>
    </row>
    <row r="6" spans="1:7" x14ac:dyDescent="0.25">
      <c r="A6" s="331">
        <v>0</v>
      </c>
      <c r="B6" s="331" t="s">
        <v>805</v>
      </c>
      <c r="C6" s="331"/>
      <c r="D6" s="339"/>
      <c r="E6" s="331"/>
      <c r="F6" s="331"/>
      <c r="G6" s="331"/>
    </row>
    <row r="7" spans="1:7" x14ac:dyDescent="0.25">
      <c r="A7" s="331">
        <v>0</v>
      </c>
      <c r="B7" s="331" t="s">
        <v>805</v>
      </c>
      <c r="C7" s="331"/>
      <c r="D7" s="339"/>
      <c r="E7" s="331"/>
      <c r="F7" s="331"/>
      <c r="G7" s="331"/>
    </row>
    <row r="8" spans="1:7" x14ac:dyDescent="0.25">
      <c r="A8" s="331">
        <v>0</v>
      </c>
      <c r="B8" s="331" t="s">
        <v>805</v>
      </c>
      <c r="C8" s="331"/>
      <c r="D8" s="339"/>
      <c r="E8" s="331"/>
      <c r="F8" s="331"/>
      <c r="G8" s="331"/>
    </row>
    <row r="9" spans="1:7" x14ac:dyDescent="0.25">
      <c r="A9" s="331">
        <v>0</v>
      </c>
      <c r="B9" s="331" t="s">
        <v>805</v>
      </c>
      <c r="C9" s="331"/>
      <c r="D9" s="339"/>
      <c r="E9" s="331"/>
      <c r="F9" s="331"/>
      <c r="G9" s="331"/>
    </row>
    <row r="10" spans="1:7" x14ac:dyDescent="0.25">
      <c r="A10" s="331">
        <v>0</v>
      </c>
      <c r="B10" s="396" t="s">
        <v>806</v>
      </c>
      <c r="C10" s="397"/>
      <c r="D10" s="397"/>
      <c r="E10" s="397"/>
      <c r="F10" s="397"/>
      <c r="G10" s="397"/>
    </row>
    <row r="11" spans="1:7" x14ac:dyDescent="0.25">
      <c r="A11" s="338">
        <v>1</v>
      </c>
      <c r="B11" s="338"/>
      <c r="C11" s="338"/>
      <c r="D11" s="338" t="s">
        <v>845</v>
      </c>
      <c r="E11" s="347"/>
      <c r="F11" s="347"/>
      <c r="G11" s="347"/>
    </row>
    <row r="12" spans="1:7" x14ac:dyDescent="0.25">
      <c r="A12" s="338">
        <v>1</v>
      </c>
      <c r="B12" s="338"/>
      <c r="C12" s="338"/>
      <c r="D12" s="338" t="s">
        <v>846</v>
      </c>
      <c r="E12" s="360"/>
      <c r="F12" s="360"/>
      <c r="G12" s="360"/>
    </row>
    <row r="13" spans="1:7" x14ac:dyDescent="0.25">
      <c r="A13" s="338">
        <v>1</v>
      </c>
      <c r="B13" s="338"/>
      <c r="C13" s="338"/>
      <c r="D13" s="338" t="s">
        <v>847</v>
      </c>
      <c r="E13" s="360"/>
      <c r="F13" s="360"/>
      <c r="G13" s="360"/>
    </row>
    <row r="14" spans="1:7" x14ac:dyDescent="0.25">
      <c r="A14" s="338">
        <v>1</v>
      </c>
      <c r="B14" s="338"/>
      <c r="C14" s="338"/>
      <c r="D14" s="338" t="s">
        <v>848</v>
      </c>
      <c r="E14" s="360"/>
      <c r="F14" s="360"/>
      <c r="G14" s="360"/>
    </row>
    <row r="15" spans="1:7" x14ac:dyDescent="0.25">
      <c r="A15" s="338">
        <v>1</v>
      </c>
      <c r="B15" s="338"/>
      <c r="C15" s="338"/>
      <c r="D15" s="338" t="s">
        <v>849</v>
      </c>
      <c r="E15" s="360"/>
      <c r="F15" s="360"/>
      <c r="G15" s="360"/>
    </row>
    <row r="17" spans="1:31" x14ac:dyDescent="0.25">
      <c r="A17" s="338">
        <v>1</v>
      </c>
      <c r="B17" s="338"/>
      <c r="C17" s="338"/>
      <c r="D17" s="338" t="s">
        <v>807</v>
      </c>
      <c r="E17" s="331"/>
      <c r="F17" s="331"/>
      <c r="G17" s="331"/>
    </row>
    <row r="19" spans="1:31" x14ac:dyDescent="0.25">
      <c r="A19" s="346">
        <v>2</v>
      </c>
      <c r="B19" s="331"/>
      <c r="C19" s="55" t="str">
        <f>IF(ISBLANK(H19),,H19&amp;" ")&amp;IF(ISBLANK(I19),,I19&amp;" ")&amp;IF(ISBLANK(J19),,J19&amp;" ")&amp;IF(ISBLANK(K19),,K19&amp;" ")&amp;IF(ISBLANK(L19),,L19&amp;" ")&amp;IF(ISBLANK(M19),,M19&amp;" ")&amp;IF(ISBLANK(N19),,N19&amp;" ")&amp;IF(ISBLANK(O19),,O19&amp;" ")&amp;IF(ISBLANK(P19),,P19&amp;" ")&amp;IF(ISBLANK(Q19),,Q19&amp;" ")&amp;IF(ISBLANK(R19),,R19&amp;" ")&amp;IF(ISBLANK(S19),,S19&amp;" ")&amp;IF(ISBLANK(T19),,T19&amp;" ")&amp;IF(ISBLANK(U19),,U19&amp;" ")&amp;IF(ISBLANK(V19),,V19&amp;" ")&amp;IF(ISBLANK(W19),,W19&amp;" ")&amp;IF(ISBLANK(X19),,X19&amp;" ")&amp;IF(ISBLANK(Y19),,Y19&amp;" ")&amp;IF(ISBLANK(Z19),,Z19&amp;" ")&amp;IF(ISBLANK(AA19),,AA19)</f>
        <v>0x00 0x01 aa 00 04 01 00 00 01 06 55</v>
      </c>
      <c r="D19" s="329" t="s">
        <v>562</v>
      </c>
      <c r="E19" s="351"/>
      <c r="F19" s="351"/>
      <c r="G19" s="351"/>
      <c r="H19" s="344" t="s">
        <v>825</v>
      </c>
      <c r="I19" s="344" t="s">
        <v>824</v>
      </c>
      <c r="J19" s="84" t="s">
        <v>251</v>
      </c>
      <c r="K19" s="75" t="s">
        <v>256</v>
      </c>
      <c r="L19" s="75" t="str">
        <f>DEC2HEX( COUNTA(M19:Y19),2)</f>
        <v>04</v>
      </c>
      <c r="M19" s="76" t="s">
        <v>14</v>
      </c>
      <c r="N19" s="76" t="s">
        <v>256</v>
      </c>
      <c r="O19" s="76" t="s">
        <v>256</v>
      </c>
      <c r="P19" s="327" t="s">
        <v>14</v>
      </c>
      <c r="Q19" s="327"/>
      <c r="R19" s="327"/>
      <c r="S19" s="327"/>
      <c r="T19" s="327"/>
      <c r="U19" s="327"/>
      <c r="V19" s="327"/>
      <c r="W19" s="327"/>
      <c r="X19" s="327"/>
      <c r="Y19" s="327"/>
      <c r="Z19" s="84" t="str">
        <f>DEC2HEX(MOD(HEX2DEC(K19)+HEX2DEC(L19)+HEX2DEC(M19)+HEX2DEC(N19)+HEX2DEC(O19)+HEX2DEC(P19)+HEX2DEC(Q19)+HEX2DEC(R19)+HEX2DEC(S19)+HEX2DEC(T19)+HEX2DEC(U19)+HEX2DEC(V19)+HEX2DEC(W19)+HEX2DEC(X19)+HEX2DEC(Y19),256),2)</f>
        <v>06</v>
      </c>
      <c r="AA19" s="84" t="s">
        <v>5</v>
      </c>
      <c r="AB19" s="116"/>
      <c r="AC19" s="116"/>
      <c r="AD19" s="116"/>
      <c r="AE19" s="116"/>
    </row>
    <row r="20" spans="1:31" x14ac:dyDescent="0.25">
      <c r="A20" s="346">
        <v>2</v>
      </c>
      <c r="B20" s="331"/>
      <c r="C20" s="55" t="str">
        <f t="shared" ref="C20:C22" si="0">IF(ISBLANK(H20),,H20&amp;" ")&amp;IF(ISBLANK(I20),,I20&amp;" ")&amp;IF(ISBLANK(J20),,J20&amp;" ")&amp;IF(ISBLANK(K20),,K20&amp;" ")&amp;IF(ISBLANK(L20),,L20&amp;" ")&amp;IF(ISBLANK(M20),,M20&amp;" ")&amp;IF(ISBLANK(N20),,N20&amp;" ")&amp;IF(ISBLANK(O20),,O20&amp;" ")&amp;IF(ISBLANK(P20),,P20&amp;" ")&amp;IF(ISBLANK(Q20),,Q20&amp;" ")&amp;IF(ISBLANK(R20),,R20&amp;" ")&amp;IF(ISBLANK(S20),,S20&amp;" ")&amp;IF(ISBLANK(T20),,T20&amp;" ")&amp;IF(ISBLANK(U20),,U20&amp;" ")&amp;IF(ISBLANK(V20),,V20&amp;" ")&amp;IF(ISBLANK(W20),,W20&amp;" ")&amp;IF(ISBLANK(X20),,X20&amp;" ")&amp;IF(ISBLANK(Y20),,Y20&amp;" ")&amp;IF(ISBLANK(Z20),,Z20&amp;" ")&amp;IF(ISBLANK(AA20),,AA20)</f>
        <v>aa 00 04 01 00 00 02 07 55</v>
      </c>
      <c r="D20" s="329" t="s">
        <v>563</v>
      </c>
      <c r="E20" s="351"/>
      <c r="F20" s="351"/>
      <c r="G20" s="351"/>
      <c r="H20" s="344"/>
      <c r="I20" s="344"/>
      <c r="J20" s="84" t="s">
        <v>251</v>
      </c>
      <c r="K20" s="75" t="s">
        <v>256</v>
      </c>
      <c r="L20" s="75" t="str">
        <f t="shared" ref="L20:L22" si="1">DEC2HEX( COUNTA(M20:Y20),2)</f>
        <v>04</v>
      </c>
      <c r="M20" s="76" t="s">
        <v>14</v>
      </c>
      <c r="N20" s="76" t="s">
        <v>256</v>
      </c>
      <c r="O20" s="76" t="s">
        <v>256</v>
      </c>
      <c r="P20" s="327" t="s">
        <v>15</v>
      </c>
      <c r="Q20" s="327"/>
      <c r="R20" s="327"/>
      <c r="S20" s="327"/>
      <c r="T20" s="327"/>
      <c r="U20" s="327"/>
      <c r="V20" s="327"/>
      <c r="W20" s="327"/>
      <c r="X20" s="327"/>
      <c r="Y20" s="327"/>
      <c r="Z20" s="84" t="str">
        <f t="shared" ref="Z20:Z22" si="2">DEC2HEX(MOD(HEX2DEC(K20)+HEX2DEC(L20)+HEX2DEC(M20)+HEX2DEC(N20)+HEX2DEC(O20)+HEX2DEC(P20)+HEX2DEC(Q20)+HEX2DEC(R20)+HEX2DEC(S20)+HEX2DEC(T20)+HEX2DEC(U20)+HEX2DEC(V20)+HEX2DEC(W20)+HEX2DEC(X20)+HEX2DEC(Y20),256),2)</f>
        <v>07</v>
      </c>
      <c r="AA20" s="84" t="s">
        <v>5</v>
      </c>
      <c r="AB20" s="116"/>
      <c r="AC20" s="116"/>
      <c r="AD20" s="116"/>
      <c r="AE20" s="116"/>
    </row>
    <row r="21" spans="1:31" x14ac:dyDescent="0.25">
      <c r="A21" s="346">
        <v>2</v>
      </c>
      <c r="B21" s="331"/>
      <c r="C21" s="55" t="str">
        <f t="shared" si="0"/>
        <v>aa 00 04 01 00 00 03 08 55</v>
      </c>
      <c r="D21" s="329" t="s">
        <v>564</v>
      </c>
      <c r="E21" s="351"/>
      <c r="F21" s="351"/>
      <c r="G21" s="351"/>
      <c r="H21" s="344"/>
      <c r="I21" s="344"/>
      <c r="J21" s="84" t="s">
        <v>251</v>
      </c>
      <c r="K21" s="75" t="s">
        <v>256</v>
      </c>
      <c r="L21" s="75" t="str">
        <f t="shared" si="1"/>
        <v>04</v>
      </c>
      <c r="M21" s="76" t="s">
        <v>14</v>
      </c>
      <c r="N21" s="76" t="s">
        <v>256</v>
      </c>
      <c r="O21" s="76" t="s">
        <v>256</v>
      </c>
      <c r="P21" s="327" t="s">
        <v>13</v>
      </c>
      <c r="Q21" s="327"/>
      <c r="R21" s="327"/>
      <c r="S21" s="327"/>
      <c r="T21" s="327"/>
      <c r="U21" s="327"/>
      <c r="V21" s="327"/>
      <c r="W21" s="327"/>
      <c r="X21" s="327"/>
      <c r="Y21" s="327"/>
      <c r="Z21" s="84" t="str">
        <f t="shared" si="2"/>
        <v>08</v>
      </c>
      <c r="AA21" s="84" t="s">
        <v>5</v>
      </c>
      <c r="AB21" s="116"/>
      <c r="AC21" s="116"/>
      <c r="AD21" s="116"/>
      <c r="AE21" s="116"/>
    </row>
    <row r="22" spans="1:31" x14ac:dyDescent="0.25">
      <c r="A22" s="346">
        <v>2</v>
      </c>
      <c r="B22" s="331"/>
      <c r="C22" s="55" t="str">
        <f t="shared" si="0"/>
        <v>aa 00 03 01 00 01 05 55</v>
      </c>
      <c r="D22" s="329" t="s">
        <v>623</v>
      </c>
      <c r="E22" s="351"/>
      <c r="F22" s="351"/>
      <c r="G22" s="351"/>
      <c r="H22" s="344"/>
      <c r="I22" s="344"/>
      <c r="J22" s="84" t="s">
        <v>251</v>
      </c>
      <c r="K22" s="75" t="s">
        <v>256</v>
      </c>
      <c r="L22" s="75" t="str">
        <f t="shared" si="1"/>
        <v>03</v>
      </c>
      <c r="M22" s="76" t="s">
        <v>14</v>
      </c>
      <c r="N22" s="76" t="s">
        <v>256</v>
      </c>
      <c r="O22" s="76" t="s">
        <v>14</v>
      </c>
      <c r="P22" s="327"/>
      <c r="Q22" s="327"/>
      <c r="R22" s="327"/>
      <c r="S22" s="327"/>
      <c r="T22" s="327"/>
      <c r="U22" s="327"/>
      <c r="V22" s="327"/>
      <c r="W22" s="327"/>
      <c r="X22" s="327"/>
      <c r="Y22" s="327"/>
      <c r="Z22" s="84" t="str">
        <f t="shared" si="2"/>
        <v>05</v>
      </c>
      <c r="AA22" s="84" t="s">
        <v>5</v>
      </c>
      <c r="AB22" s="116"/>
      <c r="AC22" s="116"/>
      <c r="AD22" s="116"/>
      <c r="AE22" s="116"/>
    </row>
    <row r="29" spans="1:31" x14ac:dyDescent="0.25">
      <c r="A29" s="338">
        <v>1</v>
      </c>
      <c r="B29" s="338"/>
      <c r="C29" s="338"/>
      <c r="D29" s="338" t="s">
        <v>827</v>
      </c>
      <c r="E29" s="388" t="s">
        <v>810</v>
      </c>
      <c r="F29" s="388"/>
      <c r="G29" s="388"/>
    </row>
    <row r="30" spans="1:31" ht="14.4" hidden="1" customHeight="1" outlineLevel="1" x14ac:dyDescent="0.25">
      <c r="A30" s="346">
        <v>2</v>
      </c>
      <c r="B30" s="365"/>
      <c r="C30" s="55"/>
      <c r="D30" s="375" t="s">
        <v>852</v>
      </c>
      <c r="E30" s="388" t="s">
        <v>810</v>
      </c>
      <c r="F30" s="388"/>
      <c r="G30" s="388"/>
      <c r="H30" s="348"/>
      <c r="I30" s="348"/>
      <c r="J30" s="395" t="s">
        <v>851</v>
      </c>
      <c r="K30" s="395"/>
      <c r="L30" s="395"/>
      <c r="M30" s="395"/>
      <c r="N30" s="395"/>
      <c r="O30" s="395"/>
      <c r="P30" s="395"/>
      <c r="Q30" s="395"/>
      <c r="R30" s="395"/>
      <c r="S30" s="395"/>
      <c r="T30" s="395"/>
      <c r="U30" s="395"/>
      <c r="V30" s="395"/>
      <c r="W30" s="395"/>
      <c r="X30" s="395"/>
      <c r="Y30" s="395"/>
      <c r="Z30" s="395"/>
      <c r="AA30" s="395"/>
      <c r="AB30" s="116"/>
      <c r="AC30" s="116"/>
      <c r="AD30" s="116"/>
      <c r="AE30" s="116"/>
    </row>
    <row r="31" spans="1:31" ht="14.4" hidden="1" customHeight="1" outlineLevel="1" x14ac:dyDescent="0.25">
      <c r="A31" s="364">
        <v>3</v>
      </c>
      <c r="B31" s="365"/>
      <c r="C31" s="55" t="str">
        <f>IF(ISBLANK(H31),,H31&amp;" ")&amp;IF(ISBLANK(I31),,I31&amp;" ")&amp;IF(ISBLANK(J31),,J31&amp;" ")&amp;IF(ISBLANK(K31),,K31&amp;" ")&amp;IF(ISBLANK(L31),,L31&amp;" ")&amp;IF(ISBLANK(M31),,M31&amp;" ")&amp;IF(ISBLANK(N31),,N31&amp;" ")&amp;IF(ISBLANK(O31),,O31&amp;" ")&amp;IF(ISBLANK(P31),,P31&amp;" ")&amp;IF(ISBLANK(Q31),,Q31&amp;" ")&amp;IF(ISBLANK(R31),,R31&amp;" ")&amp;IF(ISBLANK(S31),,S31&amp;" ")&amp;IF(ISBLANK(T31),,T31&amp;" ")&amp;IF(ISBLANK(U31),,U31&amp;" ")&amp;IF(ISBLANK(V31),,V31&amp;" ")&amp;IF(ISBLANK(W31),,W31&amp;" ")&amp;IF(ISBLANK(X31),,X31&amp;" ")&amp;IF(ISBLANK(Y31),,Y31&amp;" ")&amp;IF(ISBLANK(Z31),,Z31&amp;" ")&amp;IF(ISBLANK(AA31),,AA31)</f>
        <v>0x00 0x01 aa 00 04 63 00 34 00 9B 55</v>
      </c>
      <c r="D31" s="366" t="s">
        <v>853</v>
      </c>
      <c r="E31" s="388" t="s">
        <v>810</v>
      </c>
      <c r="F31" s="388"/>
      <c r="G31" s="388"/>
      <c r="H31" s="344" t="s">
        <v>823</v>
      </c>
      <c r="I31" s="344" t="s">
        <v>824</v>
      </c>
      <c r="J31" s="1" t="s">
        <v>0</v>
      </c>
      <c r="K31" s="1" t="s">
        <v>1</v>
      </c>
      <c r="L31" s="1" t="s">
        <v>2</v>
      </c>
      <c r="M31" s="2" t="s">
        <v>16</v>
      </c>
      <c r="N31" s="2" t="s">
        <v>1</v>
      </c>
      <c r="O31" s="2" t="s">
        <v>634</v>
      </c>
      <c r="P31" s="2" t="s">
        <v>1</v>
      </c>
      <c r="Q31" s="2"/>
      <c r="R31" s="4"/>
      <c r="S31" s="4"/>
      <c r="T31" s="4"/>
      <c r="U31" s="4"/>
      <c r="V31" s="4"/>
      <c r="W31" s="4"/>
      <c r="X31" s="31"/>
      <c r="Y31" s="31"/>
      <c r="Z31" s="84" t="str">
        <f t="shared" ref="Z31:Z33" si="3">DEC2HEX(MOD(HEX2DEC(K31)+HEX2DEC(L31)+HEX2DEC(M31)+HEX2DEC(N31)+HEX2DEC(O31)+HEX2DEC(P31)+HEX2DEC(Q31)+HEX2DEC(R31)+HEX2DEC(S31)+HEX2DEC(T31)+HEX2DEC(U31)+HEX2DEC(V31)+HEX2DEC(W31)+HEX2DEC(X31)+HEX2DEC(Y31),256),2)</f>
        <v>9B</v>
      </c>
      <c r="AA31" s="13" t="s">
        <v>5</v>
      </c>
      <c r="AB31" s="116"/>
      <c r="AC31" s="116"/>
      <c r="AD31" s="116"/>
      <c r="AE31" s="116"/>
    </row>
    <row r="32" spans="1:31" ht="14.4" hidden="1" customHeight="1" outlineLevel="1" x14ac:dyDescent="0.25">
      <c r="A32" s="364">
        <v>3</v>
      </c>
      <c r="B32" s="365"/>
      <c r="C32" s="55" t="str">
        <f t="shared" ref="C32:C33" si="4">IF(ISBLANK(H32),,H32&amp;" ")&amp;IF(ISBLANK(I32),,I32&amp;" ")&amp;IF(ISBLANK(J32),,J32&amp;" ")&amp;IF(ISBLANK(K32),,K32&amp;" ")&amp;IF(ISBLANK(L32),,L32&amp;" ")&amp;IF(ISBLANK(M32),,M32&amp;" ")&amp;IF(ISBLANK(N32),,N32&amp;" ")&amp;IF(ISBLANK(O32),,O32&amp;" ")&amp;IF(ISBLANK(P32),,P32&amp;" ")&amp;IF(ISBLANK(Q32),,Q32&amp;" ")&amp;IF(ISBLANK(R32),,R32&amp;" ")&amp;IF(ISBLANK(S32),,S32&amp;" ")&amp;IF(ISBLANK(T32),,T32&amp;" ")&amp;IF(ISBLANK(U32),,U32&amp;" ")&amp;IF(ISBLANK(V32),,V32&amp;" ")&amp;IF(ISBLANK(W32),,W32&amp;" ")&amp;IF(ISBLANK(X32),,X32&amp;" ")&amp;IF(ISBLANK(Y32),,Y32&amp;" ")&amp;IF(ISBLANK(Z32),,Z32&amp;" ")&amp;IF(ISBLANK(AA32),,AA32)</f>
        <v>0x00 0x01 aa 00 04 63 00 34 01 9C 55</v>
      </c>
      <c r="D32" s="366" t="s">
        <v>854</v>
      </c>
      <c r="E32" s="388" t="s">
        <v>810</v>
      </c>
      <c r="F32" s="388"/>
      <c r="G32" s="388"/>
      <c r="H32" s="344" t="s">
        <v>823</v>
      </c>
      <c r="I32" s="344" t="s">
        <v>824</v>
      </c>
      <c r="J32" s="1" t="s">
        <v>0</v>
      </c>
      <c r="K32" s="1" t="s">
        <v>1</v>
      </c>
      <c r="L32" s="1" t="s">
        <v>2</v>
      </c>
      <c r="M32" s="2" t="s">
        <v>16</v>
      </c>
      <c r="N32" s="2" t="s">
        <v>1</v>
      </c>
      <c r="O32" s="2" t="s">
        <v>634</v>
      </c>
      <c r="P32" s="2" t="s">
        <v>4</v>
      </c>
      <c r="Q32" s="2"/>
      <c r="R32" s="4"/>
      <c r="S32" s="4"/>
      <c r="T32" s="4"/>
      <c r="U32" s="4"/>
      <c r="V32" s="4"/>
      <c r="W32" s="4"/>
      <c r="X32" s="31"/>
      <c r="Y32" s="31"/>
      <c r="Z32" s="84" t="str">
        <f t="shared" si="3"/>
        <v>9C</v>
      </c>
      <c r="AA32" s="13" t="s">
        <v>5</v>
      </c>
      <c r="AB32" s="116"/>
      <c r="AC32" s="116"/>
      <c r="AD32" s="116"/>
      <c r="AE32" s="116"/>
    </row>
    <row r="33" spans="1:31" ht="14.4" hidden="1" customHeight="1" outlineLevel="1" x14ac:dyDescent="0.25">
      <c r="A33" s="364">
        <v>3</v>
      </c>
      <c r="B33" s="365"/>
      <c r="C33" s="55" t="str">
        <f t="shared" si="4"/>
        <v>0x00 0x01 aa 00 04 63 00 34 02 9D 55</v>
      </c>
      <c r="D33" s="366" t="s">
        <v>855</v>
      </c>
      <c r="E33" s="388" t="s">
        <v>810</v>
      </c>
      <c r="F33" s="388"/>
      <c r="G33" s="388"/>
      <c r="H33" s="344" t="s">
        <v>823</v>
      </c>
      <c r="I33" s="344" t="s">
        <v>824</v>
      </c>
      <c r="J33" s="1" t="s">
        <v>0</v>
      </c>
      <c r="K33" s="1" t="s">
        <v>1</v>
      </c>
      <c r="L33" s="1" t="s">
        <v>2</v>
      </c>
      <c r="M33" s="2" t="s">
        <v>16</v>
      </c>
      <c r="N33" s="2" t="s">
        <v>1</v>
      </c>
      <c r="O33" s="2" t="s">
        <v>634</v>
      </c>
      <c r="P33" s="2" t="s">
        <v>7</v>
      </c>
      <c r="Q33" s="2"/>
      <c r="R33" s="4"/>
      <c r="S33" s="4"/>
      <c r="T33" s="4"/>
      <c r="U33" s="4"/>
      <c r="V33" s="4"/>
      <c r="W33" s="4"/>
      <c r="X33" s="31"/>
      <c r="Y33" s="31"/>
      <c r="Z33" s="84" t="str">
        <f t="shared" si="3"/>
        <v>9D</v>
      </c>
      <c r="AA33" s="13" t="s">
        <v>5</v>
      </c>
      <c r="AB33" s="116"/>
      <c r="AC33" s="116"/>
      <c r="AD33" s="116"/>
      <c r="AE33" s="116"/>
    </row>
    <row r="34" spans="1:31" ht="14.4" hidden="1" customHeight="1" outlineLevel="1" x14ac:dyDescent="0.25">
      <c r="A34" s="346">
        <v>2</v>
      </c>
      <c r="B34" s="337"/>
      <c r="C34" s="55"/>
      <c r="D34" s="375" t="s">
        <v>856</v>
      </c>
      <c r="E34" s="388" t="s">
        <v>810</v>
      </c>
      <c r="F34" s="388"/>
      <c r="G34" s="388"/>
      <c r="H34" s="348"/>
      <c r="I34" s="348"/>
      <c r="J34" s="395"/>
      <c r="K34" s="395"/>
      <c r="L34" s="395"/>
      <c r="M34" s="395"/>
      <c r="N34" s="395"/>
      <c r="O34" s="395"/>
      <c r="P34" s="395"/>
      <c r="Q34" s="395"/>
      <c r="R34" s="395"/>
      <c r="S34" s="395"/>
      <c r="T34" s="395"/>
      <c r="U34" s="395"/>
      <c r="V34" s="395"/>
      <c r="W34" s="395"/>
      <c r="X34" s="395"/>
      <c r="Y34" s="395"/>
      <c r="Z34" s="395"/>
      <c r="AA34" s="395"/>
      <c r="AB34" s="116"/>
      <c r="AC34" s="116"/>
      <c r="AD34" s="116"/>
      <c r="AE34" s="116"/>
    </row>
    <row r="35" spans="1:31" hidden="1" outlineLevel="1" x14ac:dyDescent="0.25">
      <c r="A35" s="364">
        <v>3</v>
      </c>
      <c r="B35" s="337"/>
      <c r="C35" s="55" t="str">
        <f>IF(ISBLANK(H35),,H35&amp;" ")&amp;IF(ISBLANK(I35),,I35&amp;" ")&amp;IF(ISBLANK(J35),,J35&amp;" ")&amp;IF(ISBLANK(K35),,K35&amp;" ")&amp;IF(ISBLANK(L35),,L35&amp;" ")&amp;IF(ISBLANK(M35),,M35&amp;" ")&amp;IF(ISBLANK(N35),,N35&amp;" ")&amp;IF(ISBLANK(O35),,O35&amp;" ")&amp;IF(ISBLANK(P35),,P35&amp;" ")&amp;IF(ISBLANK(Q35),,Q35&amp;" ")&amp;IF(ISBLANK(R35),,R35&amp;" ")&amp;IF(ISBLANK(S35),,S35&amp;" ")&amp;IF(ISBLANK(T35),,T35&amp;" ")&amp;IF(ISBLANK(U35),,U35&amp;" ")&amp;IF(ISBLANK(V35),,V35&amp;" ")&amp;IF(ISBLANK(W35),,W35&amp;" ")&amp;IF(ISBLANK(X35),,X35&amp;" ")&amp;IF(ISBLANK(Y35),,Y35&amp;" ")&amp;IF(ISBLANK(Z35),,Z35&amp;" ")&amp;IF(ISBLANK(AA35),,AA35)</f>
        <v>0x00 0x01 aa 00 03 63 00 12 78 55</v>
      </c>
      <c r="D35" s="332" t="s">
        <v>828</v>
      </c>
      <c r="E35" s="388" t="s">
        <v>810</v>
      </c>
      <c r="F35" s="388"/>
      <c r="G35" s="388"/>
      <c r="H35" s="344" t="s">
        <v>823</v>
      </c>
      <c r="I35" s="344" t="s">
        <v>824</v>
      </c>
      <c r="J35" s="84" t="s">
        <v>251</v>
      </c>
      <c r="K35" s="75" t="s">
        <v>256</v>
      </c>
      <c r="L35" s="75" t="str">
        <f>DEC2HEX( COUNTA(M35:Y35),2)</f>
        <v>03</v>
      </c>
      <c r="M35" s="2" t="s">
        <v>16</v>
      </c>
      <c r="N35" s="2" t="s">
        <v>1</v>
      </c>
      <c r="O35" s="2" t="s">
        <v>17</v>
      </c>
      <c r="P35" s="333"/>
      <c r="Q35" s="333"/>
      <c r="R35" s="333"/>
      <c r="S35" s="333"/>
      <c r="T35" s="333"/>
      <c r="U35" s="333"/>
      <c r="V35" s="333"/>
      <c r="W35" s="333"/>
      <c r="X35" s="333"/>
      <c r="Y35" s="333"/>
      <c r="Z35" s="84" t="str">
        <f>DEC2HEX(MOD(HEX2DEC(K35)+HEX2DEC(L35)+HEX2DEC(M35)+HEX2DEC(N35)+HEX2DEC(O35)+HEX2DEC(P35)+HEX2DEC(Q35)+HEX2DEC(R35)+HEX2DEC(S35)+HEX2DEC(T35)+HEX2DEC(U35)+HEX2DEC(V35)+HEX2DEC(W35)+HEX2DEC(X35)+HEX2DEC(Y35),256),2)</f>
        <v>78</v>
      </c>
      <c r="AA35" s="84" t="s">
        <v>5</v>
      </c>
      <c r="AB35" s="116"/>
      <c r="AC35" s="116"/>
      <c r="AD35" s="116"/>
      <c r="AE35" s="116"/>
    </row>
    <row r="36" spans="1:31" hidden="1" outlineLevel="1" x14ac:dyDescent="0.25">
      <c r="A36" s="364">
        <v>3</v>
      </c>
      <c r="B36" s="337"/>
      <c r="C36" s="55" t="str">
        <f t="shared" ref="C36:C38" si="5">IF(ISBLANK(H36),,H36&amp;" ")&amp;IF(ISBLANK(I36),,I36&amp;" ")&amp;IF(ISBLANK(J36),,J36&amp;" ")&amp;IF(ISBLANK(K36),,K36&amp;" ")&amp;IF(ISBLANK(L36),,L36&amp;" ")&amp;IF(ISBLANK(M36),,M36&amp;" ")&amp;IF(ISBLANK(N36),,N36&amp;" ")&amp;IF(ISBLANK(O36),,O36&amp;" ")&amp;IF(ISBLANK(P36),,P36&amp;" ")&amp;IF(ISBLANK(Q36),,Q36&amp;" ")&amp;IF(ISBLANK(R36),,R36&amp;" ")&amp;IF(ISBLANK(S36),,S36&amp;" ")&amp;IF(ISBLANK(T36),,T36&amp;" ")&amp;IF(ISBLANK(U36),,U36&amp;" ")&amp;IF(ISBLANK(V36),,V36&amp;" ")&amp;IF(ISBLANK(W36),,W36&amp;" ")&amp;IF(ISBLANK(X36),,X36&amp;" ")&amp;IF(ISBLANK(Y36),,Y36&amp;" ")&amp;IF(ISBLANK(Z36),,Z36&amp;" ")&amp;IF(ISBLANK(AA36),,AA36)</f>
        <v>0x00 0x01 aa 00 03 63 01 12 79 55</v>
      </c>
      <c r="D36" s="332" t="s">
        <v>829</v>
      </c>
      <c r="E36" s="388" t="s">
        <v>810</v>
      </c>
      <c r="F36" s="388"/>
      <c r="G36" s="388"/>
      <c r="H36" s="344" t="s">
        <v>823</v>
      </c>
      <c r="I36" s="344" t="s">
        <v>824</v>
      </c>
      <c r="J36" s="84" t="s">
        <v>251</v>
      </c>
      <c r="K36" s="75" t="s">
        <v>256</v>
      </c>
      <c r="L36" s="75" t="str">
        <f t="shared" ref="L36:L38" si="6">DEC2HEX( COUNTA(M36:Y36),2)</f>
        <v>03</v>
      </c>
      <c r="M36" s="2" t="s">
        <v>16</v>
      </c>
      <c r="N36" s="2" t="s">
        <v>14</v>
      </c>
      <c r="O36" s="2" t="s">
        <v>17</v>
      </c>
      <c r="P36" s="333"/>
      <c r="Q36" s="333"/>
      <c r="R36" s="333"/>
      <c r="S36" s="333"/>
      <c r="T36" s="333"/>
      <c r="U36" s="333"/>
      <c r="V36" s="333"/>
      <c r="W36" s="333"/>
      <c r="X36" s="333"/>
      <c r="Y36" s="333"/>
      <c r="Z36" s="84" t="str">
        <f t="shared" ref="Z36:Z38" si="7">DEC2HEX(MOD(HEX2DEC(K36)+HEX2DEC(L36)+HEX2DEC(M36)+HEX2DEC(N36)+HEX2DEC(O36)+HEX2DEC(P36)+HEX2DEC(Q36)+HEX2DEC(R36)+HEX2DEC(S36)+HEX2DEC(T36)+HEX2DEC(U36)+HEX2DEC(V36)+HEX2DEC(W36)+HEX2DEC(X36)+HEX2DEC(Y36),256),2)</f>
        <v>79</v>
      </c>
      <c r="AA36" s="84" t="s">
        <v>5</v>
      </c>
      <c r="AB36" s="116"/>
      <c r="AC36" s="116"/>
      <c r="AD36" s="116"/>
      <c r="AE36" s="116"/>
    </row>
    <row r="37" spans="1:31" hidden="1" outlineLevel="1" x14ac:dyDescent="0.25">
      <c r="A37" s="364">
        <v>3</v>
      </c>
      <c r="B37" s="337"/>
      <c r="C37" s="55" t="str">
        <f t="shared" si="5"/>
        <v>0x00 0x01 aa 00 03 63 02 12 7A 55</v>
      </c>
      <c r="D37" s="332" t="s">
        <v>830</v>
      </c>
      <c r="E37" s="388" t="s">
        <v>810</v>
      </c>
      <c r="F37" s="388"/>
      <c r="G37" s="388"/>
      <c r="H37" s="344" t="s">
        <v>823</v>
      </c>
      <c r="I37" s="344" t="s">
        <v>824</v>
      </c>
      <c r="J37" s="84" t="s">
        <v>251</v>
      </c>
      <c r="K37" s="75" t="s">
        <v>256</v>
      </c>
      <c r="L37" s="75" t="str">
        <f t="shared" si="6"/>
        <v>03</v>
      </c>
      <c r="M37" s="2" t="s">
        <v>16</v>
      </c>
      <c r="N37" s="2" t="s">
        <v>15</v>
      </c>
      <c r="O37" s="2" t="s">
        <v>17</v>
      </c>
      <c r="P37" s="333"/>
      <c r="Q37" s="333"/>
      <c r="R37" s="333"/>
      <c r="S37" s="333"/>
      <c r="T37" s="333"/>
      <c r="U37" s="333"/>
      <c r="V37" s="333"/>
      <c r="W37" s="333"/>
      <c r="X37" s="333"/>
      <c r="Y37" s="333"/>
      <c r="Z37" s="84" t="str">
        <f t="shared" si="7"/>
        <v>7A</v>
      </c>
      <c r="AA37" s="84" t="s">
        <v>5</v>
      </c>
      <c r="AB37" s="116"/>
      <c r="AC37" s="116"/>
      <c r="AD37" s="116"/>
      <c r="AE37" s="116"/>
    </row>
    <row r="38" spans="1:31" hidden="1" outlineLevel="1" x14ac:dyDescent="0.25">
      <c r="A38" s="364">
        <v>3</v>
      </c>
      <c r="B38" s="337"/>
      <c r="C38" s="55" t="str">
        <f t="shared" si="5"/>
        <v>0x00 0x01 aa 00 03 63 03 12 7B 55</v>
      </c>
      <c r="D38" s="332" t="s">
        <v>831</v>
      </c>
      <c r="E38" s="388" t="s">
        <v>810</v>
      </c>
      <c r="F38" s="388"/>
      <c r="G38" s="388"/>
      <c r="H38" s="344" t="s">
        <v>823</v>
      </c>
      <c r="I38" s="344" t="s">
        <v>824</v>
      </c>
      <c r="J38" s="84" t="s">
        <v>251</v>
      </c>
      <c r="K38" s="75" t="s">
        <v>256</v>
      </c>
      <c r="L38" s="75" t="str">
        <f t="shared" si="6"/>
        <v>03</v>
      </c>
      <c r="M38" s="2" t="s">
        <v>16</v>
      </c>
      <c r="N38" s="2" t="s">
        <v>13</v>
      </c>
      <c r="O38" s="2" t="s">
        <v>17</v>
      </c>
      <c r="P38" s="333"/>
      <c r="Q38" s="333"/>
      <c r="R38" s="333"/>
      <c r="S38" s="333"/>
      <c r="T38" s="333"/>
      <c r="U38" s="333"/>
      <c r="V38" s="333"/>
      <c r="W38" s="333"/>
      <c r="X38" s="333"/>
      <c r="Y38" s="333"/>
      <c r="Z38" s="84" t="str">
        <f t="shared" si="7"/>
        <v>7B</v>
      </c>
      <c r="AA38" s="84" t="s">
        <v>5</v>
      </c>
      <c r="AB38" s="116"/>
      <c r="AC38" s="116"/>
      <c r="AD38" s="116"/>
      <c r="AE38" s="116"/>
    </row>
    <row r="39" spans="1:31" hidden="1" outlineLevel="1" x14ac:dyDescent="0.25">
      <c r="A39" s="364">
        <v>3</v>
      </c>
      <c r="B39" s="337"/>
      <c r="C39" s="55" t="str">
        <f t="shared" ref="C39:C44" si="8">IF(ISBLANK(H39),,H39&amp;" ")&amp;IF(ISBLANK(I39),,I39&amp;" ")&amp;IF(ISBLANK(J39),,J39&amp;" ")&amp;IF(ISBLANK(K39),,K39&amp;" ")&amp;IF(ISBLANK(L39),,L39&amp;" ")&amp;IF(ISBLANK(M39),,M39&amp;" ")&amp;IF(ISBLANK(N39),,N39&amp;" ")&amp;IF(ISBLANK(O39),,O39&amp;" ")&amp;IF(ISBLANK(P39),,P39&amp;" ")&amp;IF(ISBLANK(Q39),,Q39&amp;" ")&amp;IF(ISBLANK(R39),,R39&amp;" ")&amp;IF(ISBLANK(S39),,S39&amp;" ")&amp;IF(ISBLANK(T39),,T39&amp;" ")&amp;IF(ISBLANK(U39),,U39&amp;" ")&amp;IF(ISBLANK(V39),,V39&amp;" ")&amp;IF(ISBLANK(W39),,W39&amp;" ")&amp;IF(ISBLANK(X39),,X39&amp;" ")&amp;IF(ISBLANK(Y39),,Y39&amp;" ")&amp;IF(ISBLANK(Z39),,Z39&amp;" ")&amp;IF(ISBLANK(AA39),,AA39)</f>
        <v>0x00 0x01 aa 00 03 63 04 12 7C 55</v>
      </c>
      <c r="D39" s="332" t="s">
        <v>832</v>
      </c>
      <c r="E39" s="388" t="s">
        <v>810</v>
      </c>
      <c r="F39" s="388"/>
      <c r="G39" s="388"/>
      <c r="H39" s="344" t="s">
        <v>823</v>
      </c>
      <c r="I39" s="344" t="s">
        <v>824</v>
      </c>
      <c r="J39" s="84" t="s">
        <v>251</v>
      </c>
      <c r="K39" s="75" t="s">
        <v>256</v>
      </c>
      <c r="L39" s="75" t="str">
        <f t="shared" ref="L39" si="9">DEC2HEX( COUNTA(M39:Y39),2)</f>
        <v>03</v>
      </c>
      <c r="M39" s="2" t="s">
        <v>16</v>
      </c>
      <c r="N39" s="2" t="s">
        <v>2</v>
      </c>
      <c r="O39" s="2" t="s">
        <v>17</v>
      </c>
      <c r="P39" s="333"/>
      <c r="Q39" s="333"/>
      <c r="R39" s="333"/>
      <c r="S39" s="333"/>
      <c r="T39" s="333"/>
      <c r="U39" s="333"/>
      <c r="V39" s="333"/>
      <c r="W39" s="333"/>
      <c r="X39" s="333"/>
      <c r="Y39" s="333"/>
      <c r="Z39" s="84" t="str">
        <f t="shared" ref="Z39" si="10">DEC2HEX(MOD(HEX2DEC(K39)+HEX2DEC(L39)+HEX2DEC(M39)+HEX2DEC(N39)+HEX2DEC(O39)+HEX2DEC(P39)+HEX2DEC(Q39)+HEX2DEC(R39)+HEX2DEC(S39)+HEX2DEC(T39)+HEX2DEC(U39)+HEX2DEC(V39)+HEX2DEC(W39)+HEX2DEC(X39)+HEX2DEC(Y39),256),2)</f>
        <v>7C</v>
      </c>
      <c r="AA39" s="84" t="s">
        <v>5</v>
      </c>
      <c r="AB39" s="116"/>
      <c r="AC39" s="116"/>
      <c r="AD39" s="116"/>
      <c r="AE39" s="116"/>
    </row>
    <row r="40" spans="1:31" ht="28.8" hidden="1" customHeight="1" outlineLevel="1" x14ac:dyDescent="0.25">
      <c r="A40" s="346">
        <v>2</v>
      </c>
      <c r="B40" s="337"/>
      <c r="C40" s="55"/>
      <c r="D40" s="375" t="s">
        <v>857</v>
      </c>
      <c r="E40" s="388"/>
      <c r="F40" s="388"/>
      <c r="G40" s="388"/>
      <c r="H40" s="344"/>
      <c r="I40" s="344"/>
      <c r="J40" s="392" t="s">
        <v>835</v>
      </c>
      <c r="K40" s="393"/>
      <c r="L40" s="393"/>
      <c r="M40" s="393"/>
      <c r="N40" s="393"/>
      <c r="O40" s="393"/>
      <c r="P40" s="393"/>
      <c r="Q40" s="393"/>
      <c r="R40" s="393"/>
      <c r="S40" s="393"/>
      <c r="T40" s="393"/>
      <c r="U40" s="393"/>
      <c r="V40" s="393"/>
      <c r="W40" s="393"/>
      <c r="X40" s="393"/>
      <c r="Y40" s="393"/>
      <c r="Z40" s="393"/>
      <c r="AA40" s="394"/>
      <c r="AB40" s="116"/>
      <c r="AC40" s="116"/>
      <c r="AD40" s="116"/>
      <c r="AE40" s="116"/>
    </row>
    <row r="41" spans="1:31" hidden="1" outlineLevel="1" x14ac:dyDescent="0.25">
      <c r="A41" s="364">
        <v>3</v>
      </c>
      <c r="B41" s="337"/>
      <c r="C41" s="55" t="str">
        <f t="shared" si="8"/>
        <v>0x00 0x01 aa 00 03 63 00 30 96 55</v>
      </c>
      <c r="D41" s="366" t="s">
        <v>858</v>
      </c>
      <c r="E41" s="389" t="s">
        <v>810</v>
      </c>
      <c r="F41" s="390"/>
      <c r="G41" s="391"/>
      <c r="H41" s="344" t="s">
        <v>823</v>
      </c>
      <c r="I41" s="344" t="s">
        <v>824</v>
      </c>
      <c r="J41" s="1" t="s">
        <v>0</v>
      </c>
      <c r="K41" s="1" t="s">
        <v>1</v>
      </c>
      <c r="L41" s="1" t="s">
        <v>8</v>
      </c>
      <c r="M41" s="2" t="s">
        <v>16</v>
      </c>
      <c r="N41" s="2" t="s">
        <v>1</v>
      </c>
      <c r="O41" s="2" t="s">
        <v>20</v>
      </c>
      <c r="P41" s="2"/>
      <c r="Q41" s="2"/>
      <c r="R41" s="31"/>
      <c r="S41" s="31"/>
      <c r="T41" s="31"/>
      <c r="U41" s="31"/>
      <c r="V41" s="31"/>
      <c r="W41" s="31"/>
      <c r="X41" s="31"/>
      <c r="Y41" s="31"/>
      <c r="Z41" s="84" t="str">
        <f t="shared" ref="Z41:Z44" si="11">DEC2HEX(MOD(HEX2DEC(K41)+HEX2DEC(L41)+HEX2DEC(M41)+HEX2DEC(N41)+HEX2DEC(O41)+HEX2DEC(P41)+HEX2DEC(Q41)+HEX2DEC(R41)+HEX2DEC(S41)+HEX2DEC(T41)+HEX2DEC(U41)+HEX2DEC(V41)+HEX2DEC(W41)+HEX2DEC(X41)+HEX2DEC(Y41),256),2)</f>
        <v>96</v>
      </c>
      <c r="AA41" s="13" t="s">
        <v>5</v>
      </c>
      <c r="AB41" s="116"/>
      <c r="AC41" s="116"/>
      <c r="AD41" s="116"/>
      <c r="AE41" s="116"/>
    </row>
    <row r="42" spans="1:31" hidden="1" outlineLevel="1" x14ac:dyDescent="0.25">
      <c r="A42" s="364">
        <v>3</v>
      </c>
      <c r="B42" s="337"/>
      <c r="C42" s="55" t="str">
        <f t="shared" si="8"/>
        <v>0x00 0x01 aa 00 03 63 01 30 97 55</v>
      </c>
      <c r="D42" s="366" t="s">
        <v>19</v>
      </c>
      <c r="E42" s="389" t="s">
        <v>810</v>
      </c>
      <c r="F42" s="390"/>
      <c r="G42" s="391"/>
      <c r="H42" s="344" t="s">
        <v>823</v>
      </c>
      <c r="I42" s="344" t="s">
        <v>824</v>
      </c>
      <c r="J42" s="1" t="s">
        <v>0</v>
      </c>
      <c r="K42" s="1" t="s">
        <v>1</v>
      </c>
      <c r="L42" s="1" t="s">
        <v>8</v>
      </c>
      <c r="M42" s="2" t="s">
        <v>16</v>
      </c>
      <c r="N42" s="2" t="s">
        <v>14</v>
      </c>
      <c r="O42" s="2" t="s">
        <v>20</v>
      </c>
      <c r="P42" s="2"/>
      <c r="Q42" s="2"/>
      <c r="R42" s="31"/>
      <c r="S42" s="31"/>
      <c r="T42" s="31"/>
      <c r="U42" s="31"/>
      <c r="V42" s="31"/>
      <c r="W42" s="31"/>
      <c r="X42" s="31"/>
      <c r="Y42" s="31"/>
      <c r="Z42" s="84" t="str">
        <f t="shared" si="11"/>
        <v>97</v>
      </c>
      <c r="AA42" s="13" t="s">
        <v>5</v>
      </c>
      <c r="AB42" s="116"/>
      <c r="AC42" s="116"/>
      <c r="AD42" s="116"/>
      <c r="AE42" s="116"/>
    </row>
    <row r="43" spans="1:31" hidden="1" outlineLevel="1" x14ac:dyDescent="0.25">
      <c r="A43" s="364">
        <v>3</v>
      </c>
      <c r="B43" s="337"/>
      <c r="C43" s="55" t="str">
        <f t="shared" si="8"/>
        <v>0x00 0x01 aa 00 03 63 02 30 98 55</v>
      </c>
      <c r="D43" s="366" t="s">
        <v>21</v>
      </c>
      <c r="E43" s="389" t="s">
        <v>810</v>
      </c>
      <c r="F43" s="390"/>
      <c r="G43" s="391"/>
      <c r="H43" s="344" t="s">
        <v>823</v>
      </c>
      <c r="I43" s="344" t="s">
        <v>824</v>
      </c>
      <c r="J43" s="1" t="s">
        <v>0</v>
      </c>
      <c r="K43" s="1" t="s">
        <v>1</v>
      </c>
      <c r="L43" s="1" t="s">
        <v>8</v>
      </c>
      <c r="M43" s="2" t="s">
        <v>16</v>
      </c>
      <c r="N43" s="2" t="s">
        <v>15</v>
      </c>
      <c r="O43" s="2" t="s">
        <v>20</v>
      </c>
      <c r="P43" s="2"/>
      <c r="Q43" s="2"/>
      <c r="R43" s="31"/>
      <c r="S43" s="31"/>
      <c r="T43" s="31"/>
      <c r="U43" s="31"/>
      <c r="V43" s="31"/>
      <c r="W43" s="31"/>
      <c r="X43" s="31"/>
      <c r="Y43" s="31"/>
      <c r="Z43" s="84" t="str">
        <f t="shared" si="11"/>
        <v>98</v>
      </c>
      <c r="AA43" s="13" t="s">
        <v>5</v>
      </c>
      <c r="AB43" s="116"/>
      <c r="AC43" s="116"/>
      <c r="AD43" s="116"/>
      <c r="AE43" s="116"/>
    </row>
    <row r="44" spans="1:31" hidden="1" outlineLevel="1" x14ac:dyDescent="0.25">
      <c r="A44" s="364">
        <v>3</v>
      </c>
      <c r="B44" s="337"/>
      <c r="C44" s="55" t="str">
        <f t="shared" si="8"/>
        <v>0x00 0x01 aa 00 03 63 03 30 99 55</v>
      </c>
      <c r="D44" s="366" t="s">
        <v>22</v>
      </c>
      <c r="E44" s="389" t="s">
        <v>810</v>
      </c>
      <c r="F44" s="390"/>
      <c r="G44" s="391"/>
      <c r="H44" s="344" t="s">
        <v>823</v>
      </c>
      <c r="I44" s="344" t="s">
        <v>824</v>
      </c>
      <c r="J44" s="1" t="s">
        <v>0</v>
      </c>
      <c r="K44" s="1" t="s">
        <v>1</v>
      </c>
      <c r="L44" s="1" t="s">
        <v>8</v>
      </c>
      <c r="M44" s="2" t="s">
        <v>16</v>
      </c>
      <c r="N44" s="2" t="s">
        <v>13</v>
      </c>
      <c r="O44" s="2" t="s">
        <v>20</v>
      </c>
      <c r="P44" s="2"/>
      <c r="Q44" s="2"/>
      <c r="R44" s="31"/>
      <c r="S44" s="31"/>
      <c r="T44" s="31"/>
      <c r="U44" s="31"/>
      <c r="V44" s="31"/>
      <c r="W44" s="31"/>
      <c r="X44" s="31"/>
      <c r="Y44" s="31"/>
      <c r="Z44" s="84" t="str">
        <f t="shared" si="11"/>
        <v>99</v>
      </c>
      <c r="AA44" s="13" t="s">
        <v>5</v>
      </c>
      <c r="AB44" s="116"/>
      <c r="AC44" s="116"/>
      <c r="AD44" s="116"/>
      <c r="AE44" s="116"/>
    </row>
    <row r="45" spans="1:31" hidden="1" outlineLevel="1" x14ac:dyDescent="0.25">
      <c r="A45" s="346"/>
      <c r="B45" s="337"/>
      <c r="C45" s="55"/>
      <c r="D45" s="332"/>
      <c r="E45" s="388"/>
      <c r="F45" s="388"/>
      <c r="G45" s="388"/>
      <c r="H45" s="344"/>
      <c r="I45" s="344"/>
      <c r="J45" s="84"/>
      <c r="K45" s="75"/>
      <c r="L45" s="75"/>
      <c r="M45" s="76"/>
      <c r="N45" s="76"/>
      <c r="O45" s="76"/>
      <c r="P45" s="333"/>
      <c r="Q45" s="333"/>
      <c r="R45" s="333"/>
      <c r="S45" s="333"/>
      <c r="T45" s="333"/>
      <c r="U45" s="333"/>
      <c r="V45" s="333"/>
      <c r="W45" s="333"/>
      <c r="X45" s="333"/>
      <c r="Y45" s="333"/>
      <c r="Z45" s="84"/>
      <c r="AA45" s="84"/>
      <c r="AB45" s="116"/>
      <c r="AC45" s="116"/>
      <c r="AD45" s="116"/>
      <c r="AE45" s="116"/>
    </row>
    <row r="46" spans="1:31" hidden="1" outlineLevel="1" x14ac:dyDescent="0.25">
      <c r="A46" s="346"/>
      <c r="B46" s="337"/>
      <c r="C46" s="55"/>
      <c r="D46" s="332"/>
      <c r="E46" s="388"/>
      <c r="F46" s="388"/>
      <c r="G46" s="388"/>
      <c r="H46" s="344"/>
      <c r="I46" s="344"/>
      <c r="J46" s="84"/>
      <c r="K46" s="75"/>
      <c r="L46" s="75"/>
      <c r="M46" s="76"/>
      <c r="N46" s="76"/>
      <c r="O46" s="76"/>
      <c r="P46" s="333"/>
      <c r="Q46" s="333"/>
      <c r="R46" s="333"/>
      <c r="S46" s="333"/>
      <c r="T46" s="333"/>
      <c r="U46" s="333"/>
      <c r="V46" s="333"/>
      <c r="W46" s="333"/>
      <c r="X46" s="333"/>
      <c r="Y46" s="333"/>
      <c r="Z46" s="84"/>
      <c r="AA46" s="84"/>
      <c r="AB46" s="116"/>
      <c r="AC46" s="116"/>
      <c r="AD46" s="116"/>
      <c r="AE46" s="116"/>
    </row>
    <row r="47" spans="1:31" hidden="1" outlineLevel="1" x14ac:dyDescent="0.25">
      <c r="A47" s="346"/>
      <c r="B47" s="337"/>
      <c r="C47" s="55"/>
      <c r="D47" s="332"/>
      <c r="E47" s="388"/>
      <c r="F47" s="388"/>
      <c r="G47" s="388"/>
      <c r="H47" s="344"/>
      <c r="I47" s="344"/>
      <c r="J47" s="84"/>
      <c r="K47" s="75"/>
      <c r="L47" s="75"/>
      <c r="M47" s="76"/>
      <c r="N47" s="76"/>
      <c r="O47" s="76"/>
      <c r="P47" s="333"/>
      <c r="Q47" s="333"/>
      <c r="R47" s="333"/>
      <c r="S47" s="333"/>
      <c r="T47" s="333"/>
      <c r="U47" s="333"/>
      <c r="V47" s="333"/>
      <c r="W47" s="333"/>
      <c r="X47" s="333"/>
      <c r="Y47" s="333"/>
      <c r="Z47" s="84"/>
      <c r="AA47" s="84"/>
      <c r="AB47" s="116"/>
      <c r="AC47" s="116"/>
      <c r="AD47" s="116"/>
      <c r="AE47" s="116"/>
    </row>
    <row r="48" spans="1:31" hidden="1" outlineLevel="1" x14ac:dyDescent="0.25">
      <c r="A48" s="346"/>
      <c r="B48" s="337"/>
      <c r="C48" s="55"/>
      <c r="D48" s="332"/>
      <c r="E48" s="388"/>
      <c r="F48" s="388"/>
      <c r="G48" s="388"/>
      <c r="H48" s="344"/>
      <c r="I48" s="344"/>
      <c r="J48" s="84"/>
      <c r="K48" s="75"/>
      <c r="L48" s="75"/>
      <c r="M48" s="76"/>
      <c r="N48" s="76"/>
      <c r="O48" s="76"/>
      <c r="P48" s="333"/>
      <c r="Q48" s="333"/>
      <c r="R48" s="333"/>
      <c r="S48" s="333"/>
      <c r="T48" s="333"/>
      <c r="U48" s="333"/>
      <c r="V48" s="333"/>
      <c r="W48" s="333"/>
      <c r="X48" s="333"/>
      <c r="Y48" s="333"/>
      <c r="Z48" s="84"/>
      <c r="AA48" s="84"/>
      <c r="AB48" s="116"/>
      <c r="AC48" s="116"/>
      <c r="AD48" s="116"/>
      <c r="AE48" s="116"/>
    </row>
    <row r="49" spans="1:31" hidden="1" outlineLevel="1" x14ac:dyDescent="0.25">
      <c r="A49" s="346"/>
      <c r="B49" s="337"/>
      <c r="C49" s="55"/>
      <c r="D49" s="332"/>
      <c r="E49" s="388"/>
      <c r="F49" s="388"/>
      <c r="G49" s="388"/>
      <c r="H49" s="344"/>
      <c r="I49" s="344"/>
      <c r="J49" s="84"/>
      <c r="K49" s="75"/>
      <c r="L49" s="75"/>
      <c r="M49" s="76"/>
      <c r="N49" s="76"/>
      <c r="O49" s="76"/>
      <c r="P49" s="333"/>
      <c r="Q49" s="333"/>
      <c r="R49" s="333"/>
      <c r="S49" s="333"/>
      <c r="T49" s="333"/>
      <c r="U49" s="333"/>
      <c r="V49" s="333"/>
      <c r="W49" s="333"/>
      <c r="X49" s="333"/>
      <c r="Y49" s="333"/>
      <c r="Z49" s="84"/>
      <c r="AA49" s="84"/>
      <c r="AB49" s="116"/>
      <c r="AC49" s="116"/>
      <c r="AD49" s="116"/>
      <c r="AE49" s="116"/>
    </row>
    <row r="50" spans="1:31" hidden="1" outlineLevel="1" x14ac:dyDescent="0.25">
      <c r="A50" s="346"/>
      <c r="B50" s="337"/>
      <c r="C50" s="55"/>
      <c r="D50" s="332"/>
      <c r="E50" s="388"/>
      <c r="F50" s="388"/>
      <c r="G50" s="388"/>
      <c r="H50" s="344"/>
      <c r="I50" s="344"/>
      <c r="J50" s="84"/>
      <c r="K50" s="75"/>
      <c r="L50" s="75"/>
      <c r="M50" s="76"/>
      <c r="N50" s="76"/>
      <c r="O50" s="76"/>
      <c r="P50" s="333"/>
      <c r="Q50" s="333"/>
      <c r="R50" s="333"/>
      <c r="S50" s="333"/>
      <c r="T50" s="333"/>
      <c r="U50" s="333"/>
      <c r="V50" s="333"/>
      <c r="W50" s="333"/>
      <c r="X50" s="333"/>
      <c r="Y50" s="333"/>
      <c r="Z50" s="84"/>
      <c r="AA50" s="84"/>
      <c r="AB50" s="116"/>
      <c r="AC50" s="116"/>
      <c r="AD50" s="116"/>
      <c r="AE50" s="116"/>
    </row>
    <row r="51" spans="1:31" hidden="1" outlineLevel="1" x14ac:dyDescent="0.25">
      <c r="A51" s="346"/>
      <c r="B51" s="337"/>
      <c r="C51" s="55"/>
      <c r="D51" s="332"/>
      <c r="E51" s="388"/>
      <c r="F51" s="388"/>
      <c r="G51" s="388"/>
      <c r="H51" s="344"/>
      <c r="I51" s="344"/>
      <c r="J51" s="84"/>
      <c r="K51" s="75"/>
      <c r="L51" s="75"/>
      <c r="M51" s="76"/>
      <c r="N51" s="76"/>
      <c r="O51" s="76"/>
      <c r="P51" s="333"/>
      <c r="Q51" s="333"/>
      <c r="R51" s="333"/>
      <c r="S51" s="333"/>
      <c r="T51" s="333"/>
      <c r="U51" s="333"/>
      <c r="V51" s="333"/>
      <c r="W51" s="333"/>
      <c r="X51" s="333"/>
      <c r="Y51" s="333"/>
      <c r="Z51" s="84"/>
      <c r="AA51" s="84"/>
      <c r="AB51" s="116"/>
      <c r="AC51" s="116"/>
      <c r="AD51" s="116"/>
      <c r="AE51" s="116"/>
    </row>
    <row r="52" spans="1:31" collapsed="1" x14ac:dyDescent="0.25"/>
    <row r="53" spans="1:31" x14ac:dyDescent="0.25">
      <c r="A53" s="338">
        <v>1</v>
      </c>
      <c r="B53" s="338"/>
      <c r="C53" s="338"/>
      <c r="D53" s="338" t="s">
        <v>836</v>
      </c>
    </row>
    <row r="54" spans="1:31" outlineLevel="1" x14ac:dyDescent="0.25">
      <c r="A54" s="346">
        <v>2</v>
      </c>
      <c r="C54" s="387" t="s">
        <v>837</v>
      </c>
      <c r="D54" s="387"/>
      <c r="H54" s="359"/>
      <c r="I54" s="359"/>
      <c r="J54" s="215"/>
      <c r="K54" s="32"/>
      <c r="L54" s="32" t="s">
        <v>10</v>
      </c>
      <c r="M54" s="33" t="s">
        <v>79</v>
      </c>
      <c r="N54" s="33" t="s">
        <v>86</v>
      </c>
      <c r="O54" s="33" t="s">
        <v>96</v>
      </c>
      <c r="P54" s="33" t="s">
        <v>73</v>
      </c>
      <c r="Q54" s="402" t="s">
        <v>74</v>
      </c>
      <c r="R54" s="402"/>
      <c r="S54" s="356"/>
      <c r="T54" s="33" t="s">
        <v>75</v>
      </c>
      <c r="U54" s="122" t="s">
        <v>235</v>
      </c>
      <c r="V54" s="358"/>
      <c r="W54" s="122"/>
      <c r="X54" s="122"/>
      <c r="Y54" s="122"/>
      <c r="Z54" s="237" t="s">
        <v>81</v>
      </c>
      <c r="AA54" s="32"/>
      <c r="AC54" s="149" t="s">
        <v>76</v>
      </c>
    </row>
    <row r="55" spans="1:31" outlineLevel="1" x14ac:dyDescent="0.25">
      <c r="A55" s="364">
        <v>3</v>
      </c>
      <c r="C55" s="55" t="str">
        <f t="shared" ref="C55:C63" si="12">IF(ISBLANK(H55),,H55&amp;" ")&amp;IF(ISBLANK(I55),,I55&amp;" ")&amp;IF(ISBLANK(J55),,J55&amp;" ")&amp;IF(ISBLANK(K55),,K55&amp;" ")&amp;IF(ISBLANK(L55),,L55&amp;" ")&amp;IF(ISBLANK(M55),,M55&amp;" ")&amp;IF(ISBLANK(N55),,N55&amp;" ")&amp;IF(ISBLANK(O55),,O55&amp;" ")&amp;IF(ISBLANK(P55),,P55&amp;" ")&amp;IF(ISBLANK(Q55),,Q55&amp;" ")&amp;IF(ISBLANK(R55),,R55&amp;" ")&amp;IF(ISBLANK(S55),,S55&amp;" ")&amp;IF(ISBLANK(T55),,T55&amp;" ")&amp;IF(ISBLANK(U55),,U55&amp;" ")&amp;IF(ISBLANK(V55),,V55&amp;" ")&amp;IF(ISBLANK(W55),,W55&amp;" ")&amp;IF(ISBLANK(X55),,X55&amp;" ")&amp;IF(ISBLANK(Y55),,Y55&amp;" ")&amp;IF(ISBLANK(Z55),,Z55&amp;" ")&amp;IF(ISBLANK(AA55),,AA55)</f>
        <v>0x00 0x01 aa 00 08 23 01 10 10 03 E8 00 00 37 55</v>
      </c>
      <c r="D55" s="362" t="s">
        <v>626</v>
      </c>
      <c r="H55" s="344" t="s">
        <v>823</v>
      </c>
      <c r="I55" s="344" t="s">
        <v>824</v>
      </c>
      <c r="J55" s="10" t="s">
        <v>0</v>
      </c>
      <c r="K55" s="1" t="s">
        <v>1</v>
      </c>
      <c r="L55" s="75" t="str">
        <f>DEC2HEX( COUNTA(M55:Y55),2)</f>
        <v>08</v>
      </c>
      <c r="M55" s="2" t="s">
        <v>71</v>
      </c>
      <c r="N55" s="2" t="s">
        <v>4</v>
      </c>
      <c r="O55" s="2" t="s">
        <v>70</v>
      </c>
      <c r="P55" s="3" t="s">
        <v>70</v>
      </c>
      <c r="Q55" s="3" t="str">
        <f t="shared" ref="Q55:Q63" si="13">LEFT(RIGHT(DEC2HEX(AC55,4),4),2)</f>
        <v>03</v>
      </c>
      <c r="R55" s="3" t="str">
        <f t="shared" ref="R55:R63" si="14">LEFT(RIGHT(DEC2HEX(AC55,4),2),2)</f>
        <v>E8</v>
      </c>
      <c r="S55" s="3"/>
      <c r="T55" s="3" t="s">
        <v>1</v>
      </c>
      <c r="U55" s="3" t="s">
        <v>1</v>
      </c>
      <c r="V55" s="358"/>
      <c r="W55" s="229"/>
      <c r="X55" s="229"/>
      <c r="Y55" s="229"/>
      <c r="Z55" s="84" t="str">
        <f>DEC2HEX(MOD(HEX2DEC(K55)+HEX2DEC(L55)+HEX2DEC(M55)+HEX2DEC(N55)+HEX2DEC(O55)+HEX2DEC(P55)+HEX2DEC(Q55)+HEX2DEC(R55)+HEX2DEC(S55)+HEX2DEC(T55)+HEX2DEC(U55)+HEX2DEC(V55)+HEX2DEC(W55)+HEX2DEC(X55)+HEX2DEC(Y55),256),2)</f>
        <v>37</v>
      </c>
      <c r="AA55" s="10" t="s">
        <v>5</v>
      </c>
      <c r="AC55" s="41">
        <v>1000</v>
      </c>
    </row>
    <row r="56" spans="1:31" outlineLevel="1" x14ac:dyDescent="0.25">
      <c r="A56" s="357">
        <v>3</v>
      </c>
      <c r="C56" s="55" t="str">
        <f t="shared" si="12"/>
        <v>0x00 0x01 aa 00 08 23 02 10 10 03 E8 00 00 38 55</v>
      </c>
      <c r="D56" s="362" t="s">
        <v>549</v>
      </c>
      <c r="H56" s="344" t="s">
        <v>823</v>
      </c>
      <c r="I56" s="344" t="s">
        <v>824</v>
      </c>
      <c r="J56" s="10" t="s">
        <v>0</v>
      </c>
      <c r="K56" s="1" t="s">
        <v>1</v>
      </c>
      <c r="L56" s="75" t="str">
        <f t="shared" ref="L56:L63" si="15">DEC2HEX( COUNTA(M56:Y56),2)</f>
        <v>08</v>
      </c>
      <c r="M56" s="2" t="s">
        <v>71</v>
      </c>
      <c r="N56" s="2" t="s">
        <v>15</v>
      </c>
      <c r="O56" s="2" t="s">
        <v>70</v>
      </c>
      <c r="P56" s="3" t="s">
        <v>70</v>
      </c>
      <c r="Q56" s="3" t="str">
        <f t="shared" si="13"/>
        <v>03</v>
      </c>
      <c r="R56" s="3" t="str">
        <f t="shared" si="14"/>
        <v>E8</v>
      </c>
      <c r="S56" s="3"/>
      <c r="T56" s="3" t="s">
        <v>1</v>
      </c>
      <c r="U56" s="3" t="s">
        <v>1</v>
      </c>
      <c r="V56" s="358"/>
      <c r="W56" s="229"/>
      <c r="X56" s="229"/>
      <c r="Y56" s="229"/>
      <c r="Z56" s="84" t="str">
        <f t="shared" ref="Z56:Z63" si="16">DEC2HEX(MOD(HEX2DEC(K56)+HEX2DEC(L56)+HEX2DEC(M56)+HEX2DEC(N56)+HEX2DEC(O56)+HEX2DEC(P56)+HEX2DEC(Q56)+HEX2DEC(R56)+HEX2DEC(S56)+HEX2DEC(T56)+HEX2DEC(U56)+HEX2DEC(V56)+HEX2DEC(W56)+HEX2DEC(X56)+HEX2DEC(Y56),256),2)</f>
        <v>38</v>
      </c>
      <c r="AA56" s="10" t="s">
        <v>5</v>
      </c>
      <c r="AC56" s="41">
        <v>1000</v>
      </c>
    </row>
    <row r="57" spans="1:31" outlineLevel="1" x14ac:dyDescent="0.25">
      <c r="A57" s="357">
        <v>3</v>
      </c>
      <c r="C57" s="55" t="str">
        <f t="shared" si="12"/>
        <v>0x00 0x01 aa 00 08 23 03 10 10 03 E8 00 00 39 55</v>
      </c>
      <c r="D57" s="362" t="s">
        <v>519</v>
      </c>
      <c r="H57" s="344" t="s">
        <v>823</v>
      </c>
      <c r="I57" s="344" t="s">
        <v>824</v>
      </c>
      <c r="J57" s="10" t="s">
        <v>0</v>
      </c>
      <c r="K57" s="1" t="s">
        <v>1</v>
      </c>
      <c r="L57" s="75" t="str">
        <f t="shared" si="15"/>
        <v>08</v>
      </c>
      <c r="M57" s="2" t="s">
        <v>71</v>
      </c>
      <c r="N57" s="2" t="s">
        <v>13</v>
      </c>
      <c r="O57" s="2" t="s">
        <v>70</v>
      </c>
      <c r="P57" s="3" t="s">
        <v>70</v>
      </c>
      <c r="Q57" s="3" t="str">
        <f t="shared" si="13"/>
        <v>03</v>
      </c>
      <c r="R57" s="3" t="str">
        <f t="shared" si="14"/>
        <v>E8</v>
      </c>
      <c r="S57" s="3"/>
      <c r="T57" s="3" t="s">
        <v>1</v>
      </c>
      <c r="U57" s="3" t="s">
        <v>1</v>
      </c>
      <c r="V57" s="358"/>
      <c r="W57" s="229"/>
      <c r="X57" s="229"/>
      <c r="Y57" s="229"/>
      <c r="Z57" s="84" t="str">
        <f t="shared" si="16"/>
        <v>39</v>
      </c>
      <c r="AA57" s="10" t="s">
        <v>5</v>
      </c>
      <c r="AC57" s="41">
        <v>1000</v>
      </c>
    </row>
    <row r="58" spans="1:31" outlineLevel="1" x14ac:dyDescent="0.25">
      <c r="A58" s="357">
        <v>3</v>
      </c>
      <c r="C58" s="55" t="str">
        <f t="shared" si="12"/>
        <v>0x00 0x01 aa 00 08 23 04 10 10 03 E8 00 00 3A 55</v>
      </c>
      <c r="D58" s="362" t="s">
        <v>518</v>
      </c>
      <c r="H58" s="344" t="s">
        <v>823</v>
      </c>
      <c r="I58" s="344" t="s">
        <v>824</v>
      </c>
      <c r="J58" s="10" t="s">
        <v>0</v>
      </c>
      <c r="K58" s="1" t="s">
        <v>1</v>
      </c>
      <c r="L58" s="75" t="str">
        <f t="shared" si="15"/>
        <v>08</v>
      </c>
      <c r="M58" s="2" t="s">
        <v>71</v>
      </c>
      <c r="N58" s="2" t="s">
        <v>18</v>
      </c>
      <c r="O58" s="2" t="s">
        <v>70</v>
      </c>
      <c r="P58" s="3" t="s">
        <v>70</v>
      </c>
      <c r="Q58" s="3" t="str">
        <f>LEFT(RIGHT(DEC2HEX(AC58,4),4),2)</f>
        <v>03</v>
      </c>
      <c r="R58" s="3" t="str">
        <f>LEFT(RIGHT(DEC2HEX(AC58,4),2),2)</f>
        <v>E8</v>
      </c>
      <c r="S58" s="3"/>
      <c r="T58" s="3" t="s">
        <v>1</v>
      </c>
      <c r="U58" s="3" t="s">
        <v>1</v>
      </c>
      <c r="V58" s="358"/>
      <c r="W58" s="229"/>
      <c r="X58" s="229"/>
      <c r="Y58" s="229"/>
      <c r="Z58" s="84" t="str">
        <f t="shared" si="16"/>
        <v>3A</v>
      </c>
      <c r="AA58" s="10" t="s">
        <v>5</v>
      </c>
      <c r="AC58" s="41">
        <v>1000</v>
      </c>
    </row>
    <row r="59" spans="1:31" outlineLevel="1" x14ac:dyDescent="0.25">
      <c r="A59" s="357">
        <v>3</v>
      </c>
      <c r="C59" s="55" t="str">
        <f t="shared" si="12"/>
        <v>0x00 0x01 aa 00 08 23 05 10 10 03 E8 00 00 3B 55</v>
      </c>
      <c r="D59" s="362" t="s">
        <v>658</v>
      </c>
      <c r="H59" s="344" t="s">
        <v>823</v>
      </c>
      <c r="I59" s="344" t="s">
        <v>824</v>
      </c>
      <c r="J59" s="10" t="s">
        <v>0</v>
      </c>
      <c r="K59" s="1" t="s">
        <v>1</v>
      </c>
      <c r="L59" s="75" t="str">
        <f t="shared" si="15"/>
        <v>08</v>
      </c>
      <c r="M59" s="2" t="s">
        <v>71</v>
      </c>
      <c r="N59" s="2" t="s">
        <v>122</v>
      </c>
      <c r="O59" s="2" t="s">
        <v>70</v>
      </c>
      <c r="P59" s="3" t="s">
        <v>70</v>
      </c>
      <c r="Q59" s="3" t="str">
        <f>LEFT(RIGHT(DEC2HEX(AC59,4),4),2)</f>
        <v>03</v>
      </c>
      <c r="R59" s="3" t="str">
        <f>LEFT(RIGHT(DEC2HEX(AC59,4),2),2)</f>
        <v>E8</v>
      </c>
      <c r="S59" s="3"/>
      <c r="T59" s="3" t="s">
        <v>1</v>
      </c>
      <c r="U59" s="3" t="s">
        <v>1</v>
      </c>
      <c r="V59" s="358"/>
      <c r="W59" s="229"/>
      <c r="X59" s="229"/>
      <c r="Y59" s="229"/>
      <c r="Z59" s="84" t="str">
        <f t="shared" si="16"/>
        <v>3B</v>
      </c>
      <c r="AA59" s="10" t="s">
        <v>5</v>
      </c>
      <c r="AC59" s="41">
        <v>1000</v>
      </c>
    </row>
    <row r="60" spans="1:31" outlineLevel="1" x14ac:dyDescent="0.25">
      <c r="A60" s="357">
        <v>3</v>
      </c>
      <c r="C60" s="55" t="str">
        <f t="shared" si="12"/>
        <v>0x00 0x01 aa 00 08 23 06 10 10 03 E8 00 00 3C 55</v>
      </c>
      <c r="D60" s="362" t="s">
        <v>659</v>
      </c>
      <c r="H60" s="344" t="s">
        <v>823</v>
      </c>
      <c r="I60" s="344" t="s">
        <v>824</v>
      </c>
      <c r="J60" s="10" t="s">
        <v>0</v>
      </c>
      <c r="K60" s="1" t="s">
        <v>1</v>
      </c>
      <c r="L60" s="75" t="str">
        <f t="shared" si="15"/>
        <v>08</v>
      </c>
      <c r="M60" s="2" t="s">
        <v>71</v>
      </c>
      <c r="N60" s="2" t="s">
        <v>432</v>
      </c>
      <c r="O60" s="2" t="s">
        <v>70</v>
      </c>
      <c r="P60" s="3" t="s">
        <v>70</v>
      </c>
      <c r="Q60" s="3" t="str">
        <f>LEFT(RIGHT(DEC2HEX(AC60,4),4),2)</f>
        <v>03</v>
      </c>
      <c r="R60" s="3" t="str">
        <f>LEFT(RIGHT(DEC2HEX(AC60,4),2),2)</f>
        <v>E8</v>
      </c>
      <c r="S60" s="3"/>
      <c r="T60" s="3" t="s">
        <v>1</v>
      </c>
      <c r="U60" s="3" t="s">
        <v>1</v>
      </c>
      <c r="V60" s="358"/>
      <c r="W60" s="229"/>
      <c r="X60" s="229"/>
      <c r="Y60" s="229"/>
      <c r="Z60" s="84" t="str">
        <f t="shared" si="16"/>
        <v>3C</v>
      </c>
      <c r="AA60" s="10" t="s">
        <v>5</v>
      </c>
      <c r="AC60" s="41">
        <v>1000</v>
      </c>
    </row>
    <row r="61" spans="1:31" outlineLevel="1" x14ac:dyDescent="0.25">
      <c r="A61" s="357">
        <v>3</v>
      </c>
      <c r="C61" s="55" t="str">
        <f t="shared" si="12"/>
        <v>0x00 0x01 aa 00 08 23 07 10 10 03 E8 00 00 3D 55</v>
      </c>
      <c r="D61" s="362" t="s">
        <v>660</v>
      </c>
      <c r="H61" s="344" t="s">
        <v>823</v>
      </c>
      <c r="I61" s="344" t="s">
        <v>824</v>
      </c>
      <c r="J61" s="10" t="s">
        <v>0</v>
      </c>
      <c r="K61" s="1" t="s">
        <v>1</v>
      </c>
      <c r="L61" s="75" t="str">
        <f t="shared" si="15"/>
        <v>08</v>
      </c>
      <c r="M61" s="2" t="s">
        <v>71</v>
      </c>
      <c r="N61" s="2" t="s">
        <v>45</v>
      </c>
      <c r="O61" s="2" t="s">
        <v>70</v>
      </c>
      <c r="P61" s="3" t="s">
        <v>70</v>
      </c>
      <c r="Q61" s="3" t="str">
        <f t="shared" si="13"/>
        <v>03</v>
      </c>
      <c r="R61" s="3" t="str">
        <f t="shared" si="14"/>
        <v>E8</v>
      </c>
      <c r="S61" s="3"/>
      <c r="T61" s="3" t="s">
        <v>1</v>
      </c>
      <c r="U61" s="3" t="s">
        <v>1</v>
      </c>
      <c r="V61" s="358"/>
      <c r="W61" s="229"/>
      <c r="X61" s="229"/>
      <c r="Y61" s="229"/>
      <c r="Z61" s="84" t="str">
        <f t="shared" si="16"/>
        <v>3D</v>
      </c>
      <c r="AA61" s="10" t="s">
        <v>5</v>
      </c>
      <c r="AC61" s="41">
        <v>1000</v>
      </c>
    </row>
    <row r="62" spans="1:31" outlineLevel="1" x14ac:dyDescent="0.25">
      <c r="A62" s="357">
        <v>3</v>
      </c>
      <c r="C62" s="55" t="str">
        <f t="shared" si="12"/>
        <v>0x00 0x01 aa 00 08 23 08 10 10 03 E8 00 00 3E 55</v>
      </c>
      <c r="D62" s="362" t="s">
        <v>661</v>
      </c>
      <c r="H62" s="344" t="s">
        <v>823</v>
      </c>
      <c r="I62" s="344" t="s">
        <v>824</v>
      </c>
      <c r="J62" s="10" t="s">
        <v>0</v>
      </c>
      <c r="K62" s="1" t="s">
        <v>1</v>
      </c>
      <c r="L62" s="75" t="str">
        <f t="shared" si="15"/>
        <v>08</v>
      </c>
      <c r="M62" s="2" t="s">
        <v>71</v>
      </c>
      <c r="N62" s="2" t="s">
        <v>125</v>
      </c>
      <c r="O62" s="2" t="s">
        <v>70</v>
      </c>
      <c r="P62" s="3" t="s">
        <v>70</v>
      </c>
      <c r="Q62" s="3" t="str">
        <f t="shared" si="13"/>
        <v>03</v>
      </c>
      <c r="R62" s="3" t="str">
        <f t="shared" si="14"/>
        <v>E8</v>
      </c>
      <c r="S62" s="3"/>
      <c r="T62" s="3" t="s">
        <v>1</v>
      </c>
      <c r="U62" s="3" t="s">
        <v>1</v>
      </c>
      <c r="V62" s="358"/>
      <c r="W62" s="229"/>
      <c r="X62" s="229"/>
      <c r="Y62" s="229"/>
      <c r="Z62" s="84" t="str">
        <f t="shared" si="16"/>
        <v>3E</v>
      </c>
      <c r="AA62" s="10" t="s">
        <v>5</v>
      </c>
      <c r="AC62" s="41">
        <v>1000</v>
      </c>
    </row>
    <row r="63" spans="1:31" outlineLevel="1" x14ac:dyDescent="0.25">
      <c r="A63" s="357">
        <v>3</v>
      </c>
      <c r="C63" s="55" t="str">
        <f t="shared" si="12"/>
        <v>0x00 0x01 aa 00 08 23 09 10 10 03 E8 00 00 3F 55</v>
      </c>
      <c r="D63" s="362" t="s">
        <v>662</v>
      </c>
      <c r="H63" s="344" t="s">
        <v>823</v>
      </c>
      <c r="I63" s="344" t="s">
        <v>824</v>
      </c>
      <c r="J63" s="10" t="s">
        <v>0</v>
      </c>
      <c r="K63" s="1" t="s">
        <v>1</v>
      </c>
      <c r="L63" s="75" t="str">
        <f t="shared" si="15"/>
        <v>08</v>
      </c>
      <c r="M63" s="2" t="s">
        <v>71</v>
      </c>
      <c r="N63" s="2" t="s">
        <v>126</v>
      </c>
      <c r="O63" s="2" t="s">
        <v>70</v>
      </c>
      <c r="P63" s="3" t="s">
        <v>70</v>
      </c>
      <c r="Q63" s="3" t="str">
        <f t="shared" si="13"/>
        <v>03</v>
      </c>
      <c r="R63" s="3" t="str">
        <f t="shared" si="14"/>
        <v>E8</v>
      </c>
      <c r="S63" s="3"/>
      <c r="T63" s="3" t="s">
        <v>1</v>
      </c>
      <c r="U63" s="3" t="s">
        <v>1</v>
      </c>
      <c r="V63" s="358"/>
      <c r="W63" s="229"/>
      <c r="X63" s="229"/>
      <c r="Y63" s="229"/>
      <c r="Z63" s="84" t="str">
        <f t="shared" si="16"/>
        <v>3F</v>
      </c>
      <c r="AA63" s="10" t="s">
        <v>5</v>
      </c>
      <c r="AC63" s="41">
        <v>1000</v>
      </c>
    </row>
    <row r="64" spans="1:31" outlineLevel="1" x14ac:dyDescent="0.25">
      <c r="A64" s="383">
        <v>3</v>
      </c>
      <c r="C64" s="55" t="str">
        <f t="shared" ref="C64" si="17">IF(ISBLANK(H64),,H64&amp;" ")&amp;IF(ISBLANK(I64),,I64&amp;" ")&amp;IF(ISBLANK(J64),,J64&amp;" ")&amp;IF(ISBLANK(K64),,K64&amp;" ")&amp;IF(ISBLANK(L64),,L64&amp;" ")&amp;IF(ISBLANK(M64),,M64&amp;" ")&amp;IF(ISBLANK(N64),,N64&amp;" ")&amp;IF(ISBLANK(O64),,O64&amp;" ")&amp;IF(ISBLANK(P64),,P64&amp;" ")&amp;IF(ISBLANK(Q64),,Q64&amp;" ")&amp;IF(ISBLANK(R64),,R64&amp;" ")&amp;IF(ISBLANK(S64),,S64&amp;" ")&amp;IF(ISBLANK(T64),,T64&amp;" ")&amp;IF(ISBLANK(U64),,U64&amp;" ")&amp;IF(ISBLANK(V64),,V64&amp;" ")&amp;IF(ISBLANK(W64),,W64&amp;" ")&amp;IF(ISBLANK(X64),,X64&amp;" ")&amp;IF(ISBLANK(Y64),,Y64&amp;" ")&amp;IF(ISBLANK(Z64),,Z64&amp;" ")&amp;IF(ISBLANK(AA64),,AA64)</f>
        <v>0x00 0x01 aa 00 08 23 0A 10 10 03 E8 00 00 40 55</v>
      </c>
      <c r="D64" s="362" t="s">
        <v>878</v>
      </c>
      <c r="H64" s="344" t="s">
        <v>823</v>
      </c>
      <c r="I64" s="344" t="s">
        <v>824</v>
      </c>
      <c r="J64" s="10" t="s">
        <v>0</v>
      </c>
      <c r="K64" s="1" t="s">
        <v>1</v>
      </c>
      <c r="L64" s="75" t="str">
        <f t="shared" ref="L64" si="18">DEC2HEX( COUNTA(M64:Y64),2)</f>
        <v>08</v>
      </c>
      <c r="M64" s="2" t="s">
        <v>71</v>
      </c>
      <c r="N64" s="2" t="s">
        <v>877</v>
      </c>
      <c r="O64" s="2" t="s">
        <v>70</v>
      </c>
      <c r="P64" s="3" t="s">
        <v>70</v>
      </c>
      <c r="Q64" s="3" t="str">
        <f t="shared" ref="Q64" si="19">LEFT(RIGHT(DEC2HEX(AC64,4),4),2)</f>
        <v>03</v>
      </c>
      <c r="R64" s="3" t="str">
        <f t="shared" ref="R64" si="20">LEFT(RIGHT(DEC2HEX(AC64,4),2),2)</f>
        <v>E8</v>
      </c>
      <c r="S64" s="3"/>
      <c r="T64" s="3" t="s">
        <v>1</v>
      </c>
      <c r="U64" s="3" t="s">
        <v>1</v>
      </c>
      <c r="V64" s="384"/>
      <c r="W64" s="229"/>
      <c r="X64" s="229"/>
      <c r="Y64" s="229"/>
      <c r="Z64" s="84" t="str">
        <f t="shared" ref="Z64" si="21">DEC2HEX(MOD(HEX2DEC(K64)+HEX2DEC(L64)+HEX2DEC(M64)+HEX2DEC(N64)+HEX2DEC(O64)+HEX2DEC(P64)+HEX2DEC(Q64)+HEX2DEC(R64)+HEX2DEC(S64)+HEX2DEC(T64)+HEX2DEC(U64)+HEX2DEC(V64)+HEX2DEC(W64)+HEX2DEC(X64)+HEX2DEC(Y64),256),2)</f>
        <v>40</v>
      </c>
      <c r="AA64" s="10" t="s">
        <v>5</v>
      </c>
      <c r="AC64" s="41">
        <v>1000</v>
      </c>
    </row>
    <row r="65" spans="1:30" outlineLevel="1" x14ac:dyDescent="0.25"/>
    <row r="66" spans="1:30" outlineLevel="1" x14ac:dyDescent="0.25">
      <c r="A66" s="346">
        <v>2</v>
      </c>
      <c r="C66" s="387" t="s">
        <v>838</v>
      </c>
      <c r="D66" s="387"/>
      <c r="H66" s="359"/>
      <c r="I66" s="359"/>
      <c r="J66" s="216"/>
      <c r="K66" s="9"/>
      <c r="L66" s="9"/>
      <c r="M66" s="8"/>
      <c r="N66" s="7" t="s">
        <v>86</v>
      </c>
      <c r="O66" s="8"/>
      <c r="P66" s="400" t="s">
        <v>72</v>
      </c>
      <c r="Q66" s="401"/>
      <c r="R66" s="7" t="s">
        <v>73</v>
      </c>
      <c r="S66" s="7"/>
      <c r="T66" s="400" t="s">
        <v>74</v>
      </c>
      <c r="U66" s="401"/>
      <c r="V66" s="7" t="s">
        <v>75</v>
      </c>
      <c r="W66" s="230"/>
      <c r="X66" s="231"/>
      <c r="Y66" s="232"/>
      <c r="Z66" s="237" t="s">
        <v>81</v>
      </c>
      <c r="AA66" s="9"/>
      <c r="AC66" s="149" t="s">
        <v>72</v>
      </c>
      <c r="AD66" s="149" t="s">
        <v>76</v>
      </c>
    </row>
    <row r="67" spans="1:30" ht="15" outlineLevel="1" thickBot="1" x14ac:dyDescent="0.3">
      <c r="A67" s="357">
        <v>3</v>
      </c>
      <c r="C67" s="55" t="str">
        <f t="shared" ref="C67:C72" si="22">IF(ISBLANK(H67),,H67&amp;" ")&amp;IF(ISBLANK(I67),,I67&amp;" ")&amp;IF(ISBLANK(J67),,J67&amp;" ")&amp;IF(ISBLANK(K67),,K67&amp;" ")&amp;IF(ISBLANK(L67),,L67&amp;" ")&amp;IF(ISBLANK(M67),,M67&amp;" ")&amp;IF(ISBLANK(N67),,N67&amp;" ")&amp;IF(ISBLANK(O67),,O67&amp;" ")&amp;IF(ISBLANK(P67),,P67&amp;" ")&amp;IF(ISBLANK(Q67),,Q67&amp;" ")&amp;IF(ISBLANK(R67),,R67&amp;" ")&amp;IF(ISBLANK(S67),,S67&amp;" ")&amp;IF(ISBLANK(T67),,T67&amp;" ")&amp;IF(ISBLANK(U67),,U67&amp;" ")&amp;IF(ISBLANK(V67),,V67&amp;" ")&amp;IF(ISBLANK(W67),,W67&amp;" ")&amp;IF(ISBLANK(X67),,X67&amp;" ")&amp;IF(ISBLANK(Y67),,Y67&amp;" ")&amp;IF(ISBLANK(Z67),,Z67&amp;" ")&amp;IF(ISBLANK(AA67),,AA67)</f>
        <v>0x00 0x01 aa 00 09 23 07 12 01 40 0E 03 E8 00 7F 55</v>
      </c>
      <c r="D67" s="357" t="s">
        <v>239</v>
      </c>
      <c r="H67" s="344" t="s">
        <v>823</v>
      </c>
      <c r="I67" s="344" t="s">
        <v>824</v>
      </c>
      <c r="J67" s="10" t="s">
        <v>0</v>
      </c>
      <c r="K67" s="1" t="s">
        <v>1</v>
      </c>
      <c r="L67" s="46" t="str">
        <f>DEC2HEX( COUNTA(M67:Y67),2)</f>
        <v>09</v>
      </c>
      <c r="M67" s="2" t="s">
        <v>71</v>
      </c>
      <c r="N67" s="2" t="s">
        <v>45</v>
      </c>
      <c r="O67" s="2" t="s">
        <v>17</v>
      </c>
      <c r="P67" s="3" t="str">
        <f>LEFT(RIGHT(DEC2HEX(AC67,4),4),2)</f>
        <v>01</v>
      </c>
      <c r="Q67" s="3" t="str">
        <f t="shared" ref="Q67:Q72" si="23">LEFT(RIGHT(DEC2HEX(AC67,4),2),2)</f>
        <v>40</v>
      </c>
      <c r="R67" s="3" t="s">
        <v>227</v>
      </c>
      <c r="S67" s="3"/>
      <c r="T67" s="3" t="str">
        <f t="shared" ref="T67:T72" si="24">LEFT(RIGHT(DEC2HEX(AD67,4),4),2)</f>
        <v>03</v>
      </c>
      <c r="U67" s="3" t="str">
        <f t="shared" ref="U67:U72" si="25">LEFT(RIGHT(DEC2HEX(AD67,4),2),2)</f>
        <v>E8</v>
      </c>
      <c r="V67" s="3" t="s">
        <v>1</v>
      </c>
      <c r="W67" s="233"/>
      <c r="X67" s="233"/>
      <c r="Y67" s="234"/>
      <c r="Z67" s="85" t="str">
        <f>DEC2HEX(MOD(HEX2DEC(K67)+HEX2DEC(L67)+HEX2DEC(M67)+HEX2DEC(N67)+HEX2DEC(O67)+HEX2DEC(P67)+HEX2DEC(Q67)+HEX2DEC(R67)+HEX2DEC(S67)+HEX2DEC(T67)+HEX2DEC(U67)+HEX2DEC(V67)+HEX2DEC(W67)+HEX2DEC(X67)+HEX2DEC(Y67),256),2)</f>
        <v>7F</v>
      </c>
      <c r="AA67" s="10" t="s">
        <v>5</v>
      </c>
      <c r="AC67" s="41">
        <v>320</v>
      </c>
      <c r="AD67" s="41">
        <v>1000</v>
      </c>
    </row>
    <row r="68" spans="1:30" ht="15" outlineLevel="1" thickBot="1" x14ac:dyDescent="0.3">
      <c r="A68" s="357">
        <v>3</v>
      </c>
      <c r="C68" s="55" t="str">
        <f t="shared" si="22"/>
        <v>0x00 0x01 aa 00 09 23 02 12 00 C8 02 01 F4 01 00 55</v>
      </c>
      <c r="D68" s="357"/>
      <c r="H68" s="344" t="s">
        <v>823</v>
      </c>
      <c r="I68" s="344" t="s">
        <v>824</v>
      </c>
      <c r="J68" s="10" t="s">
        <v>0</v>
      </c>
      <c r="K68" s="1" t="s">
        <v>1</v>
      </c>
      <c r="L68" s="46" t="str">
        <f t="shared" ref="L68:L72" si="26">DEC2HEX( COUNTA(M68:Y68),2)</f>
        <v>09</v>
      </c>
      <c r="M68" s="2" t="s">
        <v>71</v>
      </c>
      <c r="N68" s="2" t="s">
        <v>15</v>
      </c>
      <c r="O68" s="2" t="s">
        <v>17</v>
      </c>
      <c r="P68" s="3" t="str">
        <f t="shared" ref="P68:P72" si="27">LEFT(RIGHT(DEC2HEX(AC68,4),4),2)</f>
        <v>00</v>
      </c>
      <c r="Q68" s="3" t="str">
        <f t="shared" si="23"/>
        <v>C8</v>
      </c>
      <c r="R68" s="3" t="s">
        <v>7</v>
      </c>
      <c r="S68" s="3"/>
      <c r="T68" s="3" t="str">
        <f t="shared" si="24"/>
        <v>01</v>
      </c>
      <c r="U68" s="3" t="str">
        <f t="shared" si="25"/>
        <v>F4</v>
      </c>
      <c r="V68" s="3" t="s">
        <v>4</v>
      </c>
      <c r="W68" s="233"/>
      <c r="X68" s="233"/>
      <c r="Y68" s="234"/>
      <c r="Z68" s="85" t="str">
        <f t="shared" ref="Z68:Z72" si="28">DEC2HEX(MOD(HEX2DEC(K68)+HEX2DEC(L68)+HEX2DEC(M68)+HEX2DEC(N68)+HEX2DEC(O68)+HEX2DEC(P68)+HEX2DEC(Q68)+HEX2DEC(R68)+HEX2DEC(S68)+HEX2DEC(T68)+HEX2DEC(U68)+HEX2DEC(V68)+HEX2DEC(W68)+HEX2DEC(X68)+HEX2DEC(Y68),256),2)</f>
        <v>00</v>
      </c>
      <c r="AA68" s="10" t="s">
        <v>5</v>
      </c>
      <c r="AC68" s="41">
        <v>200</v>
      </c>
      <c r="AD68" s="41">
        <v>500</v>
      </c>
    </row>
    <row r="69" spans="1:30" ht="15" outlineLevel="1" thickBot="1" x14ac:dyDescent="0.3">
      <c r="A69" s="357">
        <v>3</v>
      </c>
      <c r="C69" s="55" t="str">
        <f t="shared" si="22"/>
        <v>0x00 0x01 aa 00 09 23 03 12 00 C8 10 01 F4 00 0E 55</v>
      </c>
      <c r="D69" s="357"/>
      <c r="H69" s="344" t="s">
        <v>823</v>
      </c>
      <c r="I69" s="344" t="s">
        <v>824</v>
      </c>
      <c r="J69" s="10" t="s">
        <v>0</v>
      </c>
      <c r="K69" s="1" t="s">
        <v>1</v>
      </c>
      <c r="L69" s="46" t="str">
        <f t="shared" si="26"/>
        <v>09</v>
      </c>
      <c r="M69" s="2" t="s">
        <v>71</v>
      </c>
      <c r="N69" s="2" t="s">
        <v>13</v>
      </c>
      <c r="O69" s="2" t="s">
        <v>17</v>
      </c>
      <c r="P69" s="3" t="str">
        <f t="shared" si="27"/>
        <v>00</v>
      </c>
      <c r="Q69" s="3" t="str">
        <f t="shared" si="23"/>
        <v>C8</v>
      </c>
      <c r="R69" s="3" t="s">
        <v>70</v>
      </c>
      <c r="S69" s="3"/>
      <c r="T69" s="3" t="str">
        <f t="shared" si="24"/>
        <v>01</v>
      </c>
      <c r="U69" s="3" t="str">
        <f t="shared" si="25"/>
        <v>F4</v>
      </c>
      <c r="V69" s="3" t="s">
        <v>1</v>
      </c>
      <c r="W69" s="233"/>
      <c r="X69" s="233"/>
      <c r="Y69" s="234"/>
      <c r="Z69" s="85" t="str">
        <f t="shared" si="28"/>
        <v>0E</v>
      </c>
      <c r="AA69" s="10" t="s">
        <v>5</v>
      </c>
      <c r="AC69" s="41">
        <v>200</v>
      </c>
      <c r="AD69" s="41">
        <v>500</v>
      </c>
    </row>
    <row r="70" spans="1:30" ht="15" outlineLevel="1" thickBot="1" x14ac:dyDescent="0.3">
      <c r="A70" s="357">
        <v>3</v>
      </c>
      <c r="C70" s="55" t="str">
        <f t="shared" si="22"/>
        <v>0x00 0x01 aa 00 09 23 04 12 00 81 05 01 F4 01 BE 55</v>
      </c>
      <c r="D70" s="357"/>
      <c r="H70" s="344" t="s">
        <v>823</v>
      </c>
      <c r="I70" s="344" t="s">
        <v>824</v>
      </c>
      <c r="J70" s="10" t="s">
        <v>0</v>
      </c>
      <c r="K70" s="1" t="s">
        <v>1</v>
      </c>
      <c r="L70" s="46" t="str">
        <f t="shared" si="26"/>
        <v>09</v>
      </c>
      <c r="M70" s="2" t="s">
        <v>71</v>
      </c>
      <c r="N70" s="2" t="s">
        <v>18</v>
      </c>
      <c r="O70" s="2" t="s">
        <v>17</v>
      </c>
      <c r="P70" s="3" t="str">
        <f t="shared" si="27"/>
        <v>00</v>
      </c>
      <c r="Q70" s="3" t="str">
        <f t="shared" si="23"/>
        <v>81</v>
      </c>
      <c r="R70" s="3" t="s">
        <v>9</v>
      </c>
      <c r="S70" s="3"/>
      <c r="T70" s="3" t="str">
        <f t="shared" si="24"/>
        <v>01</v>
      </c>
      <c r="U70" s="3" t="str">
        <f t="shared" si="25"/>
        <v>F4</v>
      </c>
      <c r="V70" s="3" t="s">
        <v>4</v>
      </c>
      <c r="W70" s="233"/>
      <c r="X70" s="233"/>
      <c r="Y70" s="234"/>
      <c r="Z70" s="85" t="str">
        <f t="shared" si="28"/>
        <v>BE</v>
      </c>
      <c r="AA70" s="10" t="s">
        <v>5</v>
      </c>
      <c r="AC70" s="41">
        <v>129</v>
      </c>
      <c r="AD70" s="41">
        <v>500</v>
      </c>
    </row>
    <row r="71" spans="1:30" ht="15" outlineLevel="1" thickBot="1" x14ac:dyDescent="0.3">
      <c r="A71" s="357">
        <v>3</v>
      </c>
      <c r="C71" s="55" t="str">
        <f t="shared" si="22"/>
        <v>0x00 0x01 aa 00 09 23 05 12 00 C8 14 01 F4 01 15 55</v>
      </c>
      <c r="D71" s="357"/>
      <c r="H71" s="344" t="s">
        <v>823</v>
      </c>
      <c r="I71" s="344" t="s">
        <v>824</v>
      </c>
      <c r="J71" s="10" t="s">
        <v>0</v>
      </c>
      <c r="K71" s="1" t="s">
        <v>1</v>
      </c>
      <c r="L71" s="46" t="str">
        <f t="shared" si="26"/>
        <v>09</v>
      </c>
      <c r="M71" s="2" t="s">
        <v>71</v>
      </c>
      <c r="N71" s="2" t="s">
        <v>122</v>
      </c>
      <c r="O71" s="2" t="s">
        <v>17</v>
      </c>
      <c r="P71" s="3" t="str">
        <f t="shared" si="27"/>
        <v>00</v>
      </c>
      <c r="Q71" s="3" t="str">
        <f t="shared" si="23"/>
        <v>C8</v>
      </c>
      <c r="R71" s="3" t="s">
        <v>244</v>
      </c>
      <c r="S71" s="3"/>
      <c r="T71" s="3" t="str">
        <f t="shared" si="24"/>
        <v>01</v>
      </c>
      <c r="U71" s="3" t="str">
        <f t="shared" si="25"/>
        <v>F4</v>
      </c>
      <c r="V71" s="3" t="s">
        <v>4</v>
      </c>
      <c r="W71" s="233"/>
      <c r="X71" s="233"/>
      <c r="Y71" s="234"/>
      <c r="Z71" s="85" t="str">
        <f t="shared" si="28"/>
        <v>15</v>
      </c>
      <c r="AA71" s="10" t="s">
        <v>5</v>
      </c>
      <c r="AC71" s="41">
        <v>200</v>
      </c>
      <c r="AD71" s="41">
        <v>500</v>
      </c>
    </row>
    <row r="72" spans="1:30" ht="15" outlineLevel="1" thickBot="1" x14ac:dyDescent="0.3">
      <c r="A72" s="357">
        <v>3</v>
      </c>
      <c r="C72" s="55" t="str">
        <f t="shared" si="22"/>
        <v>0x00 0x01 aa 00 09 23 06 12 00 C8 0a 01 F4 01 0C 55</v>
      </c>
      <c r="D72" s="357"/>
      <c r="H72" s="344" t="s">
        <v>823</v>
      </c>
      <c r="I72" s="344" t="s">
        <v>824</v>
      </c>
      <c r="J72" s="10" t="s">
        <v>0</v>
      </c>
      <c r="K72" s="1" t="s">
        <v>1</v>
      </c>
      <c r="L72" s="46" t="str">
        <f t="shared" si="26"/>
        <v>09</v>
      </c>
      <c r="M72" s="2" t="s">
        <v>71</v>
      </c>
      <c r="N72" s="2" t="s">
        <v>123</v>
      </c>
      <c r="O72" s="2" t="s">
        <v>17</v>
      </c>
      <c r="P72" s="3" t="str">
        <f t="shared" si="27"/>
        <v>00</v>
      </c>
      <c r="Q72" s="3" t="str">
        <f t="shared" si="23"/>
        <v>C8</v>
      </c>
      <c r="R72" s="3" t="s">
        <v>238</v>
      </c>
      <c r="S72" s="3"/>
      <c r="T72" s="3" t="str">
        <f t="shared" si="24"/>
        <v>01</v>
      </c>
      <c r="U72" s="3" t="str">
        <f t="shared" si="25"/>
        <v>F4</v>
      </c>
      <c r="V72" s="3" t="s">
        <v>4</v>
      </c>
      <c r="W72" s="233"/>
      <c r="X72" s="233"/>
      <c r="Y72" s="234"/>
      <c r="Z72" s="85" t="str">
        <f t="shared" si="28"/>
        <v>0C</v>
      </c>
      <c r="AA72" s="10" t="s">
        <v>5</v>
      </c>
      <c r="AC72" s="41">
        <v>200</v>
      </c>
      <c r="AD72" s="41">
        <v>500</v>
      </c>
    </row>
    <row r="73" spans="1:30" outlineLevel="1" x14ac:dyDescent="0.25"/>
    <row r="74" spans="1:30" outlineLevel="1" x14ac:dyDescent="0.25">
      <c r="A74" s="346">
        <v>2</v>
      </c>
      <c r="C74" s="387" t="s">
        <v>240</v>
      </c>
      <c r="D74" s="387"/>
      <c r="H74" s="344" t="s">
        <v>823</v>
      </c>
      <c r="I74" s="344" t="s">
        <v>824</v>
      </c>
      <c r="J74" s="10" t="s">
        <v>0</v>
      </c>
      <c r="K74" s="1" t="s">
        <v>1</v>
      </c>
      <c r="L74" s="75" t="str">
        <f>DEC2HEX( COUNTA(M74:Y74),2)</f>
        <v>09</v>
      </c>
      <c r="M74" s="2" t="s">
        <v>71</v>
      </c>
      <c r="N74" s="2" t="s">
        <v>4</v>
      </c>
      <c r="O74" s="2" t="s">
        <v>17</v>
      </c>
      <c r="P74" s="3" t="str">
        <f t="shared" ref="P74:P79" si="29">LEFT(RIGHT(DEC2HEX(AC74,4),4),2)</f>
        <v>FD</v>
      </c>
      <c r="Q74" s="3" t="str">
        <f t="shared" ref="Q74:Q79" si="30">LEFT(RIGHT(DEC2HEX(AC74,4),2),2)</f>
        <v>A8</v>
      </c>
      <c r="R74" s="3" t="s">
        <v>244</v>
      </c>
      <c r="S74" s="3"/>
      <c r="T74" s="3" t="str">
        <f t="shared" ref="T74:T79" si="31">LEFT(RIGHT(DEC2HEX(AD74,4),4),2)</f>
        <v>01</v>
      </c>
      <c r="U74" s="3" t="str">
        <f t="shared" ref="U74:U79" si="32">LEFT(RIGHT(DEC2HEX(AD74,4),2),2)</f>
        <v>F4</v>
      </c>
      <c r="V74" s="3" t="s">
        <v>1</v>
      </c>
      <c r="W74" s="233"/>
      <c r="X74" s="233"/>
      <c r="Y74" s="234"/>
      <c r="Z74" s="84" t="str">
        <f>DEC2HEX(MOD(HEX2DEC(K74)+HEX2DEC(L74)+HEX2DEC(M74)+HEX2DEC(N74)+HEX2DEC(O74)+HEX2DEC(P74)+HEX2DEC(Q74)+HEX2DEC(R74)+HEX2DEC(S74)+HEX2DEC(T74)+HEX2DEC(U74)+HEX2DEC(V74)+HEX2DEC(W74)+HEX2DEC(X74)+HEX2DEC(Y74),256),2)</f>
        <v>ED</v>
      </c>
      <c r="AA74" s="11" t="s">
        <v>5</v>
      </c>
      <c r="AC74" s="41">
        <v>-600</v>
      </c>
      <c r="AD74" s="41">
        <v>500</v>
      </c>
    </row>
    <row r="75" spans="1:30" outlineLevel="1" x14ac:dyDescent="0.25">
      <c r="A75" s="357">
        <v>3</v>
      </c>
      <c r="C75" s="55" t="str">
        <f t="shared" ref="C75:C79" si="33">IF(ISBLANK(H75),,H75&amp;" ")&amp;IF(ISBLANK(I75),,I75&amp;" ")&amp;IF(ISBLANK(J75),,J75&amp;" ")&amp;IF(ISBLANK(K75),,K75&amp;" ")&amp;IF(ISBLANK(L75),,L75&amp;" ")&amp;IF(ISBLANK(M75),,M75&amp;" ")&amp;IF(ISBLANK(N75),,N75&amp;" ")&amp;IF(ISBLANK(O75),,O75&amp;" ")&amp;IF(ISBLANK(P75),,P75&amp;" ")&amp;IF(ISBLANK(Q75),,Q75&amp;" ")&amp;IF(ISBLANK(R75),,R75&amp;" ")&amp;IF(ISBLANK(S75),,S75&amp;" ")&amp;IF(ISBLANK(T75),,T75&amp;" ")&amp;IF(ISBLANK(U75),,U75&amp;" ")&amp;IF(ISBLANK(V75),,V75&amp;" ")&amp;IF(ISBLANK(W75),,W75&amp;" ")&amp;IF(ISBLANK(X75),,X75&amp;" ")&amp;IF(ISBLANK(Y75),,Y75&amp;" ")&amp;IF(ISBLANK(Z75),,Z75&amp;" ")&amp;IF(ISBLANK(AA75),,AA75)</f>
        <v>0x00 0x01 aa 00 09 23 02 12 FF 9C 0a 01 F4 00 DA 55</v>
      </c>
      <c r="D75" s="357" t="s">
        <v>240</v>
      </c>
      <c r="H75" s="344" t="s">
        <v>823</v>
      </c>
      <c r="I75" s="344" t="s">
        <v>824</v>
      </c>
      <c r="J75" s="10" t="s">
        <v>0</v>
      </c>
      <c r="K75" s="1" t="s">
        <v>1</v>
      </c>
      <c r="L75" s="75" t="str">
        <f t="shared" ref="L75:L79" si="34">DEC2HEX( COUNTA(M75:Y75),2)</f>
        <v>09</v>
      </c>
      <c r="M75" s="2" t="s">
        <v>71</v>
      </c>
      <c r="N75" s="2" t="s">
        <v>15</v>
      </c>
      <c r="O75" s="2" t="s">
        <v>17</v>
      </c>
      <c r="P75" s="3" t="str">
        <f t="shared" si="29"/>
        <v>FF</v>
      </c>
      <c r="Q75" s="3" t="str">
        <f t="shared" si="30"/>
        <v>9C</v>
      </c>
      <c r="R75" s="3" t="s">
        <v>238</v>
      </c>
      <c r="S75" s="3"/>
      <c r="T75" s="3" t="str">
        <f t="shared" si="31"/>
        <v>01</v>
      </c>
      <c r="U75" s="3" t="str">
        <f t="shared" si="32"/>
        <v>F4</v>
      </c>
      <c r="V75" s="3" t="s">
        <v>1</v>
      </c>
      <c r="W75" s="233"/>
      <c r="X75" s="233"/>
      <c r="Y75" s="234"/>
      <c r="Z75" s="84" t="str">
        <f t="shared" ref="Z75:Z79" si="35">DEC2HEX(MOD(HEX2DEC(K75)+HEX2DEC(L75)+HEX2DEC(M75)+HEX2DEC(N75)+HEX2DEC(O75)+HEX2DEC(P75)+HEX2DEC(Q75)+HEX2DEC(R75)+HEX2DEC(S75)+HEX2DEC(T75)+HEX2DEC(U75)+HEX2DEC(V75)+HEX2DEC(W75)+HEX2DEC(X75)+HEX2DEC(Y75),256),2)</f>
        <v>DA</v>
      </c>
      <c r="AA75" s="11" t="s">
        <v>5</v>
      </c>
      <c r="AC75" s="41">
        <v>-100</v>
      </c>
      <c r="AD75" s="41">
        <v>500</v>
      </c>
    </row>
    <row r="76" spans="1:30" outlineLevel="1" x14ac:dyDescent="0.25">
      <c r="A76" s="357">
        <v>3</v>
      </c>
      <c r="C76" s="55" t="str">
        <f t="shared" si="33"/>
        <v>0x00 0x01 aa 00 09 23 03 12 FF 9C 0a 01 F4 00 DB 55</v>
      </c>
      <c r="D76" s="357"/>
      <c r="H76" s="344" t="s">
        <v>823</v>
      </c>
      <c r="I76" s="344" t="s">
        <v>824</v>
      </c>
      <c r="J76" s="10" t="s">
        <v>0</v>
      </c>
      <c r="K76" s="1" t="s">
        <v>1</v>
      </c>
      <c r="L76" s="75" t="str">
        <f t="shared" si="34"/>
        <v>09</v>
      </c>
      <c r="M76" s="2" t="s">
        <v>71</v>
      </c>
      <c r="N76" s="2" t="s">
        <v>13</v>
      </c>
      <c r="O76" s="2" t="s">
        <v>17</v>
      </c>
      <c r="P76" s="3" t="str">
        <f t="shared" si="29"/>
        <v>FF</v>
      </c>
      <c r="Q76" s="3" t="str">
        <f t="shared" si="30"/>
        <v>9C</v>
      </c>
      <c r="R76" s="3" t="s">
        <v>238</v>
      </c>
      <c r="S76" s="3"/>
      <c r="T76" s="3" t="str">
        <f t="shared" si="31"/>
        <v>01</v>
      </c>
      <c r="U76" s="3" t="str">
        <f t="shared" si="32"/>
        <v>F4</v>
      </c>
      <c r="V76" s="3" t="s">
        <v>1</v>
      </c>
      <c r="W76" s="233"/>
      <c r="X76" s="233"/>
      <c r="Y76" s="234"/>
      <c r="Z76" s="84" t="str">
        <f t="shared" si="35"/>
        <v>DB</v>
      </c>
      <c r="AA76" s="11" t="s">
        <v>5</v>
      </c>
      <c r="AC76" s="41">
        <v>-100</v>
      </c>
      <c r="AD76" s="41">
        <v>500</v>
      </c>
    </row>
    <row r="77" spans="1:30" outlineLevel="1" x14ac:dyDescent="0.25">
      <c r="A77" s="357">
        <v>3</v>
      </c>
      <c r="C77" s="55" t="str">
        <f t="shared" si="33"/>
        <v>0x00 0x01 aa 00 09 23 04 12 FD A8 0a 01 F4 00 E6 55</v>
      </c>
      <c r="D77" s="357"/>
      <c r="H77" s="344" t="s">
        <v>823</v>
      </c>
      <c r="I77" s="344" t="s">
        <v>824</v>
      </c>
      <c r="J77" s="10" t="s">
        <v>0</v>
      </c>
      <c r="K77" s="1" t="s">
        <v>1</v>
      </c>
      <c r="L77" s="75" t="str">
        <f t="shared" si="34"/>
        <v>09</v>
      </c>
      <c r="M77" s="2" t="s">
        <v>71</v>
      </c>
      <c r="N77" s="2" t="s">
        <v>18</v>
      </c>
      <c r="O77" s="2" t="s">
        <v>17</v>
      </c>
      <c r="P77" s="3" t="str">
        <f t="shared" si="29"/>
        <v>FD</v>
      </c>
      <c r="Q77" s="3" t="str">
        <f t="shared" si="30"/>
        <v>A8</v>
      </c>
      <c r="R77" s="3" t="s">
        <v>238</v>
      </c>
      <c r="S77" s="3"/>
      <c r="T77" s="3" t="str">
        <f t="shared" si="31"/>
        <v>01</v>
      </c>
      <c r="U77" s="3" t="str">
        <f t="shared" si="32"/>
        <v>F4</v>
      </c>
      <c r="V77" s="3" t="s">
        <v>1</v>
      </c>
      <c r="W77" s="233"/>
      <c r="X77" s="233"/>
      <c r="Y77" s="234"/>
      <c r="Z77" s="84" t="str">
        <f t="shared" si="35"/>
        <v>E6</v>
      </c>
      <c r="AA77" s="11" t="s">
        <v>5</v>
      </c>
      <c r="AC77" s="41">
        <v>-600</v>
      </c>
      <c r="AD77" s="41">
        <v>500</v>
      </c>
    </row>
    <row r="78" spans="1:30" outlineLevel="1" x14ac:dyDescent="0.25">
      <c r="A78" s="357">
        <v>3</v>
      </c>
      <c r="C78" s="55" t="str">
        <f t="shared" si="33"/>
        <v>0x00 0x01 aa 00 09 23 05 12 FF B0 0a 01 F4 01 F2 55</v>
      </c>
      <c r="D78" s="357"/>
      <c r="H78" s="344" t="s">
        <v>823</v>
      </c>
      <c r="I78" s="344" t="s">
        <v>824</v>
      </c>
      <c r="J78" s="10" t="s">
        <v>0</v>
      </c>
      <c r="K78" s="1" t="s">
        <v>1</v>
      </c>
      <c r="L78" s="75" t="str">
        <f t="shared" si="34"/>
        <v>09</v>
      </c>
      <c r="M78" s="2" t="s">
        <v>71</v>
      </c>
      <c r="N78" s="2" t="s">
        <v>122</v>
      </c>
      <c r="O78" s="2" t="s">
        <v>17</v>
      </c>
      <c r="P78" s="3" t="str">
        <f t="shared" si="29"/>
        <v>FF</v>
      </c>
      <c r="Q78" s="3" t="str">
        <f t="shared" si="30"/>
        <v>B0</v>
      </c>
      <c r="R78" s="3" t="s">
        <v>238</v>
      </c>
      <c r="S78" s="3"/>
      <c r="T78" s="3" t="str">
        <f t="shared" si="31"/>
        <v>01</v>
      </c>
      <c r="U78" s="3" t="str">
        <f t="shared" si="32"/>
        <v>F4</v>
      </c>
      <c r="V78" s="3" t="s">
        <v>4</v>
      </c>
      <c r="W78" s="233"/>
      <c r="X78" s="233"/>
      <c r="Y78" s="234"/>
      <c r="Z78" s="84" t="str">
        <f t="shared" si="35"/>
        <v>F2</v>
      </c>
      <c r="AA78" s="11" t="s">
        <v>5</v>
      </c>
      <c r="AC78" s="41">
        <v>-80</v>
      </c>
      <c r="AD78" s="41">
        <v>500</v>
      </c>
    </row>
    <row r="79" spans="1:30" outlineLevel="1" x14ac:dyDescent="0.25">
      <c r="A79" s="357">
        <v>3</v>
      </c>
      <c r="C79" s="55" t="str">
        <f t="shared" si="33"/>
        <v>0x00 0x01 aa 00 09 23 06 12 FF 9C 0a 01 F4 00 DE 55</v>
      </c>
      <c r="D79" s="357"/>
      <c r="H79" s="344" t="s">
        <v>823</v>
      </c>
      <c r="I79" s="344" t="s">
        <v>824</v>
      </c>
      <c r="J79" s="10" t="s">
        <v>0</v>
      </c>
      <c r="K79" s="1" t="s">
        <v>1</v>
      </c>
      <c r="L79" s="75" t="str">
        <f t="shared" si="34"/>
        <v>09</v>
      </c>
      <c r="M79" s="2" t="s">
        <v>71</v>
      </c>
      <c r="N79" s="2" t="s">
        <v>123</v>
      </c>
      <c r="O79" s="2" t="s">
        <v>17</v>
      </c>
      <c r="P79" s="3" t="str">
        <f t="shared" si="29"/>
        <v>FF</v>
      </c>
      <c r="Q79" s="3" t="str">
        <f t="shared" si="30"/>
        <v>9C</v>
      </c>
      <c r="R79" s="3" t="s">
        <v>238</v>
      </c>
      <c r="S79" s="3"/>
      <c r="T79" s="3" t="str">
        <f t="shared" si="31"/>
        <v>01</v>
      </c>
      <c r="U79" s="3" t="str">
        <f t="shared" si="32"/>
        <v>F4</v>
      </c>
      <c r="V79" s="3" t="s">
        <v>1</v>
      </c>
      <c r="W79" s="233"/>
      <c r="X79" s="233"/>
      <c r="Y79" s="234"/>
      <c r="Z79" s="84" t="str">
        <f t="shared" si="35"/>
        <v>DE</v>
      </c>
      <c r="AA79" s="11" t="s">
        <v>5</v>
      </c>
      <c r="AC79" s="261">
        <v>-100</v>
      </c>
      <c r="AD79" s="261">
        <v>500</v>
      </c>
    </row>
    <row r="80" spans="1:30" outlineLevel="1" x14ac:dyDescent="0.25"/>
    <row r="81" spans="1:29" outlineLevel="1" x14ac:dyDescent="0.25">
      <c r="A81" s="346">
        <v>2</v>
      </c>
      <c r="C81" s="387" t="s">
        <v>839</v>
      </c>
      <c r="D81" s="387"/>
      <c r="H81" s="359"/>
      <c r="I81" s="359"/>
      <c r="J81" s="216"/>
      <c r="K81" s="9"/>
      <c r="L81" s="9"/>
      <c r="M81" s="8"/>
      <c r="N81" s="101" t="s">
        <v>86</v>
      </c>
      <c r="O81" s="8"/>
      <c r="P81" s="400" t="s">
        <v>242</v>
      </c>
      <c r="Q81" s="403"/>
      <c r="R81" s="7" t="s">
        <v>73</v>
      </c>
      <c r="S81" s="7"/>
      <c r="T81" s="400" t="s">
        <v>74</v>
      </c>
      <c r="U81" s="401"/>
      <c r="V81" s="7" t="s">
        <v>75</v>
      </c>
      <c r="W81" s="230"/>
      <c r="X81" s="231"/>
      <c r="Y81" s="232"/>
      <c r="Z81" s="232" t="s">
        <v>81</v>
      </c>
      <c r="AA81" s="9"/>
      <c r="AC81" s="149" t="s">
        <v>76</v>
      </c>
    </row>
    <row r="82" spans="1:29" outlineLevel="1" x14ac:dyDescent="0.25">
      <c r="A82" s="357">
        <v>3</v>
      </c>
      <c r="C82" s="55" t="str">
        <f t="shared" ref="C82:C92" si="36">IF(ISBLANK(H82),,H82&amp;" ")&amp;IF(ISBLANK(I82),,I82&amp;" ")&amp;IF(ISBLANK(J82),,J82&amp;" ")&amp;IF(ISBLANK(K82),,K82&amp;" ")&amp;IF(ISBLANK(L82),,L82&amp;" ")&amp;IF(ISBLANK(M82),,M82&amp;" ")&amp;IF(ISBLANK(N82),,N82&amp;" ")&amp;IF(ISBLANK(O82),,O82&amp;" ")&amp;IF(ISBLANK(P82),,P82&amp;" ")&amp;IF(ISBLANK(Q82),,Q82&amp;" ")&amp;IF(ISBLANK(R82),,R82&amp;" ")&amp;IF(ISBLANK(S82),,S82&amp;" ")&amp;IF(ISBLANK(T82),,T82&amp;" ")&amp;IF(ISBLANK(U82),,U82&amp;" ")&amp;IF(ISBLANK(V82),,V82&amp;" ")&amp;IF(ISBLANK(W82),,W82&amp;" ")&amp;IF(ISBLANK(X82),,X82&amp;" ")&amp;IF(ISBLANK(Y82),,Y82&amp;" ")&amp;IF(ISBLANK(Z82),,Z82&amp;" ")&amp;IF(ISBLANK(AA82),,AA82)</f>
        <v>0x00 0x01 aa 00 08 23 02 11 01 10 03 E8 00 3A 55</v>
      </c>
      <c r="D82" s="362" t="s">
        <v>538</v>
      </c>
      <c r="H82" s="344" t="s">
        <v>823</v>
      </c>
      <c r="I82" s="344" t="s">
        <v>824</v>
      </c>
      <c r="J82" s="10" t="s">
        <v>0</v>
      </c>
      <c r="K82" s="1" t="s">
        <v>1</v>
      </c>
      <c r="L82" s="75" t="str">
        <f t="shared" ref="L82:L93" si="37">DEC2HEX( COUNTA(M82:Y82),2)</f>
        <v>08</v>
      </c>
      <c r="M82" s="2" t="s">
        <v>71</v>
      </c>
      <c r="N82" s="2" t="s">
        <v>7</v>
      </c>
      <c r="O82" s="2" t="s">
        <v>28</v>
      </c>
      <c r="P82" s="398" t="s">
        <v>4</v>
      </c>
      <c r="Q82" s="399"/>
      <c r="R82" s="3" t="s">
        <v>70</v>
      </c>
      <c r="S82" s="3"/>
      <c r="T82" s="3" t="str">
        <f t="shared" ref="T82:T93" si="38">LEFT(RIGHT(DEC2HEX(AC82,4),4),2)</f>
        <v>03</v>
      </c>
      <c r="U82" s="3" t="str">
        <f t="shared" ref="U82:U93" si="39">LEFT(RIGHT(DEC2HEX(AC82,4),2),2)</f>
        <v>E8</v>
      </c>
      <c r="V82" s="3" t="s">
        <v>1</v>
      </c>
      <c r="W82" s="233"/>
      <c r="X82" s="233"/>
      <c r="Y82" s="234"/>
      <c r="Z82" s="84" t="str">
        <f>DEC2HEX(MOD(HEX2DEC(K82)+HEX2DEC(L82)+HEX2DEC(M82)+HEX2DEC(N82)+HEX2DEC(O82)+HEX2DEC(P82)+HEX2DEC(Q82)+HEX2DEC(R82)+HEX2DEC(S82)+HEX2DEC(T82)+HEX2DEC(U82)+HEX2DEC(V82)+HEX2DEC(W82)+HEX2DEC(X82)+HEX2DEC(Y82),256),2)</f>
        <v>3A</v>
      </c>
      <c r="AA82" s="11" t="s">
        <v>5</v>
      </c>
      <c r="AC82" s="41">
        <v>1000</v>
      </c>
    </row>
    <row r="83" spans="1:29" outlineLevel="1" x14ac:dyDescent="0.25">
      <c r="A83" s="357">
        <v>3</v>
      </c>
      <c r="C83" s="55" t="str">
        <f t="shared" si="36"/>
        <v>0x00 0x01 aa 00 08 23 02 11 02 10 03 E8 00 3B 55</v>
      </c>
      <c r="D83" s="362" t="s">
        <v>539</v>
      </c>
      <c r="H83" s="344" t="s">
        <v>823</v>
      </c>
      <c r="I83" s="344" t="s">
        <v>824</v>
      </c>
      <c r="J83" s="10" t="s">
        <v>0</v>
      </c>
      <c r="K83" s="1" t="s">
        <v>1</v>
      </c>
      <c r="L83" s="75" t="str">
        <f t="shared" si="37"/>
        <v>08</v>
      </c>
      <c r="M83" s="2" t="s">
        <v>71</v>
      </c>
      <c r="N83" s="2" t="s">
        <v>7</v>
      </c>
      <c r="O83" s="2" t="s">
        <v>28</v>
      </c>
      <c r="P83" s="398" t="s">
        <v>15</v>
      </c>
      <c r="Q83" s="399"/>
      <c r="R83" s="3" t="s">
        <v>70</v>
      </c>
      <c r="S83" s="3"/>
      <c r="T83" s="3" t="str">
        <f t="shared" si="38"/>
        <v>03</v>
      </c>
      <c r="U83" s="3" t="str">
        <f t="shared" si="39"/>
        <v>E8</v>
      </c>
      <c r="V83" s="3" t="s">
        <v>1</v>
      </c>
      <c r="W83" s="233"/>
      <c r="X83" s="233"/>
      <c r="Y83" s="234"/>
      <c r="Z83" s="84" t="str">
        <f t="shared" ref="Z83:Z93" si="40">DEC2HEX(MOD(HEX2DEC(K83)+HEX2DEC(L83)+HEX2DEC(M83)+HEX2DEC(N83)+HEX2DEC(O83)+HEX2DEC(P83)+HEX2DEC(Q83)+HEX2DEC(R83)+HEX2DEC(S83)+HEX2DEC(T83)+HEX2DEC(U83)+HEX2DEC(V83)+HEX2DEC(W83)+HEX2DEC(X83)+HEX2DEC(Y83),256),2)</f>
        <v>3B</v>
      </c>
      <c r="AA83" s="11" t="s">
        <v>5</v>
      </c>
      <c r="AC83" s="41">
        <v>1000</v>
      </c>
    </row>
    <row r="84" spans="1:29" outlineLevel="1" x14ac:dyDescent="0.25">
      <c r="A84" s="357">
        <v>3</v>
      </c>
      <c r="C84" s="55" t="str">
        <f t="shared" si="36"/>
        <v>0x00 0x01 aa 00 08 23 02 11 03 10 03 E8 00 3C 55</v>
      </c>
      <c r="D84" s="362" t="s">
        <v>540</v>
      </c>
      <c r="H84" s="344" t="s">
        <v>823</v>
      </c>
      <c r="I84" s="344" t="s">
        <v>824</v>
      </c>
      <c r="J84" s="10" t="s">
        <v>0</v>
      </c>
      <c r="K84" s="1" t="s">
        <v>1</v>
      </c>
      <c r="L84" s="75" t="str">
        <f t="shared" si="37"/>
        <v>08</v>
      </c>
      <c r="M84" s="2" t="s">
        <v>71</v>
      </c>
      <c r="N84" s="2" t="s">
        <v>7</v>
      </c>
      <c r="O84" s="2" t="s">
        <v>28</v>
      </c>
      <c r="P84" s="398" t="s">
        <v>13</v>
      </c>
      <c r="Q84" s="399"/>
      <c r="R84" s="3" t="s">
        <v>70</v>
      </c>
      <c r="S84" s="3"/>
      <c r="T84" s="3" t="str">
        <f t="shared" si="38"/>
        <v>03</v>
      </c>
      <c r="U84" s="3" t="str">
        <f t="shared" si="39"/>
        <v>E8</v>
      </c>
      <c r="V84" s="3" t="s">
        <v>1</v>
      </c>
      <c r="W84" s="233"/>
      <c r="X84" s="233"/>
      <c r="Y84" s="234"/>
      <c r="Z84" s="84" t="str">
        <f t="shared" si="40"/>
        <v>3C</v>
      </c>
      <c r="AA84" s="11" t="s">
        <v>5</v>
      </c>
      <c r="AC84" s="41">
        <v>1000</v>
      </c>
    </row>
    <row r="85" spans="1:29" outlineLevel="1" x14ac:dyDescent="0.25">
      <c r="A85" s="357">
        <v>3</v>
      </c>
      <c r="C85" s="55" t="str">
        <f t="shared" si="36"/>
        <v>0x00 0x01 aa 00 08 23 02 11 04 10 03 E8 00 3D 55</v>
      </c>
      <c r="D85" s="362" t="s">
        <v>541</v>
      </c>
      <c r="H85" s="344" t="s">
        <v>823</v>
      </c>
      <c r="I85" s="344" t="s">
        <v>824</v>
      </c>
      <c r="J85" s="10" t="s">
        <v>0</v>
      </c>
      <c r="K85" s="1" t="s">
        <v>1</v>
      </c>
      <c r="L85" s="75" t="str">
        <f t="shared" si="37"/>
        <v>08</v>
      </c>
      <c r="M85" s="2" t="s">
        <v>71</v>
      </c>
      <c r="N85" s="2" t="s">
        <v>7</v>
      </c>
      <c r="O85" s="2" t="s">
        <v>28</v>
      </c>
      <c r="P85" s="398" t="s">
        <v>18</v>
      </c>
      <c r="Q85" s="399"/>
      <c r="R85" s="3" t="s">
        <v>70</v>
      </c>
      <c r="S85" s="3"/>
      <c r="T85" s="3" t="str">
        <f t="shared" si="38"/>
        <v>03</v>
      </c>
      <c r="U85" s="3" t="str">
        <f t="shared" si="39"/>
        <v>E8</v>
      </c>
      <c r="V85" s="3" t="s">
        <v>1</v>
      </c>
      <c r="W85" s="233"/>
      <c r="X85" s="233"/>
      <c r="Y85" s="234"/>
      <c r="Z85" s="84" t="str">
        <f t="shared" si="40"/>
        <v>3D</v>
      </c>
      <c r="AA85" s="11" t="s">
        <v>5</v>
      </c>
      <c r="AC85" s="41">
        <v>1000</v>
      </c>
    </row>
    <row r="86" spans="1:29" outlineLevel="1" x14ac:dyDescent="0.25">
      <c r="A86" s="357">
        <v>3</v>
      </c>
      <c r="C86" s="55" t="str">
        <f t="shared" si="36"/>
        <v>0x00 0x01 aa 00 08 23 02 11 05 10 03 E8 00 3E 55</v>
      </c>
      <c r="D86" s="362" t="s">
        <v>542</v>
      </c>
      <c r="H86" s="344" t="s">
        <v>823</v>
      </c>
      <c r="I86" s="344" t="s">
        <v>824</v>
      </c>
      <c r="J86" s="10" t="s">
        <v>0</v>
      </c>
      <c r="K86" s="1" t="s">
        <v>1</v>
      </c>
      <c r="L86" s="75" t="str">
        <f t="shared" si="37"/>
        <v>08</v>
      </c>
      <c r="M86" s="2" t="s">
        <v>71</v>
      </c>
      <c r="N86" s="2" t="s">
        <v>7</v>
      </c>
      <c r="O86" s="2" t="s">
        <v>28</v>
      </c>
      <c r="P86" s="398" t="s">
        <v>122</v>
      </c>
      <c r="Q86" s="399"/>
      <c r="R86" s="3" t="s">
        <v>70</v>
      </c>
      <c r="S86" s="3"/>
      <c r="T86" s="3" t="str">
        <f t="shared" si="38"/>
        <v>03</v>
      </c>
      <c r="U86" s="3" t="str">
        <f t="shared" si="39"/>
        <v>E8</v>
      </c>
      <c r="V86" s="3" t="s">
        <v>1</v>
      </c>
      <c r="W86" s="233"/>
      <c r="X86" s="233"/>
      <c r="Y86" s="234"/>
      <c r="Z86" s="84" t="str">
        <f t="shared" si="40"/>
        <v>3E</v>
      </c>
      <c r="AA86" s="11" t="s">
        <v>5</v>
      </c>
      <c r="AC86" s="41">
        <v>1000</v>
      </c>
    </row>
    <row r="87" spans="1:29" outlineLevel="1" x14ac:dyDescent="0.25">
      <c r="A87" s="357">
        <v>3</v>
      </c>
      <c r="C87" s="55" t="str">
        <f t="shared" si="36"/>
        <v>0x00 0x01 aa 00 08 23 02 11 06 10 03 E8 00 3F 55</v>
      </c>
      <c r="D87" s="362" t="s">
        <v>543</v>
      </c>
      <c r="H87" s="344" t="s">
        <v>823</v>
      </c>
      <c r="I87" s="344" t="s">
        <v>824</v>
      </c>
      <c r="J87" s="10" t="s">
        <v>0</v>
      </c>
      <c r="K87" s="1" t="s">
        <v>1</v>
      </c>
      <c r="L87" s="75" t="str">
        <f t="shared" si="37"/>
        <v>08</v>
      </c>
      <c r="M87" s="2" t="s">
        <v>71</v>
      </c>
      <c r="N87" s="2" t="s">
        <v>7</v>
      </c>
      <c r="O87" s="2" t="s">
        <v>28</v>
      </c>
      <c r="P87" s="398" t="s">
        <v>123</v>
      </c>
      <c r="Q87" s="399"/>
      <c r="R87" s="3" t="s">
        <v>70</v>
      </c>
      <c r="S87" s="3"/>
      <c r="T87" s="3" t="str">
        <f t="shared" si="38"/>
        <v>03</v>
      </c>
      <c r="U87" s="3" t="str">
        <f t="shared" si="39"/>
        <v>E8</v>
      </c>
      <c r="V87" s="3" t="s">
        <v>1</v>
      </c>
      <c r="W87" s="233"/>
      <c r="X87" s="233"/>
      <c r="Y87" s="234"/>
      <c r="Z87" s="84" t="str">
        <f t="shared" si="40"/>
        <v>3F</v>
      </c>
      <c r="AA87" s="11" t="s">
        <v>5</v>
      </c>
      <c r="AC87" s="41">
        <v>1000</v>
      </c>
    </row>
    <row r="88" spans="1:29" outlineLevel="1" x14ac:dyDescent="0.25">
      <c r="A88" s="357">
        <v>3</v>
      </c>
      <c r="C88" s="55" t="str">
        <f t="shared" si="36"/>
        <v>0x00 0x01 aa 00 08 23 02 11 07 10 03 E8 00 40 55</v>
      </c>
      <c r="D88" s="362" t="s">
        <v>713</v>
      </c>
      <c r="H88" s="344" t="s">
        <v>823</v>
      </c>
      <c r="I88" s="344" t="s">
        <v>824</v>
      </c>
      <c r="J88" s="10" t="s">
        <v>0</v>
      </c>
      <c r="K88" s="1" t="s">
        <v>1</v>
      </c>
      <c r="L88" s="75" t="str">
        <f t="shared" si="37"/>
        <v>08</v>
      </c>
      <c r="M88" s="2" t="s">
        <v>71</v>
      </c>
      <c r="N88" s="2" t="s">
        <v>7</v>
      </c>
      <c r="O88" s="2" t="s">
        <v>28</v>
      </c>
      <c r="P88" s="398" t="s">
        <v>124</v>
      </c>
      <c r="Q88" s="399"/>
      <c r="R88" s="3" t="s">
        <v>70</v>
      </c>
      <c r="S88" s="3"/>
      <c r="T88" s="3" t="str">
        <f t="shared" si="38"/>
        <v>03</v>
      </c>
      <c r="U88" s="3" t="str">
        <f t="shared" si="39"/>
        <v>E8</v>
      </c>
      <c r="V88" s="3" t="s">
        <v>1</v>
      </c>
      <c r="W88" s="233"/>
      <c r="X88" s="233"/>
      <c r="Y88" s="234"/>
      <c r="Z88" s="84" t="str">
        <f t="shared" si="40"/>
        <v>40</v>
      </c>
      <c r="AA88" s="11" t="s">
        <v>5</v>
      </c>
      <c r="AC88" s="41">
        <v>1000</v>
      </c>
    </row>
    <row r="89" spans="1:29" outlineLevel="1" x14ac:dyDescent="0.25">
      <c r="A89" s="357">
        <v>3</v>
      </c>
      <c r="C89" s="55" t="str">
        <f t="shared" si="36"/>
        <v>0x00 0x01 aa 00 08 23 02 11 08 10 03 E8 00 41 55</v>
      </c>
      <c r="D89" s="362" t="s">
        <v>544</v>
      </c>
      <c r="H89" s="344" t="s">
        <v>823</v>
      </c>
      <c r="I89" s="344" t="s">
        <v>824</v>
      </c>
      <c r="J89" s="10" t="s">
        <v>0</v>
      </c>
      <c r="K89" s="1" t="s">
        <v>1</v>
      </c>
      <c r="L89" s="75" t="str">
        <f t="shared" si="37"/>
        <v>08</v>
      </c>
      <c r="M89" s="2" t="s">
        <v>71</v>
      </c>
      <c r="N89" s="2" t="s">
        <v>7</v>
      </c>
      <c r="O89" s="2" t="s">
        <v>28</v>
      </c>
      <c r="P89" s="398" t="s">
        <v>125</v>
      </c>
      <c r="Q89" s="399"/>
      <c r="R89" s="3" t="s">
        <v>70</v>
      </c>
      <c r="S89" s="3"/>
      <c r="T89" s="3" t="str">
        <f t="shared" si="38"/>
        <v>03</v>
      </c>
      <c r="U89" s="3" t="str">
        <f t="shared" si="39"/>
        <v>E8</v>
      </c>
      <c r="V89" s="3" t="s">
        <v>1</v>
      </c>
      <c r="W89" s="233"/>
      <c r="X89" s="233"/>
      <c r="Y89" s="234"/>
      <c r="Z89" s="84" t="str">
        <f t="shared" si="40"/>
        <v>41</v>
      </c>
      <c r="AA89" s="11" t="s">
        <v>5</v>
      </c>
      <c r="AC89" s="41">
        <v>1000</v>
      </c>
    </row>
    <row r="90" spans="1:29" outlineLevel="1" x14ac:dyDescent="0.25">
      <c r="A90" s="357">
        <v>3</v>
      </c>
      <c r="C90" s="55" t="str">
        <f t="shared" si="36"/>
        <v>0x00 0x01 aa 00 08 23 02 11 09 10 03 E8 00 42 55</v>
      </c>
      <c r="D90" s="362" t="s">
        <v>545</v>
      </c>
      <c r="H90" s="344" t="s">
        <v>823</v>
      </c>
      <c r="I90" s="344" t="s">
        <v>824</v>
      </c>
      <c r="J90" s="10" t="s">
        <v>0</v>
      </c>
      <c r="K90" s="1" t="s">
        <v>1</v>
      </c>
      <c r="L90" s="75" t="str">
        <f t="shared" si="37"/>
        <v>08</v>
      </c>
      <c r="M90" s="2" t="s">
        <v>71</v>
      </c>
      <c r="N90" s="2" t="s">
        <v>7</v>
      </c>
      <c r="O90" s="2" t="s">
        <v>28</v>
      </c>
      <c r="P90" s="398" t="s">
        <v>126</v>
      </c>
      <c r="Q90" s="399"/>
      <c r="R90" s="3" t="s">
        <v>70</v>
      </c>
      <c r="S90" s="3"/>
      <c r="T90" s="3" t="str">
        <f t="shared" si="38"/>
        <v>03</v>
      </c>
      <c r="U90" s="3" t="str">
        <f t="shared" si="39"/>
        <v>E8</v>
      </c>
      <c r="V90" s="3" t="s">
        <v>1</v>
      </c>
      <c r="W90" s="233"/>
      <c r="X90" s="233"/>
      <c r="Y90" s="234"/>
      <c r="Z90" s="84" t="str">
        <f t="shared" si="40"/>
        <v>42</v>
      </c>
      <c r="AA90" s="11" t="s">
        <v>5</v>
      </c>
      <c r="AC90" s="41">
        <v>1000</v>
      </c>
    </row>
    <row r="91" spans="1:29" outlineLevel="1" x14ac:dyDescent="0.25">
      <c r="A91" s="357">
        <v>3</v>
      </c>
      <c r="C91" s="55" t="str">
        <f t="shared" si="36"/>
        <v>0x00 0x01 aa 00 08 23 02 11 0A 10 03 E8 00 43 55</v>
      </c>
      <c r="D91" s="362" t="s">
        <v>546</v>
      </c>
      <c r="H91" s="344" t="s">
        <v>823</v>
      </c>
      <c r="I91" s="344" t="s">
        <v>824</v>
      </c>
      <c r="J91" s="10" t="s">
        <v>0</v>
      </c>
      <c r="K91" s="1" t="s">
        <v>1</v>
      </c>
      <c r="L91" s="75" t="str">
        <f t="shared" si="37"/>
        <v>08</v>
      </c>
      <c r="M91" s="2" t="s">
        <v>71</v>
      </c>
      <c r="N91" s="2" t="s">
        <v>7</v>
      </c>
      <c r="O91" s="2" t="s">
        <v>28</v>
      </c>
      <c r="P91" s="398" t="s">
        <v>37</v>
      </c>
      <c r="Q91" s="399"/>
      <c r="R91" s="3" t="s">
        <v>70</v>
      </c>
      <c r="S91" s="3"/>
      <c r="T91" s="3" t="str">
        <f t="shared" si="38"/>
        <v>03</v>
      </c>
      <c r="U91" s="3" t="str">
        <f t="shared" si="39"/>
        <v>E8</v>
      </c>
      <c r="V91" s="3" t="s">
        <v>1</v>
      </c>
      <c r="W91" s="233"/>
      <c r="X91" s="233"/>
      <c r="Y91" s="234"/>
      <c r="Z91" s="84" t="str">
        <f t="shared" si="40"/>
        <v>43</v>
      </c>
      <c r="AA91" s="11" t="s">
        <v>5</v>
      </c>
      <c r="AC91" s="41">
        <v>1000</v>
      </c>
    </row>
    <row r="92" spans="1:29" outlineLevel="1" x14ac:dyDescent="0.25">
      <c r="A92" s="357">
        <v>3</v>
      </c>
      <c r="C92" s="55" t="str">
        <f t="shared" si="36"/>
        <v>0x00 0x01 aa 00 08 23 02 11 0B 10 03 E8 00 44 55</v>
      </c>
      <c r="D92" s="362" t="s">
        <v>547</v>
      </c>
      <c r="H92" s="344" t="s">
        <v>823</v>
      </c>
      <c r="I92" s="344" t="s">
        <v>824</v>
      </c>
      <c r="J92" s="10" t="s">
        <v>0</v>
      </c>
      <c r="K92" s="1" t="s">
        <v>1</v>
      </c>
      <c r="L92" s="75" t="str">
        <f t="shared" si="37"/>
        <v>08</v>
      </c>
      <c r="M92" s="2" t="s">
        <v>71</v>
      </c>
      <c r="N92" s="2" t="s">
        <v>7</v>
      </c>
      <c r="O92" s="2" t="s">
        <v>28</v>
      </c>
      <c r="P92" s="398" t="s">
        <v>36</v>
      </c>
      <c r="Q92" s="399"/>
      <c r="R92" s="3" t="s">
        <v>70</v>
      </c>
      <c r="S92" s="3"/>
      <c r="T92" s="3" t="str">
        <f t="shared" si="38"/>
        <v>03</v>
      </c>
      <c r="U92" s="3" t="str">
        <f t="shared" si="39"/>
        <v>E8</v>
      </c>
      <c r="V92" s="3" t="s">
        <v>1</v>
      </c>
      <c r="W92" s="233"/>
      <c r="X92" s="233"/>
      <c r="Y92" s="234"/>
      <c r="Z92" s="84" t="str">
        <f t="shared" si="40"/>
        <v>44</v>
      </c>
      <c r="AA92" s="11" t="s">
        <v>5</v>
      </c>
      <c r="AC92" s="41">
        <v>1000</v>
      </c>
    </row>
    <row r="93" spans="1:29" outlineLevel="1" x14ac:dyDescent="0.25">
      <c r="A93" s="357">
        <v>3</v>
      </c>
      <c r="C93" s="55" t="str">
        <f>IF(ISBLANK(H93),,H93&amp;" ")&amp;IF(ISBLANK(I93),,I93&amp;" ")&amp;IF(ISBLANK(J93),,J93&amp;" ")&amp;IF(ISBLANK(K93),,K93&amp;" ")&amp;IF(ISBLANK(L93),,L93&amp;" ")&amp;IF(ISBLANK(M93),,M93&amp;" ")&amp;IF(ISBLANK(N93),,N93&amp;" ")&amp;IF(ISBLANK(O93),,O93&amp;" ")&amp;IF(ISBLANK(P93),,P93&amp;" ")&amp;IF(ISBLANK(Q93),,Q93&amp;" ")&amp;IF(ISBLANK(R93),,R93&amp;" ")&amp;IF(ISBLANK(S93),,S93&amp;" ")&amp;IF(ISBLANK(T93),,T93&amp;" ")&amp;IF(ISBLANK(U93),,U93&amp;" ")&amp;IF(ISBLANK(V93),,V93&amp;" ")&amp;IF(ISBLANK(W93),,W93&amp;" ")&amp;IF(ISBLANK(X93),,X93&amp;" ")&amp;IF(ISBLANK(Y93),,Y93&amp;" ")&amp;IF(ISBLANK(Z93),,Z93&amp;" ")&amp;IF(ISBLANK(AA93),,AA93)</f>
        <v>0x00 0x01 aa 00 08 23 02 11 0C 10 05 DC 00 3B 55</v>
      </c>
      <c r="D93" s="362" t="s">
        <v>548</v>
      </c>
      <c r="H93" s="344" t="s">
        <v>823</v>
      </c>
      <c r="I93" s="344" t="s">
        <v>824</v>
      </c>
      <c r="J93" s="10" t="s">
        <v>0</v>
      </c>
      <c r="K93" s="1" t="s">
        <v>1</v>
      </c>
      <c r="L93" s="75" t="str">
        <f t="shared" si="37"/>
        <v>08</v>
      </c>
      <c r="M93" s="2" t="s">
        <v>71</v>
      </c>
      <c r="N93" s="2" t="s">
        <v>7</v>
      </c>
      <c r="O93" s="2" t="s">
        <v>28</v>
      </c>
      <c r="P93" s="398" t="s">
        <v>352</v>
      </c>
      <c r="Q93" s="399"/>
      <c r="R93" s="3" t="s">
        <v>70</v>
      </c>
      <c r="S93" s="3"/>
      <c r="T93" s="3" t="str">
        <f t="shared" si="38"/>
        <v>05</v>
      </c>
      <c r="U93" s="3" t="str">
        <f t="shared" si="39"/>
        <v>DC</v>
      </c>
      <c r="V93" s="3" t="s">
        <v>1</v>
      </c>
      <c r="W93" s="233"/>
      <c r="X93" s="233"/>
      <c r="Y93" s="234"/>
      <c r="Z93" s="84" t="str">
        <f t="shared" si="40"/>
        <v>3B</v>
      </c>
      <c r="AA93" s="11" t="s">
        <v>5</v>
      </c>
      <c r="AC93" s="41">
        <v>1500</v>
      </c>
    </row>
    <row r="94" spans="1:29" outlineLevel="1" x14ac:dyDescent="0.25"/>
    <row r="95" spans="1:29" outlineLevel="1" x14ac:dyDescent="0.25">
      <c r="A95" s="346">
        <v>2</v>
      </c>
      <c r="C95" s="411" t="s">
        <v>840</v>
      </c>
      <c r="D95" s="412"/>
      <c r="H95" s="359"/>
      <c r="I95" s="359"/>
      <c r="J95" s="216"/>
      <c r="K95" s="9"/>
      <c r="L95" s="9"/>
      <c r="M95" s="8"/>
      <c r="N95" s="7" t="s">
        <v>86</v>
      </c>
      <c r="O95" s="8"/>
      <c r="P95" s="400" t="s">
        <v>242</v>
      </c>
      <c r="Q95" s="403"/>
      <c r="R95" s="7" t="s">
        <v>73</v>
      </c>
      <c r="S95" s="7"/>
      <c r="T95" s="400" t="s">
        <v>74</v>
      </c>
      <c r="U95" s="401"/>
      <c r="V95" s="7" t="s">
        <v>75</v>
      </c>
      <c r="W95" s="230"/>
      <c r="X95" s="231"/>
      <c r="Y95" s="232"/>
      <c r="Z95" s="232" t="s">
        <v>81</v>
      </c>
      <c r="AA95" s="9"/>
      <c r="AC95" s="363" t="s">
        <v>76</v>
      </c>
    </row>
    <row r="96" spans="1:29" outlineLevel="1" x14ac:dyDescent="0.25">
      <c r="A96" s="357">
        <v>3</v>
      </c>
      <c r="C96" s="55" t="str">
        <f>IF(ISBLANK(H96),,H96&amp;" ")&amp;IF(ISBLANK(I96),,I96&amp;" ")&amp;IF(ISBLANK(J96),,J96&amp;" ")&amp;IF(ISBLANK(K96),,K96&amp;" ")&amp;IF(ISBLANK(L96),,L96&amp;" ")&amp;IF(ISBLANK(M96),,M96&amp;" ")&amp;IF(ISBLANK(N96),,N96&amp;" ")&amp;IF(ISBLANK(O96),,O96&amp;" ")&amp;IF(ISBLANK(P96),,P96&amp;" ")&amp;IF(ISBLANK(Q96),,Q96&amp;" ")&amp;IF(ISBLANK(R96),,R96&amp;" ")&amp;IF(ISBLANK(S96),,S96&amp;" ")&amp;IF(ISBLANK(T96),,T96&amp;" ")&amp;IF(ISBLANK(U96),,U96&amp;" ")&amp;IF(ISBLANK(V96),,V96&amp;" ")&amp;IF(ISBLANK(W96),,W96&amp;" ")&amp;IF(ISBLANK(X96),,X96&amp;" ")&amp;IF(ISBLANK(Y96),,Y96&amp;" ")&amp;IF(ISBLANK(Z96),,Z96&amp;" ")&amp;IF(ISBLANK(AA96),,AA96)</f>
        <v>0x00 0x01 aa 00 08 23 01 11 01 10 01 F4 00 43 55</v>
      </c>
      <c r="D96" s="362" t="s">
        <v>552</v>
      </c>
      <c r="H96" s="344" t="s">
        <v>823</v>
      </c>
      <c r="I96" s="344" t="s">
        <v>824</v>
      </c>
      <c r="J96" s="10" t="s">
        <v>0</v>
      </c>
      <c r="K96" s="1" t="s">
        <v>1</v>
      </c>
      <c r="L96" s="75" t="str">
        <f t="shared" ref="L96:L102" si="41">DEC2HEX( COUNTA(M96:Y96),2)</f>
        <v>08</v>
      </c>
      <c r="M96" s="2" t="s">
        <v>71</v>
      </c>
      <c r="N96" s="2" t="s">
        <v>4</v>
      </c>
      <c r="O96" s="2" t="s">
        <v>28</v>
      </c>
      <c r="P96" s="398" t="s">
        <v>4</v>
      </c>
      <c r="Q96" s="399"/>
      <c r="R96" s="3" t="s">
        <v>70</v>
      </c>
      <c r="S96" s="3"/>
      <c r="T96" s="3" t="str">
        <f t="shared" ref="T96:T99" si="42">LEFT(RIGHT(DEC2HEX(AC96,4),4),2)</f>
        <v>01</v>
      </c>
      <c r="U96" s="3" t="str">
        <f t="shared" ref="U96:U99" si="43">LEFT(RIGHT(DEC2HEX(AC96,4),2),2)</f>
        <v>F4</v>
      </c>
      <c r="V96" s="3" t="s">
        <v>1</v>
      </c>
      <c r="W96" s="233"/>
      <c r="X96" s="233"/>
      <c r="Y96" s="234"/>
      <c r="Z96" s="84" t="str">
        <f t="shared" ref="Z96:Z102" si="44">DEC2HEX(MOD(HEX2DEC(K96)+HEX2DEC(L96)+HEX2DEC(M96)+HEX2DEC(N96)+HEX2DEC(O96)+HEX2DEC(P96)+HEX2DEC(Q96)+HEX2DEC(R96)+HEX2DEC(S96)+HEX2DEC(T96)+HEX2DEC(U96)+HEX2DEC(V96)+HEX2DEC(W96)+HEX2DEC(X96)+HEX2DEC(Y96),256),2)</f>
        <v>43</v>
      </c>
      <c r="AA96" s="11" t="s">
        <v>5</v>
      </c>
      <c r="AC96" s="41">
        <v>500</v>
      </c>
    </row>
    <row r="97" spans="1:29" outlineLevel="1" x14ac:dyDescent="0.25">
      <c r="A97" s="357">
        <v>3</v>
      </c>
      <c r="C97" s="55" t="str">
        <f t="shared" ref="C97:C102" si="45">IF(ISBLANK(H97),,H97&amp;" ")&amp;IF(ISBLANK(I97),,I97&amp;" ")&amp;IF(ISBLANK(J97),,J97&amp;" ")&amp;IF(ISBLANK(K97),,K97&amp;" ")&amp;IF(ISBLANK(L97),,L97&amp;" ")&amp;IF(ISBLANK(M97),,M97&amp;" ")&amp;IF(ISBLANK(N97),,N97&amp;" ")&amp;IF(ISBLANK(O97),,O97&amp;" ")&amp;IF(ISBLANK(P97),,P97&amp;" ")&amp;IF(ISBLANK(Q97),,Q97&amp;" ")&amp;IF(ISBLANK(R97),,R97&amp;" ")&amp;IF(ISBLANK(S97),,S97&amp;" ")&amp;IF(ISBLANK(T97),,T97&amp;" ")&amp;IF(ISBLANK(U97),,U97&amp;" ")&amp;IF(ISBLANK(V97),,V97&amp;" ")&amp;IF(ISBLANK(W97),,W97&amp;" ")&amp;IF(ISBLANK(X97),,X97&amp;" ")&amp;IF(ISBLANK(Y97),,Y97&amp;" ")&amp;IF(ISBLANK(Z97),,Z97&amp;" ")&amp;IF(ISBLANK(AA97),,AA97)</f>
        <v>0x00 0x01 aa 00 08 23 01 11 02 08 01 F4 01 3D 55</v>
      </c>
      <c r="D97" s="362" t="s">
        <v>717</v>
      </c>
      <c r="H97" s="344" t="s">
        <v>823</v>
      </c>
      <c r="I97" s="344" t="s">
        <v>824</v>
      </c>
      <c r="J97" s="10" t="s">
        <v>0</v>
      </c>
      <c r="K97" s="1" t="s">
        <v>1</v>
      </c>
      <c r="L97" s="75" t="str">
        <f t="shared" si="41"/>
        <v>08</v>
      </c>
      <c r="M97" s="2" t="s">
        <v>71</v>
      </c>
      <c r="N97" s="2" t="s">
        <v>4</v>
      </c>
      <c r="O97" s="2" t="s">
        <v>28</v>
      </c>
      <c r="P97" s="398" t="s">
        <v>15</v>
      </c>
      <c r="Q97" s="399"/>
      <c r="R97" s="3" t="s">
        <v>93</v>
      </c>
      <c r="S97" s="3"/>
      <c r="T97" s="3" t="str">
        <f t="shared" si="42"/>
        <v>01</v>
      </c>
      <c r="U97" s="3" t="str">
        <f t="shared" si="43"/>
        <v>F4</v>
      </c>
      <c r="V97" s="3" t="s">
        <v>4</v>
      </c>
      <c r="W97" s="233"/>
      <c r="X97" s="233"/>
      <c r="Y97" s="234"/>
      <c r="Z97" s="84" t="str">
        <f t="shared" si="44"/>
        <v>3D</v>
      </c>
      <c r="AA97" s="11" t="s">
        <v>5</v>
      </c>
      <c r="AC97" s="41">
        <v>500</v>
      </c>
    </row>
    <row r="98" spans="1:29" outlineLevel="1" x14ac:dyDescent="0.25">
      <c r="A98" s="357">
        <v>3</v>
      </c>
      <c r="C98" s="55" t="str">
        <f t="shared" si="45"/>
        <v>0x00 0x01 aa 00 08 23 01 11 03 0D 01 F4 00 42 55</v>
      </c>
      <c r="D98" s="362" t="s">
        <v>718</v>
      </c>
      <c r="H98" s="344" t="s">
        <v>823</v>
      </c>
      <c r="I98" s="344" t="s">
        <v>824</v>
      </c>
      <c r="J98" s="10" t="s">
        <v>0</v>
      </c>
      <c r="K98" s="1" t="s">
        <v>1</v>
      </c>
      <c r="L98" s="75" t="str">
        <f t="shared" si="41"/>
        <v>08</v>
      </c>
      <c r="M98" s="2" t="s">
        <v>71</v>
      </c>
      <c r="N98" s="2" t="s">
        <v>4</v>
      </c>
      <c r="O98" s="2" t="s">
        <v>28</v>
      </c>
      <c r="P98" s="398" t="s">
        <v>13</v>
      </c>
      <c r="Q98" s="399"/>
      <c r="R98" s="3" t="s">
        <v>353</v>
      </c>
      <c r="S98" s="3"/>
      <c r="T98" s="3" t="str">
        <f t="shared" si="42"/>
        <v>01</v>
      </c>
      <c r="U98" s="3" t="str">
        <f t="shared" si="43"/>
        <v>F4</v>
      </c>
      <c r="V98" s="3" t="s">
        <v>1</v>
      </c>
      <c r="W98" s="233"/>
      <c r="X98" s="233"/>
      <c r="Y98" s="234"/>
      <c r="Z98" s="84" t="str">
        <f t="shared" si="44"/>
        <v>42</v>
      </c>
      <c r="AA98" s="11" t="s">
        <v>5</v>
      </c>
      <c r="AC98" s="41">
        <v>500</v>
      </c>
    </row>
    <row r="99" spans="1:29" outlineLevel="1" x14ac:dyDescent="0.25">
      <c r="A99" s="357">
        <v>3</v>
      </c>
      <c r="C99" s="55" t="str">
        <f t="shared" si="45"/>
        <v>0x00 0x01 aa 00 08 23 01 11 04 14 01 F4 00 4A 55</v>
      </c>
      <c r="D99" s="362" t="s">
        <v>719</v>
      </c>
      <c r="H99" s="344" t="s">
        <v>823</v>
      </c>
      <c r="I99" s="344" t="s">
        <v>824</v>
      </c>
      <c r="J99" s="10" t="s">
        <v>0</v>
      </c>
      <c r="K99" s="1" t="s">
        <v>1</v>
      </c>
      <c r="L99" s="75" t="str">
        <f t="shared" si="41"/>
        <v>08</v>
      </c>
      <c r="M99" s="2" t="s">
        <v>71</v>
      </c>
      <c r="N99" s="2" t="s">
        <v>4</v>
      </c>
      <c r="O99" s="2" t="s">
        <v>28</v>
      </c>
      <c r="P99" s="398" t="s">
        <v>18</v>
      </c>
      <c r="Q99" s="399"/>
      <c r="R99" s="3" t="s">
        <v>244</v>
      </c>
      <c r="S99" s="3"/>
      <c r="T99" s="3" t="str">
        <f t="shared" si="42"/>
        <v>01</v>
      </c>
      <c r="U99" s="3" t="str">
        <f t="shared" si="43"/>
        <v>F4</v>
      </c>
      <c r="V99" s="3" t="s">
        <v>1</v>
      </c>
      <c r="W99" s="233"/>
      <c r="X99" s="233"/>
      <c r="Y99" s="234"/>
      <c r="Z99" s="84" t="str">
        <f t="shared" si="44"/>
        <v>4A</v>
      </c>
      <c r="AA99" s="11" t="s">
        <v>5</v>
      </c>
      <c r="AC99" s="41">
        <v>500</v>
      </c>
    </row>
    <row r="100" spans="1:29" outlineLevel="1" x14ac:dyDescent="0.25">
      <c r="A100" s="357">
        <v>3</v>
      </c>
      <c r="C100" s="55" t="str">
        <f t="shared" si="45"/>
        <v>0x00 0x01 aa 00 08 23 01 11 05 14 01 F4 00 4B 55</v>
      </c>
      <c r="D100" s="362" t="s">
        <v>720</v>
      </c>
      <c r="H100" s="344" t="s">
        <v>823</v>
      </c>
      <c r="I100" s="344" t="s">
        <v>824</v>
      </c>
      <c r="J100" s="10" t="s">
        <v>0</v>
      </c>
      <c r="K100" s="1" t="s">
        <v>1</v>
      </c>
      <c r="L100" s="75" t="str">
        <f t="shared" si="41"/>
        <v>08</v>
      </c>
      <c r="M100" s="2" t="s">
        <v>71</v>
      </c>
      <c r="N100" s="2" t="s">
        <v>4</v>
      </c>
      <c r="O100" s="2" t="s">
        <v>28</v>
      </c>
      <c r="P100" s="398" t="s">
        <v>122</v>
      </c>
      <c r="Q100" s="398"/>
      <c r="R100" s="3" t="s">
        <v>244</v>
      </c>
      <c r="S100" s="3"/>
      <c r="T100" s="3" t="str">
        <f>LEFT(RIGHT(DEC2HEX(AC100,4),4),2)</f>
        <v>01</v>
      </c>
      <c r="U100" s="3" t="str">
        <f>LEFT(RIGHT(DEC2HEX(AC100,4),2),2)</f>
        <v>F4</v>
      </c>
      <c r="V100" s="3" t="s">
        <v>1</v>
      </c>
      <c r="W100" s="233"/>
      <c r="X100" s="233"/>
      <c r="Y100" s="233"/>
      <c r="Z100" s="84" t="str">
        <f t="shared" si="44"/>
        <v>4B</v>
      </c>
      <c r="AA100" s="11" t="s">
        <v>5</v>
      </c>
      <c r="AC100" s="41">
        <v>500</v>
      </c>
    </row>
    <row r="101" spans="1:29" outlineLevel="1" x14ac:dyDescent="0.25">
      <c r="A101" s="357">
        <v>3</v>
      </c>
      <c r="C101" s="55" t="str">
        <f t="shared" si="45"/>
        <v>0x00 0x01 aa 00 08 23 01 11 06 14 01 F4 00 4C 55</v>
      </c>
      <c r="D101" s="362" t="s">
        <v>721</v>
      </c>
      <c r="H101" s="344" t="s">
        <v>823</v>
      </c>
      <c r="I101" s="344" t="s">
        <v>824</v>
      </c>
      <c r="J101" s="10" t="s">
        <v>0</v>
      </c>
      <c r="K101" s="1" t="s">
        <v>1</v>
      </c>
      <c r="L101" s="75" t="str">
        <f t="shared" si="41"/>
        <v>08</v>
      </c>
      <c r="M101" s="2" t="s">
        <v>71</v>
      </c>
      <c r="N101" s="2" t="s">
        <v>4</v>
      </c>
      <c r="O101" s="2" t="s">
        <v>28</v>
      </c>
      <c r="P101" s="398" t="s">
        <v>123</v>
      </c>
      <c r="Q101" s="398"/>
      <c r="R101" s="3" t="s">
        <v>244</v>
      </c>
      <c r="S101" s="3"/>
      <c r="T101" s="3" t="str">
        <f>LEFT(RIGHT(DEC2HEX(AC101,4),4),2)</f>
        <v>01</v>
      </c>
      <c r="U101" s="3" t="str">
        <f>LEFT(RIGHT(DEC2HEX(AC101,4),2),2)</f>
        <v>F4</v>
      </c>
      <c r="V101" s="3" t="s">
        <v>1</v>
      </c>
      <c r="W101" s="233"/>
      <c r="X101" s="233"/>
      <c r="Y101" s="233"/>
      <c r="Z101" s="84" t="str">
        <f t="shared" si="44"/>
        <v>4C</v>
      </c>
      <c r="AA101" s="11" t="s">
        <v>5</v>
      </c>
      <c r="AC101" s="41">
        <v>500</v>
      </c>
    </row>
    <row r="102" spans="1:29" outlineLevel="1" x14ac:dyDescent="0.25">
      <c r="A102" s="357">
        <v>3</v>
      </c>
      <c r="C102" s="55" t="str">
        <f t="shared" si="45"/>
        <v>0x00 0x01 aa 00 08 23 01 11 07 14 01 F4 00 4D 55</v>
      </c>
      <c r="D102" s="362" t="s">
        <v>722</v>
      </c>
      <c r="H102" s="344" t="s">
        <v>823</v>
      </c>
      <c r="I102" s="344" t="s">
        <v>824</v>
      </c>
      <c r="J102" s="10" t="s">
        <v>0</v>
      </c>
      <c r="K102" s="1" t="s">
        <v>1</v>
      </c>
      <c r="L102" s="75" t="str">
        <f t="shared" si="41"/>
        <v>08</v>
      </c>
      <c r="M102" s="2" t="s">
        <v>71</v>
      </c>
      <c r="N102" s="2" t="s">
        <v>4</v>
      </c>
      <c r="O102" s="2" t="s">
        <v>28</v>
      </c>
      <c r="P102" s="398" t="s">
        <v>842</v>
      </c>
      <c r="Q102" s="398"/>
      <c r="R102" s="3" t="s">
        <v>244</v>
      </c>
      <c r="S102" s="3"/>
      <c r="T102" s="3" t="str">
        <f>LEFT(RIGHT(DEC2HEX(AC102,4),4),2)</f>
        <v>01</v>
      </c>
      <c r="U102" s="3" t="str">
        <f>LEFT(RIGHT(DEC2HEX(AC102,4),2),2)</f>
        <v>F4</v>
      </c>
      <c r="V102" s="3" t="s">
        <v>1</v>
      </c>
      <c r="W102" s="233"/>
      <c r="X102" s="233"/>
      <c r="Y102" s="233"/>
      <c r="Z102" s="84" t="str">
        <f t="shared" si="44"/>
        <v>4D</v>
      </c>
      <c r="AA102" s="11" t="s">
        <v>5</v>
      </c>
      <c r="AC102" s="41">
        <v>500</v>
      </c>
    </row>
    <row r="104" spans="1:29" x14ac:dyDescent="0.25">
      <c r="A104" s="338">
        <v>1</v>
      </c>
      <c r="B104" s="338"/>
      <c r="C104" s="338"/>
      <c r="D104" s="338" t="s">
        <v>859</v>
      </c>
      <c r="J104" s="388" t="s">
        <v>275</v>
      </c>
      <c r="K104" s="388"/>
      <c r="L104" s="388"/>
      <c r="M104" s="388"/>
      <c r="N104" s="388"/>
      <c r="O104" s="388"/>
      <c r="P104" s="388"/>
      <c r="Q104" s="388"/>
      <c r="R104" s="388"/>
      <c r="S104" s="388"/>
      <c r="T104" s="388"/>
      <c r="U104" s="388"/>
      <c r="V104" s="388"/>
      <c r="W104" s="388"/>
      <c r="X104" s="388"/>
      <c r="Y104" s="388"/>
      <c r="Z104" s="388"/>
      <c r="AA104" s="388"/>
    </row>
    <row r="105" spans="1:29" ht="16.8" hidden="1" outlineLevel="1" x14ac:dyDescent="0.25">
      <c r="A105" s="346">
        <v>2</v>
      </c>
      <c r="C105" s="368" t="s">
        <v>266</v>
      </c>
      <c r="D105" s="97" t="s">
        <v>252</v>
      </c>
      <c r="J105" s="86" t="s">
        <v>77</v>
      </c>
      <c r="K105" s="369" t="s">
        <v>78</v>
      </c>
      <c r="L105" s="369" t="s">
        <v>10</v>
      </c>
      <c r="M105" s="369" t="s">
        <v>79</v>
      </c>
      <c r="N105" s="369" t="s">
        <v>80</v>
      </c>
      <c r="O105" s="369" t="s">
        <v>11</v>
      </c>
      <c r="P105" s="404" t="s">
        <v>532</v>
      </c>
      <c r="Q105" s="405"/>
      <c r="R105" s="405"/>
      <c r="S105" s="405"/>
      <c r="T105" s="406"/>
      <c r="U105" s="404" t="s">
        <v>533</v>
      </c>
      <c r="V105" s="405"/>
      <c r="W105" s="405"/>
      <c r="X105" s="405"/>
      <c r="Y105" s="406"/>
      <c r="Z105" s="83" t="s">
        <v>81</v>
      </c>
      <c r="AA105" s="83" t="s">
        <v>82</v>
      </c>
      <c r="AB105" s="191" t="s">
        <v>524</v>
      </c>
      <c r="AC105" s="191" t="s">
        <v>523</v>
      </c>
    </row>
    <row r="106" spans="1:29" hidden="1" outlineLevel="1" x14ac:dyDescent="0.25">
      <c r="A106" s="346">
        <v>2</v>
      </c>
      <c r="C106" s="55" t="str">
        <f t="shared" ref="C106:C132" si="46">IF(ISBLANK(H106),,H106&amp;" ")&amp;IF(ISBLANK(I106),,I106&amp;" ")&amp;IF(ISBLANK(J106),,J106&amp;" ")&amp;IF(ISBLANK(K106),,K106&amp;" ")&amp;IF(ISBLANK(L106),,L106&amp;" ")&amp;IF(ISBLANK(M106),,M106&amp;" ")&amp;IF(ISBLANK(N106),,N106&amp;" ")&amp;IF(ISBLANK(O106),,O106&amp;" ")&amp;IF(ISBLANK(P106),,P106&amp;" ")&amp;IF(ISBLANK(Q106),,Q106&amp;" ")&amp;IF(ISBLANK(R106),,R106&amp;" ")&amp;IF(ISBLANK(S106),,S106&amp;" ")&amp;IF(ISBLANK(T106),,T106&amp;" ")&amp;IF(ISBLANK(U106),,U106&amp;" ")&amp;IF(ISBLANK(V106),,V106&amp;" ")&amp;IF(ISBLANK(W106),,W106&amp;" ")&amp;IF(ISBLANK(X106),,X106&amp;" ")&amp;IF(ISBLANK(Y106),,Y106&amp;" ")&amp;IF(ISBLANK(Z106),,Z106&amp;" ")&amp;IF(ISBLANK(AA106),,AA106)</f>
        <v>0x00 0x01 aa 00 05 61 00 00 01 00 67 55</v>
      </c>
      <c r="D106" s="372" t="s">
        <v>864</v>
      </c>
      <c r="H106" s="344" t="s">
        <v>823</v>
      </c>
      <c r="I106" s="344" t="s">
        <v>824</v>
      </c>
      <c r="J106" s="84" t="s">
        <v>0</v>
      </c>
      <c r="K106" s="75" t="s">
        <v>1</v>
      </c>
      <c r="L106" s="75" t="str">
        <f>DEC2HEX( COUNTA(M106:Y106),2)</f>
        <v>05</v>
      </c>
      <c r="M106" s="76" t="s">
        <v>410</v>
      </c>
      <c r="N106" s="76" t="s">
        <v>1</v>
      </c>
      <c r="O106" s="76" t="s">
        <v>1</v>
      </c>
      <c r="P106" s="407" t="str">
        <f>RIGHT(DEC2HEX(AC106,4),2)</f>
        <v>01</v>
      </c>
      <c r="Q106" s="407"/>
      <c r="R106" s="407"/>
      <c r="S106" s="407"/>
      <c r="T106" s="407"/>
      <c r="U106" s="407" t="str">
        <f>RIGHT(DEC2HEX(AD106,4),2)</f>
        <v>00</v>
      </c>
      <c r="V106" s="407"/>
      <c r="W106" s="407"/>
      <c r="X106" s="407"/>
      <c r="Y106" s="407"/>
      <c r="Z106" s="84" t="str">
        <f>DEC2HEX(MOD(HEX2DEC(K106)+HEX2DEC(L106)+HEX2DEC(M106)+HEX2DEC(N106)+HEX2DEC(O106)+HEX2DEC(P106)+HEX2DEC(Q106)+HEX2DEC(R106)+HEX2DEC(S106)+HEX2DEC(T106)+HEX2DEC(U106)+HEX2DEC(V106)+HEX2DEC(Y106),256),2)</f>
        <v>67</v>
      </c>
      <c r="AA106" s="84" t="s">
        <v>5</v>
      </c>
      <c r="AB106" s="116">
        <v>2</v>
      </c>
      <c r="AC106" s="116">
        <v>1</v>
      </c>
    </row>
    <row r="107" spans="1:29" ht="16.8" hidden="1" outlineLevel="1" x14ac:dyDescent="0.25">
      <c r="A107" s="346">
        <v>2</v>
      </c>
      <c r="D107" s="372" t="s">
        <v>252</v>
      </c>
      <c r="H107" s="344"/>
      <c r="I107" s="344"/>
      <c r="J107" s="86" t="s">
        <v>77</v>
      </c>
      <c r="K107" s="369" t="s">
        <v>78</v>
      </c>
      <c r="L107" s="369" t="s">
        <v>10</v>
      </c>
      <c r="M107" s="369" t="s">
        <v>79</v>
      </c>
      <c r="N107" s="369" t="s">
        <v>80</v>
      </c>
      <c r="O107" s="369" t="s">
        <v>11</v>
      </c>
      <c r="P107" s="193"/>
      <c r="Q107" s="193"/>
      <c r="R107" s="193"/>
      <c r="S107" s="193" t="s">
        <v>529</v>
      </c>
      <c r="T107" s="404" t="s">
        <v>395</v>
      </c>
      <c r="U107" s="406"/>
      <c r="V107" s="369" t="s">
        <v>75</v>
      </c>
      <c r="W107" s="193"/>
      <c r="X107" s="193"/>
      <c r="Y107" s="193"/>
      <c r="Z107" s="83" t="s">
        <v>81</v>
      </c>
      <c r="AA107" s="83" t="s">
        <v>82</v>
      </c>
      <c r="AB107" s="23" t="s">
        <v>526</v>
      </c>
      <c r="AC107" s="23" t="s">
        <v>527</v>
      </c>
    </row>
    <row r="108" spans="1:29" hidden="1" outlineLevel="1" x14ac:dyDescent="0.25">
      <c r="A108" s="346">
        <v>2</v>
      </c>
      <c r="C108" s="55" t="str">
        <f t="shared" si="46"/>
        <v>0x00 0x01 aa 00 07 61 00 12 10 03 E8 01 76 55</v>
      </c>
      <c r="D108" s="372" t="s">
        <v>860</v>
      </c>
      <c r="H108" s="344" t="s">
        <v>823</v>
      </c>
      <c r="I108" s="344" t="s">
        <v>824</v>
      </c>
      <c r="J108" s="84" t="s">
        <v>0</v>
      </c>
      <c r="K108" s="75" t="s">
        <v>1</v>
      </c>
      <c r="L108" s="75" t="str">
        <f>DEC2HEX(COUNTA(M108:Y108),2)</f>
        <v>07</v>
      </c>
      <c r="M108" s="76" t="s">
        <v>410</v>
      </c>
      <c r="N108" s="76" t="s">
        <v>1</v>
      </c>
      <c r="O108" s="76" t="s">
        <v>17</v>
      </c>
      <c r="P108" s="192"/>
      <c r="Q108" s="192"/>
      <c r="R108" s="192"/>
      <c r="S108" s="192" t="str">
        <f>DEC2HEX(AB108,2)</f>
        <v>10</v>
      </c>
      <c r="T108" s="192" t="str">
        <f>LEFT(DEC2HEX(AC108,4),2)</f>
        <v>03</v>
      </c>
      <c r="U108" s="192" t="str">
        <f>RIGHT(DEC2HEX(AC108,4),2)</f>
        <v>E8</v>
      </c>
      <c r="V108" s="192" t="s">
        <v>4</v>
      </c>
      <c r="W108" s="192"/>
      <c r="X108" s="192"/>
      <c r="Y108" s="192"/>
      <c r="Z108" s="84" t="str">
        <f>DEC2HEX(MOD(HEX2DEC(K108)+HEX2DEC(L108)+HEX2DEC(M108)+HEX2DEC(N108)+HEX2DEC(O108)+HEX2DEC(P108)+HEX2DEC(Q108)+HEX2DEC(R108)+HEX2DEC(S108)+HEX2DEC(T108)+HEX2DEC(U108)+HEX2DEC(V108)+HEX2DEC(Y108),256),2)</f>
        <v>76</v>
      </c>
      <c r="AA108" s="84" t="s">
        <v>5</v>
      </c>
      <c r="AB108" s="116">
        <v>16</v>
      </c>
      <c r="AC108" s="116">
        <v>1000</v>
      </c>
    </row>
    <row r="109" spans="1:29" hidden="1" outlineLevel="1" x14ac:dyDescent="0.25">
      <c r="A109" s="346">
        <v>2</v>
      </c>
      <c r="C109" s="55" t="str">
        <f t="shared" si="46"/>
        <v>0x00 0x01 aa 00 07 61 00 13 10 03 E8 01 77 55</v>
      </c>
      <c r="D109" s="372" t="s">
        <v>861</v>
      </c>
      <c r="H109" s="344" t="s">
        <v>823</v>
      </c>
      <c r="I109" s="344" t="s">
        <v>824</v>
      </c>
      <c r="J109" s="84" t="s">
        <v>0</v>
      </c>
      <c r="K109" s="75" t="s">
        <v>1</v>
      </c>
      <c r="L109" s="75" t="str">
        <f>DEC2HEX(COUNTA(M109:Y109),2)</f>
        <v>07</v>
      </c>
      <c r="M109" s="76" t="s">
        <v>410</v>
      </c>
      <c r="N109" s="76" t="s">
        <v>1</v>
      </c>
      <c r="O109" s="76" t="s">
        <v>377</v>
      </c>
      <c r="P109" s="192"/>
      <c r="Q109" s="192"/>
      <c r="R109" s="192"/>
      <c r="S109" s="192" t="str">
        <f>DEC2HEX(AB109,2)</f>
        <v>10</v>
      </c>
      <c r="T109" s="192" t="str">
        <f>LEFT(DEC2HEX(AC109,4),2)</f>
        <v>03</v>
      </c>
      <c r="U109" s="192" t="str">
        <f>RIGHT(DEC2HEX(AC109,4),2)</f>
        <v>E8</v>
      </c>
      <c r="V109" s="192" t="s">
        <v>4</v>
      </c>
      <c r="W109" s="192"/>
      <c r="X109" s="192"/>
      <c r="Y109" s="192"/>
      <c r="Z109" s="84" t="str">
        <f>DEC2HEX(MOD(HEX2DEC(K109)+HEX2DEC(L109)+HEX2DEC(M109)+HEX2DEC(N109)+HEX2DEC(O109)+HEX2DEC(P109)+HEX2DEC(Q109)+HEX2DEC(R109)+HEX2DEC(S109)+HEX2DEC(T109)+HEX2DEC(U109)+HEX2DEC(V109)+HEX2DEC(Y109),256),2)</f>
        <v>77</v>
      </c>
      <c r="AA109" s="84" t="s">
        <v>5</v>
      </c>
      <c r="AB109" s="116">
        <v>16</v>
      </c>
      <c r="AC109" s="116">
        <v>1000</v>
      </c>
    </row>
    <row r="110" spans="1:29" ht="17.399999999999999" hidden="1" outlineLevel="1" thickBot="1" x14ac:dyDescent="0.3">
      <c r="A110" s="346">
        <v>2</v>
      </c>
      <c r="D110" s="372" t="s">
        <v>252</v>
      </c>
      <c r="H110" s="344"/>
      <c r="I110" s="344"/>
      <c r="J110" s="194" t="s">
        <v>77</v>
      </c>
      <c r="K110" s="374" t="s">
        <v>78</v>
      </c>
      <c r="L110" s="374" t="s">
        <v>10</v>
      </c>
      <c r="M110" s="374" t="s">
        <v>79</v>
      </c>
      <c r="N110" s="374" t="s">
        <v>80</v>
      </c>
      <c r="O110" s="374" t="s">
        <v>11</v>
      </c>
      <c r="P110" s="419" t="s">
        <v>242</v>
      </c>
      <c r="Q110" s="420"/>
      <c r="R110" s="421"/>
      <c r="S110" s="195" t="s">
        <v>529</v>
      </c>
      <c r="T110" s="419" t="s">
        <v>395</v>
      </c>
      <c r="U110" s="421"/>
      <c r="V110" s="374" t="s">
        <v>75</v>
      </c>
      <c r="W110" s="195"/>
      <c r="X110" s="195"/>
      <c r="Y110" s="195"/>
      <c r="Z110" s="196" t="s">
        <v>81</v>
      </c>
      <c r="AA110" s="196" t="s">
        <v>82</v>
      </c>
      <c r="AB110" s="198" t="s">
        <v>526</v>
      </c>
      <c r="AC110" s="198" t="s">
        <v>527</v>
      </c>
    </row>
    <row r="111" spans="1:29" ht="15.6" hidden="1" outlineLevel="1" x14ac:dyDescent="0.25">
      <c r="A111" s="346">
        <v>2</v>
      </c>
      <c r="C111" s="55" t="str">
        <f t="shared" si="46"/>
        <v>0x00 0x01 aa 00 08 61 00 14 01 0F 03 E8 01 79 55</v>
      </c>
      <c r="D111" s="372" t="s">
        <v>865</v>
      </c>
      <c r="H111" s="344" t="s">
        <v>823</v>
      </c>
      <c r="I111" s="344" t="s">
        <v>824</v>
      </c>
      <c r="J111" s="199" t="s">
        <v>0</v>
      </c>
      <c r="K111" s="200" t="s">
        <v>1</v>
      </c>
      <c r="L111" s="200" t="str">
        <f>DEC2HEX(COUNTA(M111:Y111),2)</f>
        <v>08</v>
      </c>
      <c r="M111" s="201" t="s">
        <v>410</v>
      </c>
      <c r="N111" s="201" t="s">
        <v>1</v>
      </c>
      <c r="O111" s="201" t="s">
        <v>244</v>
      </c>
      <c r="P111" s="416" t="s">
        <v>4</v>
      </c>
      <c r="Q111" s="417"/>
      <c r="R111" s="418"/>
      <c r="S111" s="192" t="str">
        <f>DEC2HEX(AB111,2)</f>
        <v>0F</v>
      </c>
      <c r="T111" s="192" t="str">
        <f>LEFT(DEC2HEX(AC111,4),2)</f>
        <v>03</v>
      </c>
      <c r="U111" s="192" t="str">
        <f>RIGHT(DEC2HEX(AC111,4),2)</f>
        <v>E8</v>
      </c>
      <c r="V111" s="202" t="s">
        <v>4</v>
      </c>
      <c r="W111" s="202"/>
      <c r="X111" s="202"/>
      <c r="Y111" s="202"/>
      <c r="Z111" s="203" t="str">
        <f>DEC2HEX(MOD(HEX2DEC(K111)+HEX2DEC(L111)+HEX2DEC(M111)+HEX2DEC(N111)+HEX2DEC(O111)+HEX2DEC(P111)+HEX2DEC(Q111)+HEX2DEC(R111)+HEX2DEC(S111)+HEX2DEC(T111)+HEX2DEC(U111)+HEX2DEC(V111)+HEX2DEC(Y111),256),2)</f>
        <v>79</v>
      </c>
      <c r="AA111" s="203" t="s">
        <v>5</v>
      </c>
      <c r="AB111" s="116">
        <v>15</v>
      </c>
      <c r="AC111" s="205">
        <v>1000</v>
      </c>
    </row>
    <row r="112" spans="1:29" ht="15.6" hidden="1" outlineLevel="1" x14ac:dyDescent="0.25">
      <c r="A112" s="346">
        <v>2</v>
      </c>
      <c r="C112" s="55" t="str">
        <f t="shared" si="46"/>
        <v>0x00 0x01 aa 00 08 61 00 14 02 0F 03 E8 01 7A 55</v>
      </c>
      <c r="D112" s="372" t="s">
        <v>862</v>
      </c>
      <c r="H112" s="344" t="s">
        <v>823</v>
      </c>
      <c r="I112" s="344" t="s">
        <v>824</v>
      </c>
      <c r="J112" s="206" t="s">
        <v>0</v>
      </c>
      <c r="K112" s="75" t="s">
        <v>1</v>
      </c>
      <c r="L112" s="75" t="str">
        <f t="shared" ref="L112:L121" si="47">DEC2HEX(COUNTA(M112:Y112),2)</f>
        <v>08</v>
      </c>
      <c r="M112" s="76" t="s">
        <v>410</v>
      </c>
      <c r="N112" s="76" t="s">
        <v>1</v>
      </c>
      <c r="O112" s="76" t="s">
        <v>244</v>
      </c>
      <c r="P112" s="408" t="s">
        <v>15</v>
      </c>
      <c r="Q112" s="409"/>
      <c r="R112" s="410"/>
      <c r="S112" s="192" t="str">
        <f>DEC2HEX(AB112,2)</f>
        <v>0F</v>
      </c>
      <c r="T112" s="192" t="str">
        <f>LEFT(DEC2HEX(AC112,4),2)</f>
        <v>03</v>
      </c>
      <c r="U112" s="192" t="str">
        <f>RIGHT(DEC2HEX(AC112,4),2)</f>
        <v>E8</v>
      </c>
      <c r="V112" s="192" t="s">
        <v>4</v>
      </c>
      <c r="W112" s="192"/>
      <c r="X112" s="192"/>
      <c r="Y112" s="192"/>
      <c r="Z112" s="84" t="str">
        <f t="shared" ref="Z112:Z121" si="48">DEC2HEX(MOD(HEX2DEC(K112)+HEX2DEC(L112)+HEX2DEC(M112)+HEX2DEC(N112)+HEX2DEC(O112)+HEX2DEC(P112)+HEX2DEC(Q112)+HEX2DEC(R112)+HEX2DEC(S112)+HEX2DEC(T112)+HEX2DEC(U112)+HEX2DEC(V112)+HEX2DEC(Y112),256),2)</f>
        <v>7A</v>
      </c>
      <c r="AA112" s="84" t="s">
        <v>5</v>
      </c>
      <c r="AB112" s="116">
        <v>15</v>
      </c>
      <c r="AC112" s="116">
        <v>1000</v>
      </c>
    </row>
    <row r="113" spans="1:29" ht="15.6" hidden="1" outlineLevel="1" x14ac:dyDescent="0.25">
      <c r="A113" s="346">
        <v>2</v>
      </c>
      <c r="C113" s="55" t="str">
        <f t="shared" si="46"/>
        <v>0x00 0x01 aa 00 08 61 00 14 03 0F 03 E8 01 7B 55</v>
      </c>
      <c r="D113" s="372" t="s">
        <v>862</v>
      </c>
      <c r="H113" s="344" t="s">
        <v>823</v>
      </c>
      <c r="I113" s="344" t="s">
        <v>824</v>
      </c>
      <c r="J113" s="206" t="s">
        <v>0</v>
      </c>
      <c r="K113" s="75" t="s">
        <v>1</v>
      </c>
      <c r="L113" s="75" t="str">
        <f t="shared" si="47"/>
        <v>08</v>
      </c>
      <c r="M113" s="76" t="s">
        <v>410</v>
      </c>
      <c r="N113" s="76" t="s">
        <v>1</v>
      </c>
      <c r="O113" s="76" t="s">
        <v>244</v>
      </c>
      <c r="P113" s="408" t="s">
        <v>13</v>
      </c>
      <c r="Q113" s="409"/>
      <c r="R113" s="410"/>
      <c r="S113" s="192" t="str">
        <f t="shared" ref="S113:S121" si="49">DEC2HEX(AB113,2)</f>
        <v>0F</v>
      </c>
      <c r="T113" s="192" t="str">
        <f t="shared" ref="T113:T121" si="50">LEFT(DEC2HEX(AC113,4),2)</f>
        <v>03</v>
      </c>
      <c r="U113" s="192" t="str">
        <f t="shared" ref="U113:U121" si="51">RIGHT(DEC2HEX(AC113,4),2)</f>
        <v>E8</v>
      </c>
      <c r="V113" s="192" t="s">
        <v>4</v>
      </c>
      <c r="W113" s="192"/>
      <c r="X113" s="192"/>
      <c r="Y113" s="192"/>
      <c r="Z113" s="84" t="str">
        <f t="shared" si="48"/>
        <v>7B</v>
      </c>
      <c r="AA113" s="84" t="s">
        <v>5</v>
      </c>
      <c r="AB113" s="116">
        <v>15</v>
      </c>
      <c r="AC113" s="116">
        <v>1000</v>
      </c>
    </row>
    <row r="114" spans="1:29" ht="15.6" hidden="1" outlineLevel="1" x14ac:dyDescent="0.25">
      <c r="A114" s="346">
        <v>2</v>
      </c>
      <c r="C114" s="55" t="str">
        <f t="shared" si="46"/>
        <v>0x00 0x01 aa 00 08 61 00 14 04 0F 03 E8 01 7C 55</v>
      </c>
      <c r="D114" s="372" t="s">
        <v>865</v>
      </c>
      <c r="H114" s="344" t="s">
        <v>823</v>
      </c>
      <c r="I114" s="344" t="s">
        <v>824</v>
      </c>
      <c r="J114" s="206" t="s">
        <v>0</v>
      </c>
      <c r="K114" s="75" t="s">
        <v>1</v>
      </c>
      <c r="L114" s="75" t="str">
        <f t="shared" si="47"/>
        <v>08</v>
      </c>
      <c r="M114" s="76" t="s">
        <v>410</v>
      </c>
      <c r="N114" s="76" t="s">
        <v>1</v>
      </c>
      <c r="O114" s="76" t="s">
        <v>244</v>
      </c>
      <c r="P114" s="408" t="s">
        <v>18</v>
      </c>
      <c r="Q114" s="409"/>
      <c r="R114" s="410"/>
      <c r="S114" s="192" t="str">
        <f t="shared" si="49"/>
        <v>0F</v>
      </c>
      <c r="T114" s="192" t="str">
        <f t="shared" si="50"/>
        <v>03</v>
      </c>
      <c r="U114" s="192" t="str">
        <f t="shared" si="51"/>
        <v>E8</v>
      </c>
      <c r="V114" s="192" t="s">
        <v>4</v>
      </c>
      <c r="W114" s="192"/>
      <c r="X114" s="192"/>
      <c r="Y114" s="192"/>
      <c r="Z114" s="84" t="str">
        <f t="shared" si="48"/>
        <v>7C</v>
      </c>
      <c r="AA114" s="84" t="s">
        <v>5</v>
      </c>
      <c r="AB114" s="116">
        <v>15</v>
      </c>
      <c r="AC114" s="116">
        <v>1000</v>
      </c>
    </row>
    <row r="115" spans="1:29" ht="15.6" hidden="1" outlineLevel="1" x14ac:dyDescent="0.25">
      <c r="A115" s="346">
        <v>2</v>
      </c>
      <c r="C115" s="55" t="str">
        <f t="shared" si="46"/>
        <v>0x00 0x01 aa 00 08 61 00 14 05 0F 03 E8 01 7D 55</v>
      </c>
      <c r="D115" s="372" t="s">
        <v>862</v>
      </c>
      <c r="H115" s="344" t="s">
        <v>823</v>
      </c>
      <c r="I115" s="344" t="s">
        <v>824</v>
      </c>
      <c r="J115" s="206" t="s">
        <v>0</v>
      </c>
      <c r="K115" s="75" t="s">
        <v>1</v>
      </c>
      <c r="L115" s="75" t="str">
        <f t="shared" si="47"/>
        <v>08</v>
      </c>
      <c r="M115" s="76" t="s">
        <v>410</v>
      </c>
      <c r="N115" s="76" t="s">
        <v>1</v>
      </c>
      <c r="O115" s="76" t="s">
        <v>244</v>
      </c>
      <c r="P115" s="408" t="s">
        <v>122</v>
      </c>
      <c r="Q115" s="409"/>
      <c r="R115" s="410"/>
      <c r="S115" s="192" t="str">
        <f t="shared" si="49"/>
        <v>0F</v>
      </c>
      <c r="T115" s="192" t="str">
        <f t="shared" si="50"/>
        <v>03</v>
      </c>
      <c r="U115" s="192" t="str">
        <f t="shared" si="51"/>
        <v>E8</v>
      </c>
      <c r="V115" s="192" t="s">
        <v>4</v>
      </c>
      <c r="W115" s="192"/>
      <c r="X115" s="192"/>
      <c r="Y115" s="192"/>
      <c r="Z115" s="84" t="str">
        <f t="shared" si="48"/>
        <v>7D</v>
      </c>
      <c r="AA115" s="84" t="s">
        <v>5</v>
      </c>
      <c r="AB115" s="116">
        <v>15</v>
      </c>
      <c r="AC115" s="116">
        <v>1000</v>
      </c>
    </row>
    <row r="116" spans="1:29" ht="15.6" hidden="1" outlineLevel="1" x14ac:dyDescent="0.25">
      <c r="A116" s="346">
        <v>2</v>
      </c>
      <c r="C116" s="55" t="str">
        <f t="shared" si="46"/>
        <v>0x00 0x01 aa 00 08 61 00 14 06 0F 03 E8 01 7E 55</v>
      </c>
      <c r="D116" s="372" t="s">
        <v>862</v>
      </c>
      <c r="H116" s="344" t="s">
        <v>823</v>
      </c>
      <c r="I116" s="344" t="s">
        <v>824</v>
      </c>
      <c r="J116" s="206" t="s">
        <v>0</v>
      </c>
      <c r="K116" s="75" t="s">
        <v>1</v>
      </c>
      <c r="L116" s="75" t="str">
        <f t="shared" si="47"/>
        <v>08</v>
      </c>
      <c r="M116" s="76" t="s">
        <v>410</v>
      </c>
      <c r="N116" s="76" t="s">
        <v>1</v>
      </c>
      <c r="O116" s="76" t="s">
        <v>244</v>
      </c>
      <c r="P116" s="408" t="s">
        <v>123</v>
      </c>
      <c r="Q116" s="409"/>
      <c r="R116" s="410"/>
      <c r="S116" s="192" t="str">
        <f t="shared" si="49"/>
        <v>0F</v>
      </c>
      <c r="T116" s="192" t="str">
        <f t="shared" si="50"/>
        <v>03</v>
      </c>
      <c r="U116" s="192" t="str">
        <f t="shared" si="51"/>
        <v>E8</v>
      </c>
      <c r="V116" s="192" t="s">
        <v>4</v>
      </c>
      <c r="W116" s="192"/>
      <c r="X116" s="192"/>
      <c r="Y116" s="192"/>
      <c r="Z116" s="84" t="str">
        <f t="shared" si="48"/>
        <v>7E</v>
      </c>
      <c r="AA116" s="84" t="s">
        <v>5</v>
      </c>
      <c r="AB116" s="116">
        <v>15</v>
      </c>
      <c r="AC116" s="116">
        <v>1000</v>
      </c>
    </row>
    <row r="117" spans="1:29" ht="15.6" hidden="1" outlineLevel="1" x14ac:dyDescent="0.25">
      <c r="A117" s="346">
        <v>2</v>
      </c>
      <c r="C117" s="55" t="str">
        <f t="shared" si="46"/>
        <v>0x00 0x01 aa 00 08 61 00 14 07 0F 03 E8 01 7F 55</v>
      </c>
      <c r="D117" s="372" t="s">
        <v>862</v>
      </c>
      <c r="H117" s="344" t="s">
        <v>823</v>
      </c>
      <c r="I117" s="344" t="s">
        <v>824</v>
      </c>
      <c r="J117" s="206" t="s">
        <v>0</v>
      </c>
      <c r="K117" s="75" t="s">
        <v>1</v>
      </c>
      <c r="L117" s="75" t="str">
        <f t="shared" si="47"/>
        <v>08</v>
      </c>
      <c r="M117" s="76" t="s">
        <v>410</v>
      </c>
      <c r="N117" s="76" t="s">
        <v>1</v>
      </c>
      <c r="O117" s="76" t="s">
        <v>244</v>
      </c>
      <c r="P117" s="408" t="s">
        <v>124</v>
      </c>
      <c r="Q117" s="409"/>
      <c r="R117" s="410"/>
      <c r="S117" s="192" t="str">
        <f t="shared" si="49"/>
        <v>0F</v>
      </c>
      <c r="T117" s="192" t="str">
        <f t="shared" si="50"/>
        <v>03</v>
      </c>
      <c r="U117" s="192" t="str">
        <f t="shared" si="51"/>
        <v>E8</v>
      </c>
      <c r="V117" s="192" t="s">
        <v>4</v>
      </c>
      <c r="W117" s="192"/>
      <c r="X117" s="192"/>
      <c r="Y117" s="192"/>
      <c r="Z117" s="84" t="str">
        <f t="shared" si="48"/>
        <v>7F</v>
      </c>
      <c r="AA117" s="84" t="s">
        <v>5</v>
      </c>
      <c r="AB117" s="116">
        <v>15</v>
      </c>
      <c r="AC117" s="116">
        <v>1000</v>
      </c>
    </row>
    <row r="118" spans="1:29" ht="15.6" hidden="1" outlineLevel="1" x14ac:dyDescent="0.25">
      <c r="A118" s="346">
        <v>2</v>
      </c>
      <c r="C118" s="55" t="str">
        <f t="shared" si="46"/>
        <v>0x00 0x01 aa 00 08 61 00 14 08 0F 03 E8 01 80 55</v>
      </c>
      <c r="D118" s="372" t="s">
        <v>862</v>
      </c>
      <c r="H118" s="344" t="s">
        <v>823</v>
      </c>
      <c r="I118" s="344" t="s">
        <v>824</v>
      </c>
      <c r="J118" s="206" t="s">
        <v>0</v>
      </c>
      <c r="K118" s="75" t="s">
        <v>1</v>
      </c>
      <c r="L118" s="75" t="str">
        <f t="shared" si="47"/>
        <v>08</v>
      </c>
      <c r="M118" s="76" t="s">
        <v>410</v>
      </c>
      <c r="N118" s="76" t="s">
        <v>1</v>
      </c>
      <c r="O118" s="76" t="s">
        <v>244</v>
      </c>
      <c r="P118" s="408" t="s">
        <v>125</v>
      </c>
      <c r="Q118" s="409"/>
      <c r="R118" s="410"/>
      <c r="S118" s="192" t="str">
        <f t="shared" si="49"/>
        <v>0F</v>
      </c>
      <c r="T118" s="192" t="str">
        <f t="shared" si="50"/>
        <v>03</v>
      </c>
      <c r="U118" s="192" t="str">
        <f t="shared" si="51"/>
        <v>E8</v>
      </c>
      <c r="V118" s="192" t="s">
        <v>4</v>
      </c>
      <c r="W118" s="192"/>
      <c r="X118" s="192"/>
      <c r="Y118" s="192"/>
      <c r="Z118" s="84" t="str">
        <f t="shared" si="48"/>
        <v>80</v>
      </c>
      <c r="AA118" s="84" t="s">
        <v>5</v>
      </c>
      <c r="AB118" s="116">
        <v>15</v>
      </c>
      <c r="AC118" s="116">
        <v>1000</v>
      </c>
    </row>
    <row r="119" spans="1:29" ht="15.6" hidden="1" outlineLevel="1" x14ac:dyDescent="0.25">
      <c r="A119" s="346">
        <v>2</v>
      </c>
      <c r="C119" s="55" t="str">
        <f t="shared" si="46"/>
        <v>0x00 0x01 aa 00 08 61 00 14 09 0F 03 E8 01 81 55</v>
      </c>
      <c r="D119" s="372" t="s">
        <v>862</v>
      </c>
      <c r="H119" s="344" t="s">
        <v>823</v>
      </c>
      <c r="I119" s="344" t="s">
        <v>824</v>
      </c>
      <c r="J119" s="206" t="s">
        <v>0</v>
      </c>
      <c r="K119" s="75" t="s">
        <v>1</v>
      </c>
      <c r="L119" s="75" t="str">
        <f t="shared" si="47"/>
        <v>08</v>
      </c>
      <c r="M119" s="76" t="s">
        <v>410</v>
      </c>
      <c r="N119" s="76" t="s">
        <v>1</v>
      </c>
      <c r="O119" s="76" t="s">
        <v>244</v>
      </c>
      <c r="P119" s="408" t="s">
        <v>126</v>
      </c>
      <c r="Q119" s="409"/>
      <c r="R119" s="410"/>
      <c r="S119" s="192" t="str">
        <f t="shared" si="49"/>
        <v>0F</v>
      </c>
      <c r="T119" s="192" t="str">
        <f t="shared" si="50"/>
        <v>03</v>
      </c>
      <c r="U119" s="192" t="str">
        <f t="shared" si="51"/>
        <v>E8</v>
      </c>
      <c r="V119" s="192" t="s">
        <v>4</v>
      </c>
      <c r="W119" s="192"/>
      <c r="X119" s="192"/>
      <c r="Y119" s="192"/>
      <c r="Z119" s="84" t="str">
        <f t="shared" si="48"/>
        <v>81</v>
      </c>
      <c r="AA119" s="84" t="s">
        <v>5</v>
      </c>
      <c r="AB119" s="116">
        <v>15</v>
      </c>
      <c r="AC119" s="116">
        <v>1000</v>
      </c>
    </row>
    <row r="120" spans="1:29" ht="15.6" hidden="1" outlineLevel="1" x14ac:dyDescent="0.25">
      <c r="A120" s="346">
        <v>2</v>
      </c>
      <c r="C120" s="55" t="str">
        <f t="shared" si="46"/>
        <v>0x00 0x01 aa 00 08 61 00 14 0A 0F 03 E8 01 82 55</v>
      </c>
      <c r="D120" s="372" t="s">
        <v>862</v>
      </c>
      <c r="H120" s="344" t="s">
        <v>823</v>
      </c>
      <c r="I120" s="344" t="s">
        <v>824</v>
      </c>
      <c r="J120" s="206" t="s">
        <v>0</v>
      </c>
      <c r="K120" s="75" t="s">
        <v>1</v>
      </c>
      <c r="L120" s="75" t="str">
        <f t="shared" si="47"/>
        <v>08</v>
      </c>
      <c r="M120" s="76" t="s">
        <v>410</v>
      </c>
      <c r="N120" s="76" t="s">
        <v>1</v>
      </c>
      <c r="O120" s="76" t="s">
        <v>244</v>
      </c>
      <c r="P120" s="408" t="s">
        <v>37</v>
      </c>
      <c r="Q120" s="409"/>
      <c r="R120" s="410"/>
      <c r="S120" s="192" t="str">
        <f t="shared" si="49"/>
        <v>0F</v>
      </c>
      <c r="T120" s="192" t="str">
        <f t="shared" si="50"/>
        <v>03</v>
      </c>
      <c r="U120" s="192" t="str">
        <f t="shared" si="51"/>
        <v>E8</v>
      </c>
      <c r="V120" s="192" t="s">
        <v>4</v>
      </c>
      <c r="W120" s="192"/>
      <c r="X120" s="192"/>
      <c r="Y120" s="192"/>
      <c r="Z120" s="84" t="str">
        <f t="shared" si="48"/>
        <v>82</v>
      </c>
      <c r="AA120" s="84" t="s">
        <v>5</v>
      </c>
      <c r="AB120" s="116">
        <v>15</v>
      </c>
      <c r="AC120" s="116">
        <v>1000</v>
      </c>
    </row>
    <row r="121" spans="1:29" ht="15.6" hidden="1" outlineLevel="1" x14ac:dyDescent="0.25">
      <c r="A121" s="346">
        <v>2</v>
      </c>
      <c r="C121" s="55" t="str">
        <f t="shared" si="46"/>
        <v>0x00 0x01 aa 00 08 61 00 14 0B 0F 03 E8 01 83 55</v>
      </c>
      <c r="D121" s="372" t="s">
        <v>862</v>
      </c>
      <c r="H121" s="344" t="s">
        <v>823</v>
      </c>
      <c r="I121" s="344" t="s">
        <v>824</v>
      </c>
      <c r="J121" s="206" t="s">
        <v>0</v>
      </c>
      <c r="K121" s="75" t="s">
        <v>1</v>
      </c>
      <c r="L121" s="75" t="str">
        <f t="shared" si="47"/>
        <v>08</v>
      </c>
      <c r="M121" s="76" t="s">
        <v>410</v>
      </c>
      <c r="N121" s="76" t="s">
        <v>1</v>
      </c>
      <c r="O121" s="76" t="s">
        <v>244</v>
      </c>
      <c r="P121" s="408" t="s">
        <v>36</v>
      </c>
      <c r="Q121" s="409"/>
      <c r="R121" s="410"/>
      <c r="S121" s="192" t="str">
        <f t="shared" si="49"/>
        <v>0F</v>
      </c>
      <c r="T121" s="192" t="str">
        <f t="shared" si="50"/>
        <v>03</v>
      </c>
      <c r="U121" s="192" t="str">
        <f t="shared" si="51"/>
        <v>E8</v>
      </c>
      <c r="V121" s="192" t="s">
        <v>4</v>
      </c>
      <c r="W121" s="192"/>
      <c r="X121" s="192"/>
      <c r="Y121" s="192"/>
      <c r="Z121" s="84" t="str">
        <f t="shared" si="48"/>
        <v>83</v>
      </c>
      <c r="AA121" s="84" t="s">
        <v>5</v>
      </c>
      <c r="AB121" s="116">
        <v>15</v>
      </c>
      <c r="AC121" s="116">
        <v>1000</v>
      </c>
    </row>
    <row r="122" spans="1:29" ht="15.6" hidden="1" outlineLevel="1" x14ac:dyDescent="0.25">
      <c r="A122" s="346">
        <v>2</v>
      </c>
      <c r="C122" t="str">
        <f t="shared" si="46"/>
        <v/>
      </c>
      <c r="D122" s="372"/>
      <c r="H122" s="344"/>
      <c r="I122" s="344"/>
      <c r="J122" s="206"/>
      <c r="K122" s="75"/>
      <c r="L122" s="75"/>
      <c r="M122" s="76"/>
      <c r="N122" s="76"/>
      <c r="O122" s="76"/>
      <c r="P122" s="408"/>
      <c r="Q122" s="409"/>
      <c r="R122" s="410"/>
      <c r="S122" s="192"/>
      <c r="T122" s="192"/>
      <c r="U122" s="192"/>
      <c r="V122" s="192"/>
      <c r="W122" s="192"/>
      <c r="X122" s="192"/>
      <c r="Y122" s="192"/>
      <c r="Z122" s="84"/>
      <c r="AA122" s="84"/>
      <c r="AB122" s="116"/>
      <c r="AC122" s="116"/>
    </row>
    <row r="123" spans="1:29" ht="16.2" hidden="1" outlineLevel="1" thickBot="1" x14ac:dyDescent="0.3">
      <c r="A123" s="346">
        <v>2</v>
      </c>
      <c r="C123" t="str">
        <f t="shared" si="46"/>
        <v/>
      </c>
      <c r="D123" s="372"/>
      <c r="H123" s="344"/>
      <c r="I123" s="344"/>
      <c r="J123" s="88"/>
      <c r="K123" s="46"/>
      <c r="L123" s="46"/>
      <c r="M123" s="47"/>
      <c r="N123" s="47"/>
      <c r="O123" s="47"/>
      <c r="P123" s="413"/>
      <c r="Q123" s="414"/>
      <c r="R123" s="415"/>
      <c r="S123" s="207"/>
      <c r="T123" s="207"/>
      <c r="U123" s="207"/>
      <c r="V123" s="207"/>
      <c r="W123" s="207"/>
      <c r="X123" s="207"/>
      <c r="Y123" s="207"/>
      <c r="Z123" s="85"/>
      <c r="AA123" s="85"/>
      <c r="AB123" s="208"/>
      <c r="AC123" s="208"/>
    </row>
    <row r="124" spans="1:29" ht="16.2" hidden="1" outlineLevel="1" thickBot="1" x14ac:dyDescent="0.3">
      <c r="A124" s="346">
        <v>2</v>
      </c>
      <c r="C124" s="55" t="str">
        <f t="shared" si="46"/>
        <v>0x00 0x01 aa 00 08 61 00 15 01 02 03 E8 01 6D 55</v>
      </c>
      <c r="D124" s="372" t="s">
        <v>863</v>
      </c>
      <c r="H124" s="344" t="s">
        <v>823</v>
      </c>
      <c r="I124" s="344" t="s">
        <v>824</v>
      </c>
      <c r="J124" s="199" t="s">
        <v>0</v>
      </c>
      <c r="K124" s="200" t="s">
        <v>1</v>
      </c>
      <c r="L124" s="200" t="str">
        <f>DEC2HEX(COUNTA(M124:Y124),2)</f>
        <v>08</v>
      </c>
      <c r="M124" s="201" t="s">
        <v>410</v>
      </c>
      <c r="N124" s="201" t="s">
        <v>1</v>
      </c>
      <c r="O124" s="201" t="s">
        <v>534</v>
      </c>
      <c r="P124" s="416" t="s">
        <v>4</v>
      </c>
      <c r="Q124" s="417"/>
      <c r="R124" s="418"/>
      <c r="S124" s="192" t="str">
        <f t="shared" ref="S124:S129" si="52">DEC2HEX(AB124,2)</f>
        <v>02</v>
      </c>
      <c r="T124" s="192" t="str">
        <f t="shared" ref="T124" si="53">LEFT(DEC2HEX(AC124,4),2)</f>
        <v>03</v>
      </c>
      <c r="U124" s="192" t="str">
        <f t="shared" ref="U124" si="54">RIGHT(DEC2HEX(AC124,4),2)</f>
        <v>E8</v>
      </c>
      <c r="V124" s="202" t="s">
        <v>4</v>
      </c>
      <c r="W124" s="202"/>
      <c r="X124" s="202"/>
      <c r="Y124" s="202"/>
      <c r="Z124" s="203" t="str">
        <f>DEC2HEX(MOD(HEX2DEC(K124)+HEX2DEC(L124)+HEX2DEC(M124)+HEX2DEC(N124)+HEX2DEC(O124)+HEX2DEC(P124)+HEX2DEC(Q124)+HEX2DEC(R124)+HEX2DEC(S124)+HEX2DEC(T124)+HEX2DEC(U124)+HEX2DEC(V124)+HEX2DEC(Y124),256),2)</f>
        <v>6D</v>
      </c>
      <c r="AA124" s="203" t="s">
        <v>5</v>
      </c>
      <c r="AB124" s="205">
        <v>2</v>
      </c>
      <c r="AC124" s="205">
        <v>1000</v>
      </c>
    </row>
    <row r="125" spans="1:29" ht="16.2" hidden="1" outlineLevel="1" thickBot="1" x14ac:dyDescent="0.3">
      <c r="A125" s="346">
        <v>2</v>
      </c>
      <c r="C125" s="55" t="str">
        <f t="shared" si="46"/>
        <v>0x00 0x01 aa 00 08 61 00 15 02 0E 03 E8 01 7A 55</v>
      </c>
      <c r="D125" s="372" t="s">
        <v>863</v>
      </c>
      <c r="H125" s="344" t="s">
        <v>823</v>
      </c>
      <c r="I125" s="344" t="s">
        <v>824</v>
      </c>
      <c r="J125" s="206" t="s">
        <v>0</v>
      </c>
      <c r="K125" s="75" t="s">
        <v>1</v>
      </c>
      <c r="L125" s="75" t="str">
        <f t="shared" ref="L125:L129" si="55">DEC2HEX(COUNTA(M125:Y125),2)</f>
        <v>08</v>
      </c>
      <c r="M125" s="76" t="s">
        <v>410</v>
      </c>
      <c r="N125" s="76" t="s">
        <v>1</v>
      </c>
      <c r="O125" s="76" t="s">
        <v>534</v>
      </c>
      <c r="P125" s="408" t="s">
        <v>15</v>
      </c>
      <c r="Q125" s="409"/>
      <c r="R125" s="410"/>
      <c r="S125" s="192" t="str">
        <f t="shared" si="52"/>
        <v>0E</v>
      </c>
      <c r="T125" s="192" t="str">
        <f t="shared" ref="T125:T129" si="56">LEFT(DEC2HEX(AC125,4),2)</f>
        <v>03</v>
      </c>
      <c r="U125" s="192" t="str">
        <f t="shared" ref="U125:U129" si="57">RIGHT(DEC2HEX(AC125,4),2)</f>
        <v>E8</v>
      </c>
      <c r="V125" s="192" t="s">
        <v>4</v>
      </c>
      <c r="W125" s="192"/>
      <c r="X125" s="192"/>
      <c r="Y125" s="192"/>
      <c r="Z125" s="84" t="str">
        <f t="shared" ref="Z125:Z129" si="58">DEC2HEX(MOD(HEX2DEC(K125)+HEX2DEC(L125)+HEX2DEC(M125)+HEX2DEC(N125)+HEX2DEC(O125)+HEX2DEC(P125)+HEX2DEC(Q125)+HEX2DEC(R125)+HEX2DEC(S125)+HEX2DEC(T125)+HEX2DEC(U125)+HEX2DEC(V125)+HEX2DEC(Y125),256),2)</f>
        <v>7A</v>
      </c>
      <c r="AA125" s="84" t="s">
        <v>5</v>
      </c>
      <c r="AB125" s="205">
        <v>14</v>
      </c>
      <c r="AC125" s="116">
        <v>1000</v>
      </c>
    </row>
    <row r="126" spans="1:29" ht="16.2" hidden="1" outlineLevel="1" thickBot="1" x14ac:dyDescent="0.3">
      <c r="A126" s="346">
        <v>2</v>
      </c>
      <c r="C126" s="55" t="str">
        <f t="shared" si="46"/>
        <v>0x00 0x01 aa 00 08 61 00 15 03 0E 03 E8 01 7B 55</v>
      </c>
      <c r="D126" s="372" t="s">
        <v>863</v>
      </c>
      <c r="H126" s="344" t="s">
        <v>823</v>
      </c>
      <c r="I126" s="344" t="s">
        <v>824</v>
      </c>
      <c r="J126" s="206" t="s">
        <v>0</v>
      </c>
      <c r="K126" s="75" t="s">
        <v>1</v>
      </c>
      <c r="L126" s="75" t="str">
        <f t="shared" si="55"/>
        <v>08</v>
      </c>
      <c r="M126" s="76" t="s">
        <v>410</v>
      </c>
      <c r="N126" s="76" t="s">
        <v>1</v>
      </c>
      <c r="O126" s="76" t="s">
        <v>534</v>
      </c>
      <c r="P126" s="408" t="s">
        <v>13</v>
      </c>
      <c r="Q126" s="409"/>
      <c r="R126" s="410"/>
      <c r="S126" s="192" t="str">
        <f t="shared" si="52"/>
        <v>0E</v>
      </c>
      <c r="T126" s="192" t="str">
        <f t="shared" si="56"/>
        <v>03</v>
      </c>
      <c r="U126" s="192" t="str">
        <f t="shared" si="57"/>
        <v>E8</v>
      </c>
      <c r="V126" s="192" t="s">
        <v>4</v>
      </c>
      <c r="W126" s="192"/>
      <c r="X126" s="192"/>
      <c r="Y126" s="192"/>
      <c r="Z126" s="84" t="str">
        <f t="shared" si="58"/>
        <v>7B</v>
      </c>
      <c r="AA126" s="84" t="s">
        <v>5</v>
      </c>
      <c r="AB126" s="205">
        <v>14</v>
      </c>
      <c r="AC126" s="116">
        <v>1000</v>
      </c>
    </row>
    <row r="127" spans="1:29" ht="16.2" hidden="1" outlineLevel="1" thickBot="1" x14ac:dyDescent="0.3">
      <c r="A127" s="346">
        <v>2</v>
      </c>
      <c r="C127" s="55" t="str">
        <f t="shared" si="46"/>
        <v>0x00 0x01 aa 00 08 61 00 15 04 0E 03 E8 01 7C 55</v>
      </c>
      <c r="D127" s="372" t="s">
        <v>863</v>
      </c>
      <c r="H127" s="344" t="s">
        <v>823</v>
      </c>
      <c r="I127" s="344" t="s">
        <v>824</v>
      </c>
      <c r="J127" s="206" t="s">
        <v>0</v>
      </c>
      <c r="K127" s="75" t="s">
        <v>1</v>
      </c>
      <c r="L127" s="75" t="str">
        <f t="shared" si="55"/>
        <v>08</v>
      </c>
      <c r="M127" s="76" t="s">
        <v>410</v>
      </c>
      <c r="N127" s="76" t="s">
        <v>1</v>
      </c>
      <c r="O127" s="76" t="s">
        <v>534</v>
      </c>
      <c r="P127" s="408" t="s">
        <v>18</v>
      </c>
      <c r="Q127" s="409"/>
      <c r="R127" s="410"/>
      <c r="S127" s="192" t="str">
        <f t="shared" si="52"/>
        <v>0E</v>
      </c>
      <c r="T127" s="192" t="str">
        <f t="shared" si="56"/>
        <v>03</v>
      </c>
      <c r="U127" s="192" t="str">
        <f t="shared" si="57"/>
        <v>E8</v>
      </c>
      <c r="V127" s="192" t="s">
        <v>4</v>
      </c>
      <c r="W127" s="192"/>
      <c r="X127" s="192"/>
      <c r="Y127" s="192"/>
      <c r="Z127" s="84" t="str">
        <f t="shared" si="58"/>
        <v>7C</v>
      </c>
      <c r="AA127" s="84" t="s">
        <v>5</v>
      </c>
      <c r="AB127" s="205">
        <v>14</v>
      </c>
      <c r="AC127" s="116">
        <v>1000</v>
      </c>
    </row>
    <row r="128" spans="1:29" ht="16.2" hidden="1" outlineLevel="1" thickBot="1" x14ac:dyDescent="0.3">
      <c r="A128" s="346">
        <v>2</v>
      </c>
      <c r="C128" s="55" t="str">
        <f t="shared" si="46"/>
        <v>0x00 0x01 aa 00 08 61 00 15 05 0E 03 E8 01 7D 55</v>
      </c>
      <c r="D128" s="372" t="s">
        <v>863</v>
      </c>
      <c r="H128" s="344" t="s">
        <v>823</v>
      </c>
      <c r="I128" s="344" t="s">
        <v>824</v>
      </c>
      <c r="J128" s="206" t="s">
        <v>0</v>
      </c>
      <c r="K128" s="75" t="s">
        <v>1</v>
      </c>
      <c r="L128" s="75" t="str">
        <f t="shared" si="55"/>
        <v>08</v>
      </c>
      <c r="M128" s="76" t="s">
        <v>410</v>
      </c>
      <c r="N128" s="76" t="s">
        <v>1</v>
      </c>
      <c r="O128" s="76" t="s">
        <v>534</v>
      </c>
      <c r="P128" s="408" t="s">
        <v>122</v>
      </c>
      <c r="Q128" s="409"/>
      <c r="R128" s="410"/>
      <c r="S128" s="192" t="str">
        <f t="shared" si="52"/>
        <v>0E</v>
      </c>
      <c r="T128" s="192" t="str">
        <f t="shared" si="56"/>
        <v>03</v>
      </c>
      <c r="U128" s="192" t="str">
        <f t="shared" si="57"/>
        <v>E8</v>
      </c>
      <c r="V128" s="192" t="s">
        <v>4</v>
      </c>
      <c r="W128" s="192"/>
      <c r="X128" s="192"/>
      <c r="Y128" s="192"/>
      <c r="Z128" s="84" t="str">
        <f t="shared" si="58"/>
        <v>7D</v>
      </c>
      <c r="AA128" s="84" t="s">
        <v>5</v>
      </c>
      <c r="AB128" s="205">
        <v>14</v>
      </c>
      <c r="AC128" s="116">
        <v>1000</v>
      </c>
    </row>
    <row r="129" spans="1:32" ht="15.6" hidden="1" outlineLevel="1" x14ac:dyDescent="0.25">
      <c r="A129" s="346">
        <v>2</v>
      </c>
      <c r="C129" s="55" t="str">
        <f t="shared" si="46"/>
        <v>0x00 0x01 aa 00 08 61 00 15 06 0E 03 E8 01 7E 55</v>
      </c>
      <c r="D129" s="372" t="s">
        <v>863</v>
      </c>
      <c r="H129" s="344" t="s">
        <v>823</v>
      </c>
      <c r="I129" s="344" t="s">
        <v>824</v>
      </c>
      <c r="J129" s="206" t="s">
        <v>0</v>
      </c>
      <c r="K129" s="75" t="s">
        <v>1</v>
      </c>
      <c r="L129" s="75" t="str">
        <f t="shared" si="55"/>
        <v>08</v>
      </c>
      <c r="M129" s="76" t="s">
        <v>410</v>
      </c>
      <c r="N129" s="76" t="s">
        <v>1</v>
      </c>
      <c r="O129" s="76" t="s">
        <v>534</v>
      </c>
      <c r="P129" s="408" t="s">
        <v>123</v>
      </c>
      <c r="Q129" s="409"/>
      <c r="R129" s="410"/>
      <c r="S129" s="192" t="str">
        <f t="shared" si="52"/>
        <v>0E</v>
      </c>
      <c r="T129" s="192" t="str">
        <f t="shared" si="56"/>
        <v>03</v>
      </c>
      <c r="U129" s="192" t="str">
        <f t="shared" si="57"/>
        <v>E8</v>
      </c>
      <c r="V129" s="192" t="s">
        <v>4</v>
      </c>
      <c r="W129" s="192"/>
      <c r="X129" s="192"/>
      <c r="Y129" s="192"/>
      <c r="Z129" s="84" t="str">
        <f t="shared" si="58"/>
        <v>7E</v>
      </c>
      <c r="AA129" s="84" t="s">
        <v>5</v>
      </c>
      <c r="AB129" s="205">
        <v>14</v>
      </c>
      <c r="AC129" s="116">
        <v>1000</v>
      </c>
    </row>
    <row r="130" spans="1:32" hidden="1" outlineLevel="1" x14ac:dyDescent="0.25">
      <c r="A130" s="346">
        <v>2</v>
      </c>
    </row>
    <row r="131" spans="1:32" ht="16.8" hidden="1" outlineLevel="1" x14ac:dyDescent="0.25">
      <c r="A131" s="346">
        <v>2</v>
      </c>
      <c r="J131" s="86" t="s">
        <v>77</v>
      </c>
      <c r="K131" s="369" t="s">
        <v>78</v>
      </c>
      <c r="L131" s="369" t="s">
        <v>10</v>
      </c>
      <c r="M131" s="369" t="s">
        <v>79</v>
      </c>
      <c r="N131" s="369" t="s">
        <v>80</v>
      </c>
      <c r="O131" s="369" t="s">
        <v>11</v>
      </c>
      <c r="P131" s="193"/>
      <c r="Q131" s="193"/>
      <c r="R131" s="193"/>
      <c r="S131" s="193" t="s">
        <v>647</v>
      </c>
      <c r="T131" s="193" t="s">
        <v>645</v>
      </c>
      <c r="U131" s="193" t="s">
        <v>646</v>
      </c>
      <c r="V131" s="193" t="s">
        <v>529</v>
      </c>
      <c r="W131" s="404" t="s">
        <v>395</v>
      </c>
      <c r="X131" s="406"/>
      <c r="Y131" s="369" t="s">
        <v>75</v>
      </c>
      <c r="Z131" s="83" t="s">
        <v>81</v>
      </c>
      <c r="AA131" s="83" t="s">
        <v>82</v>
      </c>
      <c r="AB131" s="23" t="s">
        <v>647</v>
      </c>
      <c r="AC131" s="23" t="s">
        <v>645</v>
      </c>
      <c r="AD131" s="23" t="s">
        <v>646</v>
      </c>
      <c r="AE131" s="23" t="s">
        <v>526</v>
      </c>
      <c r="AF131" s="23" t="s">
        <v>527</v>
      </c>
    </row>
    <row r="132" spans="1:32" ht="15" hidden="1" outlineLevel="1" thickBot="1" x14ac:dyDescent="0.3">
      <c r="A132" s="346">
        <v>2</v>
      </c>
      <c r="C132" s="55" t="str">
        <f t="shared" si="46"/>
        <v>0x00 0x01 aa 00 0A 61 00 11 14 14 14 13 03 E8 01 B7 55</v>
      </c>
      <c r="D132" s="373" t="s">
        <v>648</v>
      </c>
      <c r="H132" s="344" t="s">
        <v>823</v>
      </c>
      <c r="I132" s="344" t="s">
        <v>824</v>
      </c>
      <c r="J132" s="84" t="s">
        <v>0</v>
      </c>
      <c r="K132" s="75" t="s">
        <v>1</v>
      </c>
      <c r="L132" s="75" t="str">
        <f>DEC2HEX(COUNTA(M132:Y132),2)</f>
        <v>0A</v>
      </c>
      <c r="M132" s="76" t="s">
        <v>410</v>
      </c>
      <c r="N132" s="76" t="s">
        <v>1</v>
      </c>
      <c r="O132" s="76" t="s">
        <v>28</v>
      </c>
      <c r="P132" s="192"/>
      <c r="Q132" s="192"/>
      <c r="R132" s="192"/>
      <c r="S132" s="192" t="str">
        <f>DEC2HEX(AB132,2)</f>
        <v>14</v>
      </c>
      <c r="T132" s="192" t="str">
        <f>DEC2HEX(AC132,2)</f>
        <v>14</v>
      </c>
      <c r="U132" s="192" t="str">
        <f>DEC2HEX(AD132,2)</f>
        <v>14</v>
      </c>
      <c r="V132" s="192" t="str">
        <f>DEC2HEX(AE132,2)</f>
        <v>13</v>
      </c>
      <c r="W132" s="192" t="str">
        <f>LEFT(DEC2HEX(AF132,4),2)</f>
        <v>03</v>
      </c>
      <c r="X132" s="192" t="str">
        <f>RIGHT(DEC2HEX(AF132,4),2)</f>
        <v>E8</v>
      </c>
      <c r="Y132" s="192" t="s">
        <v>4</v>
      </c>
      <c r="Z132" s="85" t="str">
        <f>DEC2HEX(MOD(HEX2DEC(K132)+HEX2DEC(L132)+HEX2DEC(M132)+HEX2DEC(N132)+HEX2DEC(O132)+HEX2DEC(P132)+HEX2DEC(Q132)+HEX2DEC(R132)+HEX2DEC(S132)+HEX2DEC(T132)+HEX2DEC(U132)+HEX2DEC(V132)+HEX2DEC(W132)+HEX2DEC(X132)+HEX2DEC(Y132),256),2)</f>
        <v>B7</v>
      </c>
      <c r="AA132" s="84" t="s">
        <v>5</v>
      </c>
      <c r="AB132" s="116">
        <v>20</v>
      </c>
      <c r="AC132" s="116">
        <v>20</v>
      </c>
      <c r="AD132" s="116">
        <v>20</v>
      </c>
      <c r="AE132" s="116">
        <v>19</v>
      </c>
      <c r="AF132" s="116">
        <v>1000</v>
      </c>
    </row>
    <row r="133" spans="1:32" collapsed="1" x14ac:dyDescent="0.25"/>
    <row r="135" spans="1:32" x14ac:dyDescent="0.25">
      <c r="A135" s="338">
        <v>1</v>
      </c>
      <c r="B135" s="338"/>
      <c r="C135" s="338"/>
      <c r="D135" s="338" t="s">
        <v>841</v>
      </c>
      <c r="AC135" s="45" t="s">
        <v>395</v>
      </c>
      <c r="AD135" s="112" t="s">
        <v>390</v>
      </c>
      <c r="AE135" s="112" t="s">
        <v>391</v>
      </c>
    </row>
    <row r="136" spans="1:32" x14ac:dyDescent="0.25">
      <c r="A136" s="346">
        <v>2</v>
      </c>
      <c r="C136" s="55" t="str">
        <f t="shared" ref="C136" si="59">IF(ISBLANK(H136),,H136&amp;" ")&amp;IF(ISBLANK(I136),,I136&amp;" ")&amp;IF(ISBLANK(J136),,J136&amp;" ")&amp;IF(ISBLANK(K136),,K136&amp;" ")&amp;IF(ISBLANK(L136),,L136&amp;" ")&amp;IF(ISBLANK(M136),,M136&amp;" ")&amp;IF(ISBLANK(N136),,N136&amp;" ")&amp;IF(ISBLANK(O136),,O136&amp;" ")&amp;IF(ISBLANK(P136),,P136&amp;" ")&amp;IF(ISBLANK(Q136),,Q136&amp;" ")&amp;IF(ISBLANK(R136),,R136&amp;" ")&amp;IF(ISBLANK(S136),,S136&amp;" ")&amp;IF(ISBLANK(T136),,T136&amp;" ")&amp;IF(ISBLANK(U136),,U136&amp;" ")&amp;IF(ISBLANK(V136),,V136&amp;" ")&amp;IF(ISBLANK(W136),,W136&amp;" ")&amp;IF(ISBLANK(X136),,X136&amp;" ")&amp;IF(ISBLANK(Y136),,Y136&amp;" ")&amp;IF(ISBLANK(Z136),,Z136&amp;" ")&amp;IF(ISBLANK(AA136),,AA136)</f>
        <v>0x00 0x01 aa 00 09 E2 00 00 03 E8 00 00 00 00 D6 55</v>
      </c>
      <c r="D136" s="362" t="s">
        <v>843</v>
      </c>
      <c r="H136" s="344" t="s">
        <v>823</v>
      </c>
      <c r="I136" s="344" t="s">
        <v>824</v>
      </c>
      <c r="J136" s="84" t="s">
        <v>0</v>
      </c>
      <c r="K136" s="75" t="s">
        <v>1</v>
      </c>
      <c r="L136" s="75" t="s">
        <v>52</v>
      </c>
      <c r="M136" s="76" t="s">
        <v>389</v>
      </c>
      <c r="N136" s="76" t="s">
        <v>1</v>
      </c>
      <c r="O136" s="113" t="s">
        <v>1</v>
      </c>
      <c r="P136" s="361" t="str">
        <f>LEFT(DEC2HEX(AC136,4),2)</f>
        <v>03</v>
      </c>
      <c r="Q136" s="361" t="str">
        <f>RIGHT(DEC2HEX(AC136,4),2)</f>
        <v>E8</v>
      </c>
      <c r="R136" s="361" t="str">
        <f>LEFT(DEC2HEX(AD136,4),2)</f>
        <v>00</v>
      </c>
      <c r="S136" s="361" t="str">
        <f>RIGHT(DEC2HEX(AD136,4),2)</f>
        <v>00</v>
      </c>
      <c r="T136" s="361" t="str">
        <f>LEFT(DEC2HEX(AE136,4),2)</f>
        <v>00</v>
      </c>
      <c r="U136" s="361" t="str">
        <f>RIGHT(DEC2HEX(AE136,4),2)</f>
        <v>00</v>
      </c>
      <c r="V136" s="114"/>
      <c r="W136" s="57"/>
      <c r="X136" s="57"/>
      <c r="Y136" s="57"/>
      <c r="Z136" s="84" t="str">
        <f>DEC2HEX(MOD(HEX2DEC(K136)+HEX2DEC(L136)+HEX2DEC(M136)+HEX2DEC(N136)+HEX2DEC(O136)+HEX2DEC(P136)+HEX2DEC(Q136)+HEX2DEC(R136)+HEX2DEC(S136)+HEX2DEC(T136)+HEX2DEC(U136)+HEX2DEC(V136)+HEX2DEC(Y136),256),2)</f>
        <v>D6</v>
      </c>
      <c r="AA136" s="84" t="s">
        <v>5</v>
      </c>
      <c r="AC136" s="110">
        <v>1000</v>
      </c>
      <c r="AD136" s="77">
        <v>0</v>
      </c>
      <c r="AE136" s="77">
        <v>0</v>
      </c>
    </row>
    <row r="137" spans="1:32" x14ac:dyDescent="0.25">
      <c r="A137" s="346">
        <v>2</v>
      </c>
      <c r="C137" s="55" t="str">
        <f t="shared" ref="C137" si="60">IF(ISBLANK(H137),,H137&amp;" ")&amp;IF(ISBLANK(I137),,I137&amp;" ")&amp;IF(ISBLANK(J137),,J137&amp;" ")&amp;IF(ISBLANK(K137),,K137&amp;" ")&amp;IF(ISBLANK(L137),,L137&amp;" ")&amp;IF(ISBLANK(M137),,M137&amp;" ")&amp;IF(ISBLANK(N137),,N137&amp;" ")&amp;IF(ISBLANK(O137),,O137&amp;" ")&amp;IF(ISBLANK(P137),,P137&amp;" ")&amp;IF(ISBLANK(Q137),,Q137&amp;" ")&amp;IF(ISBLANK(R137),,R137&amp;" ")&amp;IF(ISBLANK(S137),,S137&amp;" ")&amp;IF(ISBLANK(T137),,T137&amp;" ")&amp;IF(ISBLANK(U137),,U137&amp;" ")&amp;IF(ISBLANK(V137),,V137&amp;" ")&amp;IF(ISBLANK(W137),,W137&amp;" ")&amp;IF(ISBLANK(X137),,X137&amp;" ")&amp;IF(ISBLANK(Y137),,Y137&amp;" ")&amp;IF(ISBLANK(Z137),,Z137&amp;" ")&amp;IF(ISBLANK(AA137),,AA137)</f>
        <v>0x00 0x01 aa 00 09 E2 00 01 03 E8 00 00 00 00 D7 55</v>
      </c>
      <c r="D137" s="362" t="s">
        <v>844</v>
      </c>
      <c r="H137" s="344" t="s">
        <v>823</v>
      </c>
      <c r="I137" s="344" t="s">
        <v>824</v>
      </c>
      <c r="J137" s="84" t="s">
        <v>0</v>
      </c>
      <c r="K137" s="75" t="s">
        <v>1</v>
      </c>
      <c r="L137" s="75" t="s">
        <v>52</v>
      </c>
      <c r="M137" s="76" t="s">
        <v>389</v>
      </c>
      <c r="N137" s="76" t="s">
        <v>1</v>
      </c>
      <c r="O137" s="113" t="s">
        <v>4</v>
      </c>
      <c r="P137" s="361" t="str">
        <f>LEFT(DEC2HEX(AC137,4),2)</f>
        <v>03</v>
      </c>
      <c r="Q137" s="361" t="str">
        <f>RIGHT(DEC2HEX(AC137,4),2)</f>
        <v>E8</v>
      </c>
      <c r="R137" s="361" t="str">
        <f>LEFT(DEC2HEX(AD137,4),2)</f>
        <v>00</v>
      </c>
      <c r="S137" s="361" t="str">
        <f>RIGHT(DEC2HEX(AD137,4),2)</f>
        <v>00</v>
      </c>
      <c r="T137" s="361" t="str">
        <f>LEFT(DEC2HEX(AE137,4),2)</f>
        <v>00</v>
      </c>
      <c r="U137" s="361" t="str">
        <f>RIGHT(DEC2HEX(AE137,4),2)</f>
        <v>00</v>
      </c>
      <c r="V137" s="114"/>
      <c r="W137" s="57"/>
      <c r="X137" s="57"/>
      <c r="Y137" s="57"/>
      <c r="Z137" s="84" t="str">
        <f>DEC2HEX(MOD(HEX2DEC(K137)+HEX2DEC(L137)+HEX2DEC(M137)+HEX2DEC(N137)+HEX2DEC(O137)+HEX2DEC(P137)+HEX2DEC(Q137)+HEX2DEC(R137)+HEX2DEC(S137)+HEX2DEC(T137)+HEX2DEC(U137)+HEX2DEC(V137)+HEX2DEC(Y137),256),2)</f>
        <v>D7</v>
      </c>
      <c r="AA137" s="84" t="s">
        <v>5</v>
      </c>
      <c r="AC137" s="110">
        <v>1000</v>
      </c>
      <c r="AD137" s="77">
        <v>0</v>
      </c>
      <c r="AE137" s="77">
        <v>0</v>
      </c>
    </row>
    <row r="141" spans="1:32" x14ac:dyDescent="0.25">
      <c r="A141" s="338">
        <v>1</v>
      </c>
      <c r="B141" s="377"/>
      <c r="C141" s="338"/>
      <c r="D141" s="338" t="s">
        <v>677</v>
      </c>
      <c r="H141" s="367"/>
      <c r="I141" s="367"/>
      <c r="J141" s="388" t="s">
        <v>275</v>
      </c>
      <c r="K141" s="388"/>
      <c r="L141" s="388"/>
      <c r="M141" s="388"/>
      <c r="N141" s="388"/>
      <c r="O141" s="388"/>
      <c r="P141" s="388"/>
      <c r="Q141" s="388"/>
      <c r="R141" s="388"/>
      <c r="S141" s="388"/>
      <c r="T141" s="388"/>
      <c r="U141" s="388"/>
      <c r="V141" s="388"/>
      <c r="W141" s="388"/>
      <c r="X141" s="388"/>
      <c r="Y141" s="388"/>
      <c r="Z141" s="388"/>
      <c r="AA141" s="388"/>
    </row>
    <row r="142" spans="1:32" ht="18" hidden="1" customHeight="1" outlineLevel="1" x14ac:dyDescent="0.25">
      <c r="A142" s="367"/>
      <c r="C142" s="367"/>
      <c r="D142" s="370" t="s">
        <v>6</v>
      </c>
      <c r="H142" s="367"/>
      <c r="I142" s="367"/>
      <c r="J142" s="86" t="s">
        <v>77</v>
      </c>
      <c r="K142" s="369" t="s">
        <v>78</v>
      </c>
      <c r="L142" s="369" t="s">
        <v>10</v>
      </c>
      <c r="M142" s="369" t="s">
        <v>79</v>
      </c>
      <c r="N142" s="369" t="s">
        <v>80</v>
      </c>
      <c r="O142" s="369" t="s">
        <v>11</v>
      </c>
      <c r="P142" s="424" t="s">
        <v>83</v>
      </c>
      <c r="Q142" s="424"/>
      <c r="R142" s="424"/>
      <c r="S142" s="424"/>
      <c r="T142" s="424"/>
      <c r="U142" s="424"/>
      <c r="V142" s="424"/>
      <c r="W142" s="424"/>
      <c r="X142" s="424"/>
      <c r="Y142" s="424"/>
      <c r="Z142" s="83" t="s">
        <v>81</v>
      </c>
      <c r="AA142" s="83" t="s">
        <v>82</v>
      </c>
    </row>
    <row r="143" spans="1:32" hidden="1" outlineLevel="1" x14ac:dyDescent="0.25">
      <c r="A143" s="346">
        <v>2</v>
      </c>
      <c r="C143" s="55" t="str">
        <f t="shared" ref="C143:C156" si="61">IF(ISBLANK(H143),,H143&amp;" ")&amp;IF(ISBLANK(I143),,I143&amp;" ")&amp;IF(ISBLANK(J143),,J143&amp;" ")&amp;IF(ISBLANK(K143),,K143&amp;" ")&amp;IF(ISBLANK(L143),,L143&amp;" ")&amp;IF(ISBLANK(M143),,M143&amp;" ")&amp;IF(ISBLANK(N143),,N143&amp;" ")&amp;IF(ISBLANK(O143),,O143&amp;" ")&amp;IF(ISBLANK(P143),,P143&amp;" ")&amp;IF(ISBLANK(Q143),,Q143&amp;" ")&amp;IF(ISBLANK(R143),,R143&amp;" ")&amp;IF(ISBLANK(S143),,S143&amp;" ")&amp;IF(ISBLANK(T143),,T143&amp;" ")&amp;IF(ISBLANK(U143),,U143&amp;" ")&amp;IF(ISBLANK(V143),,V143&amp;" ")&amp;IF(ISBLANK(W143),,W143&amp;" ")&amp;IF(ISBLANK(X143),,X143&amp;" ")&amp;IF(ISBLANK(Y143),,Y143&amp;" ")&amp;IF(ISBLANK(Z143),,Z143&amp;" ")&amp;IF(ISBLANK(AA143),,AA143)</f>
        <v>0x00 0x04 aa 00 03 02 00 00 05 55</v>
      </c>
      <c r="D143" s="281" t="s">
        <v>679</v>
      </c>
      <c r="H143" s="344" t="s">
        <v>823</v>
      </c>
      <c r="I143" s="376" t="s">
        <v>866</v>
      </c>
      <c r="J143" s="84" t="s">
        <v>0</v>
      </c>
      <c r="K143" s="75" t="s">
        <v>1</v>
      </c>
      <c r="L143" s="75" t="str">
        <f t="shared" ref="L143:L156" si="62">DEC2HEX( COUNTA(M143:Y143),2)</f>
        <v>03</v>
      </c>
      <c r="M143" s="76" t="s">
        <v>678</v>
      </c>
      <c r="N143" s="76" t="s">
        <v>1</v>
      </c>
      <c r="O143" s="76" t="s">
        <v>1</v>
      </c>
      <c r="P143" s="371"/>
      <c r="Q143" s="371"/>
      <c r="R143" s="371"/>
      <c r="S143" s="371"/>
      <c r="T143" s="371"/>
      <c r="U143" s="371"/>
      <c r="V143" s="371"/>
      <c r="W143" s="371"/>
      <c r="X143" s="371"/>
      <c r="Y143" s="371"/>
      <c r="Z143" s="84" t="str">
        <f t="shared" ref="Z143:Z156" si="63">DEC2HEX(MOD(HEX2DEC(K143)+HEX2DEC(L143)+HEX2DEC(M143)+HEX2DEC(N143)+HEX2DEC(O143)+HEX2DEC(P143)+HEX2DEC(Q143)+HEX2DEC(R143)+HEX2DEC(S143)+HEX2DEC(T143)+HEX2DEC(U143)+HEX2DEC(V143)+HEX2DEC(W143)+HEX2DEC(X143)+HEX2DEC(Y143),256),2)</f>
        <v>05</v>
      </c>
      <c r="AA143" s="84" t="s">
        <v>5</v>
      </c>
    </row>
    <row r="144" spans="1:32" hidden="1" outlineLevel="1" x14ac:dyDescent="0.25">
      <c r="A144" s="346">
        <v>2</v>
      </c>
      <c r="C144" s="55" t="str">
        <f t="shared" si="61"/>
        <v>0x00 0x04 aa 00 03 02 00 01 06 55</v>
      </c>
      <c r="D144" s="281" t="s">
        <v>680</v>
      </c>
      <c r="H144" s="344" t="s">
        <v>823</v>
      </c>
      <c r="I144" s="376" t="s">
        <v>866</v>
      </c>
      <c r="J144" s="84" t="s">
        <v>0</v>
      </c>
      <c r="K144" s="75" t="s">
        <v>1</v>
      </c>
      <c r="L144" s="75" t="str">
        <f t="shared" si="62"/>
        <v>03</v>
      </c>
      <c r="M144" s="76" t="s">
        <v>678</v>
      </c>
      <c r="N144" s="76" t="s">
        <v>1</v>
      </c>
      <c r="O144" s="76" t="s">
        <v>14</v>
      </c>
      <c r="P144" s="371"/>
      <c r="Q144" s="371"/>
      <c r="R144" s="371"/>
      <c r="S144" s="371"/>
      <c r="T144" s="371"/>
      <c r="U144" s="371"/>
      <c r="V144" s="371"/>
      <c r="W144" s="371"/>
      <c r="X144" s="371"/>
      <c r="Y144" s="371"/>
      <c r="Z144" s="84" t="str">
        <f t="shared" si="63"/>
        <v>06</v>
      </c>
      <c r="AA144" s="84" t="s">
        <v>5</v>
      </c>
    </row>
    <row r="145" spans="1:27" ht="28.8" hidden="1" outlineLevel="1" x14ac:dyDescent="0.25">
      <c r="A145" s="346">
        <v>2</v>
      </c>
      <c r="C145" s="55" t="e">
        <f t="shared" si="61"/>
        <v>#NUM!</v>
      </c>
      <c r="D145" s="281" t="s">
        <v>685</v>
      </c>
      <c r="H145" s="344" t="s">
        <v>823</v>
      </c>
      <c r="I145" s="376" t="s">
        <v>866</v>
      </c>
      <c r="J145" s="84" t="s">
        <v>0</v>
      </c>
      <c r="K145" s="75" t="s">
        <v>1</v>
      </c>
      <c r="L145" s="75" t="str">
        <f t="shared" si="62"/>
        <v>04</v>
      </c>
      <c r="M145" s="76" t="s">
        <v>678</v>
      </c>
      <c r="N145" s="76" t="s">
        <v>1</v>
      </c>
      <c r="O145" s="76" t="s">
        <v>15</v>
      </c>
      <c r="P145" s="378" t="s">
        <v>681</v>
      </c>
      <c r="Q145" s="371"/>
      <c r="R145" s="371"/>
      <c r="S145" s="371"/>
      <c r="T145" s="371"/>
      <c r="U145" s="371"/>
      <c r="V145" s="371"/>
      <c r="W145" s="371"/>
      <c r="X145" s="371"/>
      <c r="Y145" s="371"/>
      <c r="Z145" s="84" t="e">
        <f t="shared" si="63"/>
        <v>#NUM!</v>
      </c>
      <c r="AA145" s="84" t="s">
        <v>5</v>
      </c>
    </row>
    <row r="146" spans="1:27" ht="28.8" hidden="1" outlineLevel="1" x14ac:dyDescent="0.25">
      <c r="A146" s="346">
        <v>2</v>
      </c>
      <c r="C146" s="55" t="e">
        <f t="shared" si="61"/>
        <v>#NUM!</v>
      </c>
      <c r="D146" s="281" t="s">
        <v>686</v>
      </c>
      <c r="H146" s="344" t="s">
        <v>823</v>
      </c>
      <c r="I146" s="376" t="s">
        <v>866</v>
      </c>
      <c r="J146" s="84" t="s">
        <v>0</v>
      </c>
      <c r="K146" s="75" t="s">
        <v>1</v>
      </c>
      <c r="L146" s="75" t="str">
        <f t="shared" si="62"/>
        <v>04</v>
      </c>
      <c r="M146" s="76" t="s">
        <v>678</v>
      </c>
      <c r="N146" s="76" t="s">
        <v>1</v>
      </c>
      <c r="O146" s="76" t="s">
        <v>13</v>
      </c>
      <c r="P146" s="371" t="s">
        <v>682</v>
      </c>
      <c r="Q146" s="371"/>
      <c r="R146" s="371"/>
      <c r="S146" s="371"/>
      <c r="T146" s="371"/>
      <c r="U146" s="371"/>
      <c r="V146" s="371"/>
      <c r="W146" s="371"/>
      <c r="X146" s="371"/>
      <c r="Y146" s="371"/>
      <c r="Z146" s="84" t="e">
        <f t="shared" si="63"/>
        <v>#NUM!</v>
      </c>
      <c r="AA146" s="84" t="s">
        <v>5</v>
      </c>
    </row>
    <row r="147" spans="1:27" ht="19.2" hidden="1" outlineLevel="1" x14ac:dyDescent="0.25">
      <c r="A147" s="346">
        <v>2</v>
      </c>
      <c r="C147" s="55" t="str">
        <f t="shared" si="61"/>
        <v>0x00 0x04 aa 00 03 02 00 04 09 55</v>
      </c>
      <c r="D147" s="281" t="s">
        <v>687</v>
      </c>
      <c r="H147" s="344" t="s">
        <v>823</v>
      </c>
      <c r="I147" s="376" t="s">
        <v>866</v>
      </c>
      <c r="J147" s="84" t="s">
        <v>0</v>
      </c>
      <c r="K147" s="75" t="s">
        <v>1</v>
      </c>
      <c r="L147" s="75" t="str">
        <f t="shared" si="62"/>
        <v>03</v>
      </c>
      <c r="M147" s="76" t="s">
        <v>678</v>
      </c>
      <c r="N147" s="76" t="s">
        <v>1</v>
      </c>
      <c r="O147" s="76" t="s">
        <v>18</v>
      </c>
      <c r="P147" s="371"/>
      <c r="Q147" s="371"/>
      <c r="R147" s="371"/>
      <c r="S147" s="371"/>
      <c r="T147" s="371"/>
      <c r="U147" s="371"/>
      <c r="V147" s="371"/>
      <c r="W147" s="371"/>
      <c r="X147" s="371"/>
      <c r="Y147" s="371"/>
      <c r="Z147" s="84" t="str">
        <f t="shared" si="63"/>
        <v>09</v>
      </c>
      <c r="AA147" s="84" t="s">
        <v>5</v>
      </c>
    </row>
    <row r="148" spans="1:27" ht="19.2" hidden="1" outlineLevel="1" x14ac:dyDescent="0.25">
      <c r="A148" s="346">
        <v>2</v>
      </c>
      <c r="C148" s="55" t="str">
        <f t="shared" si="61"/>
        <v>0x00 0x04 aa 00 03 02 00 05 0A 55</v>
      </c>
      <c r="D148" s="281" t="s">
        <v>683</v>
      </c>
      <c r="H148" s="344" t="s">
        <v>823</v>
      </c>
      <c r="I148" s="376" t="s">
        <v>866</v>
      </c>
      <c r="J148" s="84" t="s">
        <v>0</v>
      </c>
      <c r="K148" s="75" t="s">
        <v>1</v>
      </c>
      <c r="L148" s="75" t="str">
        <f t="shared" si="62"/>
        <v>03</v>
      </c>
      <c r="M148" s="76" t="s">
        <v>678</v>
      </c>
      <c r="N148" s="76" t="s">
        <v>1</v>
      </c>
      <c r="O148" s="76" t="s">
        <v>122</v>
      </c>
      <c r="P148" s="371"/>
      <c r="Q148" s="371"/>
      <c r="R148" s="371"/>
      <c r="S148" s="371"/>
      <c r="T148" s="371"/>
      <c r="U148" s="371"/>
      <c r="V148" s="371"/>
      <c r="W148" s="371"/>
      <c r="X148" s="371"/>
      <c r="Y148" s="371"/>
      <c r="Z148" s="84" t="str">
        <f t="shared" si="63"/>
        <v>0A</v>
      </c>
      <c r="AA148" s="84" t="s">
        <v>5</v>
      </c>
    </row>
    <row r="149" spans="1:27" ht="19.2" hidden="1" outlineLevel="1" x14ac:dyDescent="0.25">
      <c r="A149" s="346">
        <v>2</v>
      </c>
      <c r="C149" s="55" t="str">
        <f t="shared" si="61"/>
        <v>0x00 0x04 aa 00 03 02 00 06 0B 55</v>
      </c>
      <c r="D149" s="281" t="s">
        <v>684</v>
      </c>
      <c r="H149" s="344" t="s">
        <v>823</v>
      </c>
      <c r="I149" s="376" t="s">
        <v>866</v>
      </c>
      <c r="J149" s="84" t="s">
        <v>0</v>
      </c>
      <c r="K149" s="75" t="s">
        <v>1</v>
      </c>
      <c r="L149" s="75" t="str">
        <f t="shared" si="62"/>
        <v>03</v>
      </c>
      <c r="M149" s="76" t="s">
        <v>678</v>
      </c>
      <c r="N149" s="76" t="s">
        <v>1</v>
      </c>
      <c r="O149" s="76" t="s">
        <v>123</v>
      </c>
      <c r="P149" s="371"/>
      <c r="Q149" s="371"/>
      <c r="R149" s="371"/>
      <c r="S149" s="371"/>
      <c r="T149" s="371"/>
      <c r="U149" s="371"/>
      <c r="V149" s="371"/>
      <c r="W149" s="371"/>
      <c r="X149" s="371"/>
      <c r="Y149" s="371"/>
      <c r="Z149" s="84" t="str">
        <f t="shared" si="63"/>
        <v>0B</v>
      </c>
      <c r="AA149" s="84" t="s">
        <v>5</v>
      </c>
    </row>
    <row r="150" spans="1:27" ht="38.4" hidden="1" outlineLevel="1" x14ac:dyDescent="0.25">
      <c r="A150" s="346">
        <v>2</v>
      </c>
      <c r="C150" s="55" t="str">
        <f t="shared" si="61"/>
        <v>0x00 0x04 aa 00 03 02 00 07 0C 55</v>
      </c>
      <c r="D150" s="281" t="s">
        <v>689</v>
      </c>
      <c r="H150" s="344" t="s">
        <v>823</v>
      </c>
      <c r="I150" s="376" t="s">
        <v>866</v>
      </c>
      <c r="J150" s="84" t="s">
        <v>0</v>
      </c>
      <c r="K150" s="75" t="s">
        <v>1</v>
      </c>
      <c r="L150" s="75" t="str">
        <f t="shared" si="62"/>
        <v>03</v>
      </c>
      <c r="M150" s="76" t="s">
        <v>678</v>
      </c>
      <c r="N150" s="76" t="s">
        <v>1</v>
      </c>
      <c r="O150" s="76" t="s">
        <v>124</v>
      </c>
      <c r="P150" s="371"/>
      <c r="Q150" s="371"/>
      <c r="R150" s="371"/>
      <c r="S150" s="371"/>
      <c r="T150" s="371"/>
      <c r="U150" s="371"/>
      <c r="V150" s="371"/>
      <c r="W150" s="371"/>
      <c r="X150" s="371"/>
      <c r="Y150" s="371"/>
      <c r="Z150" s="84" t="str">
        <f t="shared" si="63"/>
        <v>0C</v>
      </c>
      <c r="AA150" s="84" t="s">
        <v>5</v>
      </c>
    </row>
    <row r="151" spans="1:27" ht="19.2" hidden="1" outlineLevel="1" x14ac:dyDescent="0.25">
      <c r="A151" s="346">
        <v>2</v>
      </c>
      <c r="C151" s="55" t="str">
        <f t="shared" si="61"/>
        <v>0x00 0x04 aa 00 03 02 00 08 0D 55</v>
      </c>
      <c r="D151" s="281" t="s">
        <v>688</v>
      </c>
      <c r="H151" s="344" t="s">
        <v>823</v>
      </c>
      <c r="I151" s="376" t="s">
        <v>866</v>
      </c>
      <c r="J151" s="84" t="s">
        <v>0</v>
      </c>
      <c r="K151" s="75" t="s">
        <v>1</v>
      </c>
      <c r="L151" s="75" t="str">
        <f t="shared" si="62"/>
        <v>03</v>
      </c>
      <c r="M151" s="76" t="s">
        <v>678</v>
      </c>
      <c r="N151" s="76" t="s">
        <v>1</v>
      </c>
      <c r="O151" s="76" t="s">
        <v>125</v>
      </c>
      <c r="P151" s="371"/>
      <c r="Q151" s="371"/>
      <c r="R151" s="371"/>
      <c r="S151" s="371"/>
      <c r="T151" s="371"/>
      <c r="U151" s="371"/>
      <c r="V151" s="371"/>
      <c r="W151" s="371"/>
      <c r="X151" s="371"/>
      <c r="Y151" s="371"/>
      <c r="Z151" s="84" t="str">
        <f t="shared" si="63"/>
        <v>0D</v>
      </c>
      <c r="AA151" s="84" t="s">
        <v>5</v>
      </c>
    </row>
    <row r="152" spans="1:27" ht="19.2" hidden="1" outlineLevel="1" x14ac:dyDescent="0.25">
      <c r="A152" s="346">
        <v>2</v>
      </c>
      <c r="C152" s="55" t="str">
        <f t="shared" si="61"/>
        <v>0x00 0x04 aa 00 03 02 00 09 0E 55</v>
      </c>
      <c r="D152" s="281" t="s">
        <v>697</v>
      </c>
      <c r="H152" s="344" t="s">
        <v>823</v>
      </c>
      <c r="I152" s="376" t="s">
        <v>866</v>
      </c>
      <c r="J152" s="84" t="s">
        <v>0</v>
      </c>
      <c r="K152" s="75" t="s">
        <v>1</v>
      </c>
      <c r="L152" s="75" t="str">
        <f t="shared" si="62"/>
        <v>03</v>
      </c>
      <c r="M152" s="76" t="s">
        <v>678</v>
      </c>
      <c r="N152" s="76" t="s">
        <v>1</v>
      </c>
      <c r="O152" s="76" t="s">
        <v>690</v>
      </c>
      <c r="P152" s="371"/>
      <c r="Q152" s="371"/>
      <c r="R152" s="371"/>
      <c r="S152" s="371"/>
      <c r="T152" s="371"/>
      <c r="U152" s="371"/>
      <c r="V152" s="371"/>
      <c r="W152" s="371"/>
      <c r="X152" s="371"/>
      <c r="Y152" s="371"/>
      <c r="Z152" s="84" t="str">
        <f t="shared" si="63"/>
        <v>0E</v>
      </c>
      <c r="AA152" s="84" t="s">
        <v>5</v>
      </c>
    </row>
    <row r="153" spans="1:27" ht="19.2" hidden="1" outlineLevel="1" x14ac:dyDescent="0.25">
      <c r="A153" s="346">
        <v>2</v>
      </c>
      <c r="C153" s="55" t="str">
        <f t="shared" si="61"/>
        <v>0x00 0x04 aa 00 03 02 00 0A 0F 55</v>
      </c>
      <c r="D153" s="281" t="s">
        <v>698</v>
      </c>
      <c r="H153" s="344" t="s">
        <v>823</v>
      </c>
      <c r="I153" s="376" t="s">
        <v>866</v>
      </c>
      <c r="J153" s="84" t="s">
        <v>0</v>
      </c>
      <c r="K153" s="75" t="s">
        <v>1</v>
      </c>
      <c r="L153" s="75" t="str">
        <f t="shared" si="62"/>
        <v>03</v>
      </c>
      <c r="M153" s="76" t="s">
        <v>678</v>
      </c>
      <c r="N153" s="76" t="s">
        <v>1</v>
      </c>
      <c r="O153" s="76" t="s">
        <v>37</v>
      </c>
      <c r="P153" s="371"/>
      <c r="Q153" s="371"/>
      <c r="R153" s="371"/>
      <c r="S153" s="371"/>
      <c r="T153" s="371"/>
      <c r="U153" s="371"/>
      <c r="V153" s="371"/>
      <c r="W153" s="371"/>
      <c r="X153" s="371"/>
      <c r="Y153" s="371"/>
      <c r="Z153" s="84" t="str">
        <f t="shared" si="63"/>
        <v>0F</v>
      </c>
      <c r="AA153" s="84" t="s">
        <v>5</v>
      </c>
    </row>
    <row r="154" spans="1:27" hidden="1" outlineLevel="1" x14ac:dyDescent="0.25">
      <c r="A154" s="346">
        <v>2</v>
      </c>
      <c r="C154" s="55" t="str">
        <f t="shared" si="61"/>
        <v>0x00 0x04 aa 00 0D 02 00 0B 01 02 03 04 05 06 07 08 09 10 57 55</v>
      </c>
      <c r="D154" s="281" t="s">
        <v>691</v>
      </c>
      <c r="H154" s="344" t="s">
        <v>823</v>
      </c>
      <c r="I154" s="376" t="s">
        <v>866</v>
      </c>
      <c r="J154" s="84" t="s">
        <v>0</v>
      </c>
      <c r="K154" s="75" t="s">
        <v>1</v>
      </c>
      <c r="L154" s="75" t="str">
        <f t="shared" si="62"/>
        <v>0D</v>
      </c>
      <c r="M154" s="76" t="s">
        <v>678</v>
      </c>
      <c r="N154" s="76" t="s">
        <v>1</v>
      </c>
      <c r="O154" s="76" t="s">
        <v>36</v>
      </c>
      <c r="P154" s="371" t="s">
        <v>699</v>
      </c>
      <c r="Q154" s="371" t="s">
        <v>15</v>
      </c>
      <c r="R154" s="371" t="s">
        <v>13</v>
      </c>
      <c r="S154" s="371" t="s">
        <v>18</v>
      </c>
      <c r="T154" s="371" t="s">
        <v>122</v>
      </c>
      <c r="U154" s="371" t="s">
        <v>123</v>
      </c>
      <c r="V154" s="371" t="s">
        <v>124</v>
      </c>
      <c r="W154" s="371" t="s">
        <v>125</v>
      </c>
      <c r="X154" s="371" t="s">
        <v>126</v>
      </c>
      <c r="Y154" s="371" t="s">
        <v>157</v>
      </c>
      <c r="Z154" s="84" t="str">
        <f t="shared" si="63"/>
        <v>57</v>
      </c>
      <c r="AA154" s="84" t="s">
        <v>5</v>
      </c>
    </row>
    <row r="155" spans="1:27" hidden="1" outlineLevel="1" x14ac:dyDescent="0.25">
      <c r="A155" s="346">
        <v>2</v>
      </c>
      <c r="C155" s="55" t="str">
        <f t="shared" si="61"/>
        <v>0x00 0x04 aa 00 03 02 00 0C 11 55</v>
      </c>
      <c r="D155" s="281" t="s">
        <v>693</v>
      </c>
      <c r="H155" s="344" t="s">
        <v>823</v>
      </c>
      <c r="I155" s="376" t="s">
        <v>866</v>
      </c>
      <c r="J155" s="84" t="s">
        <v>0</v>
      </c>
      <c r="K155" s="75" t="s">
        <v>1</v>
      </c>
      <c r="L155" s="75" t="str">
        <f t="shared" si="62"/>
        <v>03</v>
      </c>
      <c r="M155" s="76" t="s">
        <v>678</v>
      </c>
      <c r="N155" s="76" t="s">
        <v>1</v>
      </c>
      <c r="O155" s="76" t="s">
        <v>352</v>
      </c>
      <c r="P155" s="371"/>
      <c r="Q155" s="371"/>
      <c r="R155" s="371"/>
      <c r="S155" s="371"/>
      <c r="T155" s="371"/>
      <c r="U155" s="371"/>
      <c r="V155" s="371"/>
      <c r="W155" s="371"/>
      <c r="X155" s="371"/>
      <c r="Y155" s="371"/>
      <c r="Z155" s="84" t="str">
        <f t="shared" si="63"/>
        <v>11</v>
      </c>
      <c r="AA155" s="84" t="s">
        <v>5</v>
      </c>
    </row>
    <row r="156" spans="1:27" hidden="1" outlineLevel="1" x14ac:dyDescent="0.25">
      <c r="A156" s="346">
        <v>2</v>
      </c>
      <c r="C156" s="55" t="e">
        <f t="shared" si="61"/>
        <v>#NUM!</v>
      </c>
      <c r="D156" s="281" t="s">
        <v>694</v>
      </c>
      <c r="H156" s="344" t="s">
        <v>823</v>
      </c>
      <c r="I156" s="376" t="s">
        <v>866</v>
      </c>
      <c r="J156" s="84" t="s">
        <v>0</v>
      </c>
      <c r="K156" s="75" t="s">
        <v>1</v>
      </c>
      <c r="L156" s="75" t="str">
        <f t="shared" si="62"/>
        <v>04</v>
      </c>
      <c r="M156" s="76" t="s">
        <v>678</v>
      </c>
      <c r="N156" s="76" t="s">
        <v>1</v>
      </c>
      <c r="O156" s="76" t="s">
        <v>353</v>
      </c>
      <c r="P156" s="371" t="s">
        <v>692</v>
      </c>
      <c r="Q156" s="371"/>
      <c r="R156" s="371"/>
      <c r="S156" s="371"/>
      <c r="T156" s="371"/>
      <c r="U156" s="371"/>
      <c r="V156" s="371"/>
      <c r="W156" s="371"/>
      <c r="X156" s="371"/>
      <c r="Y156" s="371"/>
      <c r="Z156" s="84" t="e">
        <f t="shared" si="63"/>
        <v>#NUM!</v>
      </c>
      <c r="AA156" s="84" t="s">
        <v>5</v>
      </c>
    </row>
    <row r="157" spans="1:27" collapsed="1" x14ac:dyDescent="0.25"/>
    <row r="158" spans="1:27" ht="16.8" x14ac:dyDescent="0.25">
      <c r="A158" s="338">
        <v>1</v>
      </c>
      <c r="B158" s="338"/>
      <c r="C158" s="338"/>
      <c r="D158" s="338" t="s">
        <v>867</v>
      </c>
      <c r="H158" s="380" t="s">
        <v>820</v>
      </c>
      <c r="I158" s="380" t="s">
        <v>821</v>
      </c>
      <c r="J158" s="86" t="s">
        <v>77</v>
      </c>
      <c r="K158" s="379" t="s">
        <v>78</v>
      </c>
      <c r="L158" s="379" t="s">
        <v>10</v>
      </c>
      <c r="M158" s="379" t="s">
        <v>79</v>
      </c>
      <c r="N158" s="379" t="s">
        <v>80</v>
      </c>
      <c r="O158" s="379" t="s">
        <v>11</v>
      </c>
      <c r="P158" s="424" t="s">
        <v>83</v>
      </c>
      <c r="Q158" s="424"/>
      <c r="R158" s="424"/>
      <c r="S158" s="424"/>
      <c r="T158" s="424"/>
      <c r="U158" s="424"/>
      <c r="V158" s="424"/>
      <c r="W158" s="424"/>
      <c r="X158" s="424"/>
      <c r="Y158" s="424"/>
      <c r="Z158" s="83" t="s">
        <v>81</v>
      </c>
      <c r="AA158" s="83" t="s">
        <v>82</v>
      </c>
    </row>
    <row r="159" spans="1:27" ht="13.5" customHeight="1" x14ac:dyDescent="0.25">
      <c r="J159" s="425" t="s">
        <v>282</v>
      </c>
      <c r="K159" s="426"/>
      <c r="L159" s="426"/>
      <c r="M159" s="426"/>
      <c r="N159" s="426"/>
      <c r="O159" s="426"/>
      <c r="P159" s="426"/>
      <c r="Q159" s="426"/>
      <c r="R159" s="426"/>
      <c r="S159" s="426"/>
      <c r="T159" s="426"/>
      <c r="U159" s="426"/>
      <c r="V159" s="426"/>
      <c r="W159" s="426"/>
      <c r="X159" s="426"/>
      <c r="Y159" s="426"/>
      <c r="Z159" s="426"/>
      <c r="AA159" s="427"/>
    </row>
    <row r="160" spans="1:27" x14ac:dyDescent="0.25">
      <c r="A160" s="346">
        <v>2</v>
      </c>
      <c r="C160" s="12" t="str">
        <f t="shared" ref="C160:C224" si="64">IF(ISBLANK(H160),,H160&amp;" ")&amp;IF(ISBLANK(I160),,I160&amp;" ")&amp;IF(ISBLANK(J160),,J160&amp;" ")&amp;IF(ISBLANK(K160),,K160&amp;" ")&amp;IF(ISBLANK(L160),,L160&amp;" ")&amp;IF(ISBLANK(M160),,M160&amp;" ")&amp;IF(ISBLANK(N160),,N160&amp;" ")&amp;IF(ISBLANK(O160),,O160&amp;" ")&amp;IF(ISBLANK(P160),,P160&amp;" ")&amp;IF(ISBLANK(Q160),,Q160&amp;" ")&amp;IF(ISBLANK(R160),,R160&amp;" ")&amp;IF(ISBLANK(S160),,S160&amp;" ")&amp;IF(ISBLANK(T160),,T160&amp;" ")&amp;IF(ISBLANK(U160),,U160&amp;" ")&amp;IF(ISBLANK(V160),,V160&amp;" ")&amp;IF(ISBLANK(W160),,W160&amp;" ")&amp;IF(ISBLANK(X160),,X160&amp;" ")&amp;IF(ISBLANK(Y160),,Y160&amp;" ")&amp;IF(ISBLANK(Z160),,Z160&amp;" ")&amp;IF(ISBLANK(AA160),,AA160)</f>
        <v>aa 00 04 21 00 00 00 25 55</v>
      </c>
      <c r="D160" s="381" t="s">
        <v>868</v>
      </c>
      <c r="H160" s="344"/>
      <c r="I160" s="344"/>
      <c r="J160" s="1" t="s">
        <v>0</v>
      </c>
      <c r="K160" s="1" t="s">
        <v>1</v>
      </c>
      <c r="L160" s="1" t="s">
        <v>2</v>
      </c>
      <c r="M160" s="2" t="s">
        <v>3</v>
      </c>
      <c r="N160" s="2" t="s">
        <v>1</v>
      </c>
      <c r="O160" s="2" t="s">
        <v>1</v>
      </c>
      <c r="P160" s="3" t="s">
        <v>1</v>
      </c>
      <c r="Q160" s="57"/>
      <c r="R160" s="57"/>
      <c r="S160" s="57"/>
      <c r="T160" s="57"/>
      <c r="U160" s="57"/>
      <c r="V160" s="57"/>
      <c r="W160" s="57"/>
      <c r="X160" s="57"/>
      <c r="Y160" s="57"/>
      <c r="Z160" s="13" t="str">
        <f t="shared" ref="Z160:Z224" si="65">DEC2HEX(MOD(HEX2DEC(K160)+HEX2DEC(L160)+HEX2DEC(M160)+HEX2DEC(N160)+HEX2DEC(O160)+HEX2DEC(P160)+HEX2DEC(Q160)+HEX2DEC(R160)+HEX2DEC(S160)+HEX2DEC(T160)+HEX2DEC(U160)+HEX2DEC(V160)+HEX2DEC(Y160),256),2)</f>
        <v>25</v>
      </c>
      <c r="AA160" s="13" t="s">
        <v>5</v>
      </c>
    </row>
    <row r="161" spans="1:27" x14ac:dyDescent="0.25">
      <c r="A161" s="346">
        <v>2</v>
      </c>
      <c r="C161" s="12" t="str">
        <f t="shared" si="64"/>
        <v>aa 00 04 21 00 00 01 26 55</v>
      </c>
      <c r="D161" s="381" t="s">
        <v>869</v>
      </c>
      <c r="H161" s="344"/>
      <c r="I161" s="344"/>
      <c r="J161" s="1" t="s">
        <v>0</v>
      </c>
      <c r="K161" s="1" t="s">
        <v>1</v>
      </c>
      <c r="L161" s="1" t="s">
        <v>2</v>
      </c>
      <c r="M161" s="2" t="s">
        <v>3</v>
      </c>
      <c r="N161" s="2" t="s">
        <v>1</v>
      </c>
      <c r="O161" s="2" t="s">
        <v>1</v>
      </c>
      <c r="P161" s="3" t="s">
        <v>14</v>
      </c>
      <c r="Q161" s="57"/>
      <c r="R161" s="57"/>
      <c r="S161" s="57"/>
      <c r="T161" s="57"/>
      <c r="U161" s="57"/>
      <c r="V161" s="57"/>
      <c r="W161" s="57"/>
      <c r="X161" s="57"/>
      <c r="Y161" s="57"/>
      <c r="Z161" s="13" t="str">
        <f t="shared" si="65"/>
        <v>26</v>
      </c>
      <c r="AA161" s="13" t="s">
        <v>5</v>
      </c>
    </row>
    <row r="162" spans="1:27" x14ac:dyDescent="0.25">
      <c r="A162" s="346">
        <v>2</v>
      </c>
      <c r="C162" s="387" t="s">
        <v>874</v>
      </c>
      <c r="D162" s="387"/>
    </row>
    <row r="163" spans="1:27" hidden="1" outlineLevel="1" x14ac:dyDescent="0.25">
      <c r="A163" s="382">
        <v>3</v>
      </c>
      <c r="C163" s="12" t="str">
        <f t="shared" si="64"/>
        <v>aa 00 04 21 01 00 00 26 55</v>
      </c>
      <c r="D163" s="381" t="s">
        <v>870</v>
      </c>
      <c r="H163" s="344"/>
      <c r="I163" s="344"/>
      <c r="J163" s="1" t="s">
        <v>0</v>
      </c>
      <c r="K163" s="1" t="s">
        <v>1</v>
      </c>
      <c r="L163" s="1" t="s">
        <v>2</v>
      </c>
      <c r="M163" s="2" t="s">
        <v>3</v>
      </c>
      <c r="N163" s="2" t="s">
        <v>4</v>
      </c>
      <c r="O163" s="2" t="s">
        <v>1</v>
      </c>
      <c r="P163" s="3" t="s">
        <v>1</v>
      </c>
      <c r="Q163" s="57"/>
      <c r="R163" s="57"/>
      <c r="S163" s="57"/>
      <c r="T163" s="57"/>
      <c r="U163" s="57"/>
      <c r="V163" s="57"/>
      <c r="W163" s="57"/>
      <c r="X163" s="57"/>
      <c r="Y163" s="57"/>
      <c r="Z163" s="13" t="str">
        <f t="shared" si="65"/>
        <v>26</v>
      </c>
      <c r="AA163" s="13" t="s">
        <v>5</v>
      </c>
    </row>
    <row r="164" spans="1:27" hidden="1" outlineLevel="1" x14ac:dyDescent="0.25">
      <c r="A164" s="382">
        <v>3</v>
      </c>
      <c r="C164" s="12" t="str">
        <f t="shared" si="64"/>
        <v>aa 00 04 21 01 00 01 27 55</v>
      </c>
      <c r="D164" s="381" t="s">
        <v>871</v>
      </c>
      <c r="H164" s="344"/>
      <c r="I164" s="344"/>
      <c r="J164" s="1" t="s">
        <v>0</v>
      </c>
      <c r="K164" s="1" t="s">
        <v>1</v>
      </c>
      <c r="L164" s="1" t="s">
        <v>2</v>
      </c>
      <c r="M164" s="2" t="s">
        <v>3</v>
      </c>
      <c r="N164" s="2" t="s">
        <v>4</v>
      </c>
      <c r="O164" s="2" t="s">
        <v>1</v>
      </c>
      <c r="P164" s="3" t="s">
        <v>14</v>
      </c>
      <c r="Q164" s="57"/>
      <c r="R164" s="57"/>
      <c r="S164" s="57"/>
      <c r="T164" s="57"/>
      <c r="U164" s="57"/>
      <c r="V164" s="57"/>
      <c r="W164" s="57"/>
      <c r="X164" s="57"/>
      <c r="Y164" s="57"/>
      <c r="Z164" s="13" t="str">
        <f t="shared" si="65"/>
        <v>27</v>
      </c>
      <c r="AA164" s="13" t="s">
        <v>5</v>
      </c>
    </row>
    <row r="165" spans="1:27" hidden="1" outlineLevel="1" x14ac:dyDescent="0.25">
      <c r="A165" s="382">
        <v>3</v>
      </c>
      <c r="C165" s="12" t="str">
        <f t="shared" si="64"/>
        <v>aa 00 04 21 02 00 00 27 55</v>
      </c>
      <c r="D165" s="381" t="s">
        <v>283</v>
      </c>
      <c r="H165" s="344"/>
      <c r="I165" s="344"/>
      <c r="J165" s="1" t="s">
        <v>0</v>
      </c>
      <c r="K165" s="1" t="s">
        <v>1</v>
      </c>
      <c r="L165" s="1" t="s">
        <v>2</v>
      </c>
      <c r="M165" s="2" t="s">
        <v>3</v>
      </c>
      <c r="N165" s="2" t="s">
        <v>7</v>
      </c>
      <c r="O165" s="2" t="s">
        <v>1</v>
      </c>
      <c r="P165" s="3" t="s">
        <v>1</v>
      </c>
      <c r="Q165" s="57"/>
      <c r="R165" s="57"/>
      <c r="S165" s="57"/>
      <c r="T165" s="57"/>
      <c r="U165" s="57"/>
      <c r="V165" s="57"/>
      <c r="W165" s="57"/>
      <c r="X165" s="57"/>
      <c r="Y165" s="57"/>
      <c r="Z165" s="13" t="str">
        <f t="shared" si="65"/>
        <v>27</v>
      </c>
      <c r="AA165" s="13" t="s">
        <v>5</v>
      </c>
    </row>
    <row r="166" spans="1:27" hidden="1" outlineLevel="1" x14ac:dyDescent="0.25">
      <c r="A166" s="382">
        <v>3</v>
      </c>
      <c r="C166" s="12" t="str">
        <f t="shared" si="64"/>
        <v>aa 00 04 21 02 00 01 28 55</v>
      </c>
      <c r="D166" s="381" t="s">
        <v>284</v>
      </c>
      <c r="H166" s="344"/>
      <c r="I166" s="344"/>
      <c r="J166" s="1" t="s">
        <v>0</v>
      </c>
      <c r="K166" s="1" t="s">
        <v>1</v>
      </c>
      <c r="L166" s="1" t="s">
        <v>2</v>
      </c>
      <c r="M166" s="2" t="s">
        <v>3</v>
      </c>
      <c r="N166" s="2" t="s">
        <v>7</v>
      </c>
      <c r="O166" s="2" t="s">
        <v>1</v>
      </c>
      <c r="P166" s="3" t="s">
        <v>14</v>
      </c>
      <c r="Q166" s="57"/>
      <c r="R166" s="57"/>
      <c r="S166" s="57"/>
      <c r="T166" s="57"/>
      <c r="U166" s="57"/>
      <c r="V166" s="57"/>
      <c r="W166" s="57"/>
      <c r="X166" s="57"/>
      <c r="Y166" s="57"/>
      <c r="Z166" s="13" t="str">
        <f t="shared" si="65"/>
        <v>28</v>
      </c>
      <c r="AA166" s="13" t="s">
        <v>5</v>
      </c>
    </row>
    <row r="167" spans="1:27" hidden="1" outlineLevel="1" x14ac:dyDescent="0.25">
      <c r="A167" s="382">
        <v>3</v>
      </c>
      <c r="C167" s="12" t="str">
        <f t="shared" si="64"/>
        <v>aa 00 04 21 03 00 00 28 55</v>
      </c>
      <c r="D167" s="381" t="s">
        <v>285</v>
      </c>
      <c r="H167" s="344"/>
      <c r="I167" s="344"/>
      <c r="J167" s="1" t="s">
        <v>0</v>
      </c>
      <c r="K167" s="1" t="s">
        <v>1</v>
      </c>
      <c r="L167" s="1" t="s">
        <v>2</v>
      </c>
      <c r="M167" s="2" t="s">
        <v>3</v>
      </c>
      <c r="N167" s="2" t="s">
        <v>8</v>
      </c>
      <c r="O167" s="2" t="s">
        <v>1</v>
      </c>
      <c r="P167" s="3" t="s">
        <v>1</v>
      </c>
      <c r="Q167" s="57"/>
      <c r="R167" s="57"/>
      <c r="S167" s="57"/>
      <c r="T167" s="57"/>
      <c r="U167" s="57"/>
      <c r="V167" s="57"/>
      <c r="W167" s="57"/>
      <c r="X167" s="57"/>
      <c r="Y167" s="57"/>
      <c r="Z167" s="13" t="str">
        <f t="shared" si="65"/>
        <v>28</v>
      </c>
      <c r="AA167" s="13" t="s">
        <v>5</v>
      </c>
    </row>
    <row r="168" spans="1:27" hidden="1" outlineLevel="1" x14ac:dyDescent="0.25">
      <c r="A168" s="382">
        <v>3</v>
      </c>
      <c r="C168" s="12" t="str">
        <f t="shared" si="64"/>
        <v>aa 00 04 21 03 00 01 29 55</v>
      </c>
      <c r="D168" s="381" t="s">
        <v>286</v>
      </c>
      <c r="H168" s="344"/>
      <c r="I168" s="344"/>
      <c r="J168" s="1" t="s">
        <v>0</v>
      </c>
      <c r="K168" s="1" t="s">
        <v>1</v>
      </c>
      <c r="L168" s="1" t="s">
        <v>2</v>
      </c>
      <c r="M168" s="2" t="s">
        <v>3</v>
      </c>
      <c r="N168" s="2" t="s">
        <v>8</v>
      </c>
      <c r="O168" s="2" t="s">
        <v>1</v>
      </c>
      <c r="P168" s="3" t="s">
        <v>14</v>
      </c>
      <c r="Q168" s="57"/>
      <c r="R168" s="57"/>
      <c r="S168" s="57"/>
      <c r="T168" s="57"/>
      <c r="U168" s="57"/>
      <c r="V168" s="57"/>
      <c r="W168" s="57"/>
      <c r="X168" s="57"/>
      <c r="Y168" s="57"/>
      <c r="Z168" s="13" t="str">
        <f t="shared" si="65"/>
        <v>29</v>
      </c>
      <c r="AA168" s="13" t="s">
        <v>5</v>
      </c>
    </row>
    <row r="169" spans="1:27" hidden="1" outlineLevel="1" x14ac:dyDescent="0.25">
      <c r="A169" s="382">
        <v>3</v>
      </c>
      <c r="C169" s="12" t="str">
        <f t="shared" si="64"/>
        <v>aa 00 04 21 04 00 01 2A 55</v>
      </c>
      <c r="D169" s="381" t="s">
        <v>117</v>
      </c>
      <c r="H169" s="344"/>
      <c r="I169" s="344"/>
      <c r="J169" s="1" t="s">
        <v>0</v>
      </c>
      <c r="K169" s="1" t="s">
        <v>1</v>
      </c>
      <c r="L169" s="1" t="s">
        <v>2</v>
      </c>
      <c r="M169" s="2" t="s">
        <v>3</v>
      </c>
      <c r="N169" s="2" t="s">
        <v>18</v>
      </c>
      <c r="O169" s="2" t="s">
        <v>1</v>
      </c>
      <c r="P169" s="3" t="s">
        <v>14</v>
      </c>
      <c r="Q169" s="57"/>
      <c r="R169" s="57"/>
      <c r="S169" s="57"/>
      <c r="T169" s="57"/>
      <c r="U169" s="57"/>
      <c r="V169" s="57"/>
      <c r="W169" s="57"/>
      <c r="X169" s="57"/>
      <c r="Y169" s="57"/>
      <c r="Z169" s="13" t="str">
        <f t="shared" si="65"/>
        <v>2A</v>
      </c>
      <c r="AA169" s="13" t="s">
        <v>5</v>
      </c>
    </row>
    <row r="170" spans="1:27" hidden="1" outlineLevel="1" x14ac:dyDescent="0.25">
      <c r="A170" s="382">
        <v>3</v>
      </c>
      <c r="C170" s="12" t="str">
        <f t="shared" si="64"/>
        <v>aa 00 04 21 05 00 01 2B 55</v>
      </c>
      <c r="D170" s="381" t="s">
        <v>118</v>
      </c>
      <c r="H170" s="344"/>
      <c r="I170" s="344"/>
      <c r="J170" s="1" t="s">
        <v>0</v>
      </c>
      <c r="K170" s="1" t="s">
        <v>1</v>
      </c>
      <c r="L170" s="1" t="s">
        <v>2</v>
      </c>
      <c r="M170" s="2" t="s">
        <v>3</v>
      </c>
      <c r="N170" s="2" t="s">
        <v>122</v>
      </c>
      <c r="O170" s="2" t="s">
        <v>1</v>
      </c>
      <c r="P170" s="3" t="s">
        <v>14</v>
      </c>
      <c r="Q170" s="57"/>
      <c r="R170" s="57"/>
      <c r="S170" s="57"/>
      <c r="T170" s="57"/>
      <c r="U170" s="57"/>
      <c r="V170" s="57"/>
      <c r="W170" s="57"/>
      <c r="X170" s="57"/>
      <c r="Y170" s="57"/>
      <c r="Z170" s="13" t="str">
        <f t="shared" si="65"/>
        <v>2B</v>
      </c>
      <c r="AA170" s="13" t="s">
        <v>5</v>
      </c>
    </row>
    <row r="171" spans="1:27" hidden="1" outlineLevel="1" x14ac:dyDescent="0.25">
      <c r="A171" s="382">
        <v>3</v>
      </c>
      <c r="C171" s="12" t="str">
        <f t="shared" si="64"/>
        <v>aa 00 04 21 06 00 01 2C 55</v>
      </c>
      <c r="D171" s="381" t="s">
        <v>872</v>
      </c>
      <c r="H171" s="344"/>
      <c r="I171" s="344"/>
      <c r="J171" s="1" t="s">
        <v>0</v>
      </c>
      <c r="K171" s="1" t="s">
        <v>1</v>
      </c>
      <c r="L171" s="1" t="s">
        <v>2</v>
      </c>
      <c r="M171" s="2" t="s">
        <v>3</v>
      </c>
      <c r="N171" s="2" t="s">
        <v>123</v>
      </c>
      <c r="O171" s="2" t="s">
        <v>1</v>
      </c>
      <c r="P171" s="3" t="s">
        <v>14</v>
      </c>
      <c r="Q171" s="57"/>
      <c r="R171" s="57"/>
      <c r="S171" s="57"/>
      <c r="T171" s="57"/>
      <c r="U171" s="57"/>
      <c r="V171" s="57"/>
      <c r="W171" s="57"/>
      <c r="X171" s="57"/>
      <c r="Y171" s="57"/>
      <c r="Z171" s="13" t="str">
        <f t="shared" si="65"/>
        <v>2C</v>
      </c>
      <c r="AA171" s="13" t="s">
        <v>5</v>
      </c>
    </row>
    <row r="172" spans="1:27" hidden="1" outlineLevel="1" x14ac:dyDescent="0.25">
      <c r="A172" s="382">
        <v>3</v>
      </c>
      <c r="C172" s="12" t="str">
        <f t="shared" si="64"/>
        <v>aa 00 04 21 07 00 01 2D 55</v>
      </c>
      <c r="D172" s="381" t="s">
        <v>119</v>
      </c>
      <c r="H172" s="344"/>
      <c r="I172" s="344"/>
      <c r="J172" s="1" t="s">
        <v>0</v>
      </c>
      <c r="K172" s="1" t="s">
        <v>1</v>
      </c>
      <c r="L172" s="1" t="s">
        <v>2</v>
      </c>
      <c r="M172" s="2" t="s">
        <v>3</v>
      </c>
      <c r="N172" s="2" t="s">
        <v>124</v>
      </c>
      <c r="O172" s="2" t="s">
        <v>1</v>
      </c>
      <c r="P172" s="3" t="s">
        <v>14</v>
      </c>
      <c r="Q172" s="57"/>
      <c r="R172" s="57"/>
      <c r="S172" s="57"/>
      <c r="T172" s="57"/>
      <c r="U172" s="57"/>
      <c r="V172" s="57"/>
      <c r="W172" s="57"/>
      <c r="X172" s="57"/>
      <c r="Y172" s="57"/>
      <c r="Z172" s="13" t="str">
        <f t="shared" si="65"/>
        <v>2D</v>
      </c>
      <c r="AA172" s="13" t="s">
        <v>5</v>
      </c>
    </row>
    <row r="173" spans="1:27" hidden="1" outlineLevel="1" x14ac:dyDescent="0.25">
      <c r="A173" s="382">
        <v>3</v>
      </c>
      <c r="C173" s="12" t="str">
        <f t="shared" si="64"/>
        <v>aa 00 04 21 08 00 01 2E 55</v>
      </c>
      <c r="D173" s="381" t="s">
        <v>120</v>
      </c>
      <c r="H173" s="344"/>
      <c r="I173" s="344"/>
      <c r="J173" s="1" t="s">
        <v>0</v>
      </c>
      <c r="K173" s="1" t="s">
        <v>1</v>
      </c>
      <c r="L173" s="1" t="s">
        <v>2</v>
      </c>
      <c r="M173" s="2" t="s">
        <v>3</v>
      </c>
      <c r="N173" s="2" t="s">
        <v>125</v>
      </c>
      <c r="O173" s="2" t="s">
        <v>1</v>
      </c>
      <c r="P173" s="3" t="s">
        <v>14</v>
      </c>
      <c r="Q173" s="57"/>
      <c r="R173" s="57"/>
      <c r="S173" s="57"/>
      <c r="T173" s="57"/>
      <c r="U173" s="57"/>
      <c r="V173" s="57"/>
      <c r="W173" s="57"/>
      <c r="X173" s="57"/>
      <c r="Y173" s="57"/>
      <c r="Z173" s="13" t="str">
        <f t="shared" si="65"/>
        <v>2E</v>
      </c>
      <c r="AA173" s="13" t="s">
        <v>5</v>
      </c>
    </row>
    <row r="174" spans="1:27" hidden="1" outlineLevel="1" x14ac:dyDescent="0.25">
      <c r="A174" s="382">
        <v>3</v>
      </c>
      <c r="C174" s="12" t="str">
        <f t="shared" si="64"/>
        <v>aa 00 04 21 09 00 01 2F 55</v>
      </c>
      <c r="D174" s="381" t="s">
        <v>121</v>
      </c>
      <c r="H174" s="344"/>
      <c r="I174" s="344"/>
      <c r="J174" s="1" t="s">
        <v>0</v>
      </c>
      <c r="K174" s="1" t="s">
        <v>1</v>
      </c>
      <c r="L174" s="1" t="s">
        <v>2</v>
      </c>
      <c r="M174" s="2" t="s">
        <v>3</v>
      </c>
      <c r="N174" s="2" t="s">
        <v>126</v>
      </c>
      <c r="O174" s="2" t="s">
        <v>1</v>
      </c>
      <c r="P174" s="3" t="s">
        <v>14</v>
      </c>
      <c r="Q174" s="57"/>
      <c r="R174" s="57"/>
      <c r="S174" s="57"/>
      <c r="T174" s="57"/>
      <c r="U174" s="57"/>
      <c r="V174" s="57"/>
      <c r="W174" s="57"/>
      <c r="X174" s="57"/>
      <c r="Y174" s="57"/>
      <c r="Z174" s="13" t="str">
        <f t="shared" si="65"/>
        <v>2F</v>
      </c>
      <c r="AA174" s="13" t="s">
        <v>5</v>
      </c>
    </row>
    <row r="175" spans="1:27" hidden="1" outlineLevel="1" x14ac:dyDescent="0.25">
      <c r="A175" s="382">
        <v>3</v>
      </c>
      <c r="C175" s="12" t="str">
        <f t="shared" si="64"/>
        <v>aa 00 04 21 0A 00 01 30 55</v>
      </c>
      <c r="D175" s="381" t="s">
        <v>127</v>
      </c>
      <c r="H175" s="344"/>
      <c r="I175" s="344"/>
      <c r="J175" s="1" t="s">
        <v>0</v>
      </c>
      <c r="K175" s="1" t="s">
        <v>1</v>
      </c>
      <c r="L175" s="1" t="s">
        <v>2</v>
      </c>
      <c r="M175" s="2" t="s">
        <v>3</v>
      </c>
      <c r="N175" s="2" t="s">
        <v>207</v>
      </c>
      <c r="O175" s="2" t="s">
        <v>1</v>
      </c>
      <c r="P175" s="3" t="s">
        <v>14</v>
      </c>
      <c r="Q175" s="57"/>
      <c r="R175" s="57"/>
      <c r="S175" s="57"/>
      <c r="T175" s="57"/>
      <c r="U175" s="57"/>
      <c r="V175" s="57"/>
      <c r="W175" s="57"/>
      <c r="X175" s="57"/>
      <c r="Y175" s="57"/>
      <c r="Z175" s="13" t="str">
        <f t="shared" si="65"/>
        <v>30</v>
      </c>
      <c r="AA175" s="13" t="s">
        <v>5</v>
      </c>
    </row>
    <row r="176" spans="1:27" hidden="1" outlineLevel="1" x14ac:dyDescent="0.25">
      <c r="A176" s="382">
        <v>3</v>
      </c>
      <c r="C176" s="12" t="str">
        <f t="shared" si="64"/>
        <v>aa 00 04 21 0B 00 01 31 55</v>
      </c>
      <c r="D176" s="381" t="s">
        <v>128</v>
      </c>
      <c r="H176" s="344"/>
      <c r="I176" s="344"/>
      <c r="J176" s="1" t="s">
        <v>0</v>
      </c>
      <c r="K176" s="1" t="s">
        <v>1</v>
      </c>
      <c r="L176" s="1" t="s">
        <v>2</v>
      </c>
      <c r="M176" s="2" t="s">
        <v>3</v>
      </c>
      <c r="N176" s="2" t="s">
        <v>208</v>
      </c>
      <c r="O176" s="2" t="s">
        <v>1</v>
      </c>
      <c r="P176" s="3" t="s">
        <v>14</v>
      </c>
      <c r="Q176" s="57"/>
      <c r="R176" s="57"/>
      <c r="S176" s="57"/>
      <c r="T176" s="57"/>
      <c r="U176" s="57"/>
      <c r="V176" s="57"/>
      <c r="W176" s="57"/>
      <c r="X176" s="57"/>
      <c r="Y176" s="57"/>
      <c r="Z176" s="13" t="str">
        <f t="shared" si="65"/>
        <v>31</v>
      </c>
      <c r="AA176" s="13" t="s">
        <v>5</v>
      </c>
    </row>
    <row r="177" spans="1:27" hidden="1" outlineLevel="1" x14ac:dyDescent="0.25">
      <c r="A177" s="382">
        <v>3</v>
      </c>
      <c r="C177" s="12" t="str">
        <f t="shared" si="64"/>
        <v>aa 00 04 21 0C 00 01 32 55</v>
      </c>
      <c r="D177" s="381" t="s">
        <v>129</v>
      </c>
      <c r="H177" s="344"/>
      <c r="I177" s="344"/>
      <c r="J177" s="1" t="s">
        <v>0</v>
      </c>
      <c r="K177" s="1" t="s">
        <v>1</v>
      </c>
      <c r="L177" s="1" t="s">
        <v>2</v>
      </c>
      <c r="M177" s="2" t="s">
        <v>3</v>
      </c>
      <c r="N177" s="2" t="s">
        <v>209</v>
      </c>
      <c r="O177" s="2" t="s">
        <v>1</v>
      </c>
      <c r="P177" s="3" t="s">
        <v>14</v>
      </c>
      <c r="Q177" s="57"/>
      <c r="R177" s="57"/>
      <c r="S177" s="57"/>
      <c r="T177" s="57"/>
      <c r="U177" s="57"/>
      <c r="V177" s="57"/>
      <c r="W177" s="57"/>
      <c r="X177" s="57"/>
      <c r="Y177" s="57"/>
      <c r="Z177" s="13" t="str">
        <f t="shared" si="65"/>
        <v>32</v>
      </c>
      <c r="AA177" s="13" t="s">
        <v>5</v>
      </c>
    </row>
    <row r="178" spans="1:27" hidden="1" outlineLevel="1" x14ac:dyDescent="0.25">
      <c r="A178" s="382">
        <v>3</v>
      </c>
      <c r="C178" s="12" t="str">
        <f t="shared" si="64"/>
        <v>aa 00 04 21 0D 00 01 33 55</v>
      </c>
      <c r="D178" s="381" t="s">
        <v>130</v>
      </c>
      <c r="H178" s="344"/>
      <c r="I178" s="344"/>
      <c r="J178" s="1" t="s">
        <v>0</v>
      </c>
      <c r="K178" s="1" t="s">
        <v>1</v>
      </c>
      <c r="L178" s="1" t="s">
        <v>2</v>
      </c>
      <c r="M178" s="2" t="s">
        <v>3</v>
      </c>
      <c r="N178" s="2" t="s">
        <v>210</v>
      </c>
      <c r="O178" s="2" t="s">
        <v>1</v>
      </c>
      <c r="P178" s="3" t="s">
        <v>14</v>
      </c>
      <c r="Q178" s="57"/>
      <c r="R178" s="57"/>
      <c r="S178" s="57"/>
      <c r="T178" s="57"/>
      <c r="U178" s="57"/>
      <c r="V178" s="57"/>
      <c r="W178" s="57"/>
      <c r="X178" s="57"/>
      <c r="Y178" s="57"/>
      <c r="Z178" s="13" t="str">
        <f t="shared" si="65"/>
        <v>33</v>
      </c>
      <c r="AA178" s="13" t="s">
        <v>5</v>
      </c>
    </row>
    <row r="179" spans="1:27" hidden="1" outlineLevel="1" x14ac:dyDescent="0.25">
      <c r="A179" s="382">
        <v>3</v>
      </c>
      <c r="C179" s="12" t="str">
        <f t="shared" si="64"/>
        <v>aa 00 04 21 0E 00 01 34 55</v>
      </c>
      <c r="D179" s="381" t="s">
        <v>131</v>
      </c>
      <c r="H179" s="344"/>
      <c r="I179" s="344"/>
      <c r="J179" s="1" t="s">
        <v>0</v>
      </c>
      <c r="K179" s="1" t="s">
        <v>1</v>
      </c>
      <c r="L179" s="1" t="s">
        <v>2</v>
      </c>
      <c r="M179" s="2" t="s">
        <v>3</v>
      </c>
      <c r="N179" s="2" t="s">
        <v>227</v>
      </c>
      <c r="O179" s="2" t="s">
        <v>1</v>
      </c>
      <c r="P179" s="3" t="s">
        <v>14</v>
      </c>
      <c r="Q179" s="57"/>
      <c r="R179" s="57"/>
      <c r="S179" s="57"/>
      <c r="T179" s="57"/>
      <c r="U179" s="57"/>
      <c r="V179" s="57"/>
      <c r="W179" s="57"/>
      <c r="X179" s="57"/>
      <c r="Y179" s="57"/>
      <c r="Z179" s="13" t="str">
        <f t="shared" si="65"/>
        <v>34</v>
      </c>
      <c r="AA179" s="13" t="s">
        <v>5</v>
      </c>
    </row>
    <row r="180" spans="1:27" hidden="1" outlineLevel="1" x14ac:dyDescent="0.25">
      <c r="A180" s="382">
        <v>3</v>
      </c>
      <c r="C180" s="12" t="str">
        <f t="shared" si="64"/>
        <v>aa 00 04 21 0F 00 01 35 55</v>
      </c>
      <c r="D180" s="381" t="s">
        <v>132</v>
      </c>
      <c r="H180" s="344"/>
      <c r="I180" s="344"/>
      <c r="J180" s="1" t="s">
        <v>0</v>
      </c>
      <c r="K180" s="1" t="s">
        <v>1</v>
      </c>
      <c r="L180" s="1" t="s">
        <v>2</v>
      </c>
      <c r="M180" s="2" t="s">
        <v>3</v>
      </c>
      <c r="N180" s="2" t="s">
        <v>211</v>
      </c>
      <c r="O180" s="2" t="s">
        <v>1</v>
      </c>
      <c r="P180" s="3" t="s">
        <v>14</v>
      </c>
      <c r="Q180" s="57"/>
      <c r="R180" s="57"/>
      <c r="S180" s="57"/>
      <c r="T180" s="57"/>
      <c r="U180" s="57"/>
      <c r="V180" s="57"/>
      <c r="W180" s="57"/>
      <c r="X180" s="57"/>
      <c r="Y180" s="57"/>
      <c r="Z180" s="13" t="str">
        <f t="shared" si="65"/>
        <v>35</v>
      </c>
      <c r="AA180" s="13" t="s">
        <v>5</v>
      </c>
    </row>
    <row r="181" spans="1:27" hidden="1" outlineLevel="1" x14ac:dyDescent="0.25">
      <c r="A181" s="382">
        <v>3</v>
      </c>
      <c r="C181" s="12" t="str">
        <f t="shared" si="64"/>
        <v>aa 00 04 21 10 00 01 36 55</v>
      </c>
      <c r="D181" s="381" t="s">
        <v>133</v>
      </c>
      <c r="H181" s="344"/>
      <c r="I181" s="344"/>
      <c r="J181" s="1" t="s">
        <v>0</v>
      </c>
      <c r="K181" s="1" t="s">
        <v>1</v>
      </c>
      <c r="L181" s="1" t="s">
        <v>2</v>
      </c>
      <c r="M181" s="2" t="s">
        <v>3</v>
      </c>
      <c r="N181" s="2" t="s">
        <v>157</v>
      </c>
      <c r="O181" s="2" t="s">
        <v>1</v>
      </c>
      <c r="P181" s="3" t="s">
        <v>14</v>
      </c>
      <c r="Q181" s="57"/>
      <c r="R181" s="57"/>
      <c r="S181" s="57"/>
      <c r="T181" s="57"/>
      <c r="U181" s="57"/>
      <c r="V181" s="57"/>
      <c r="W181" s="57"/>
      <c r="X181" s="57"/>
      <c r="Y181" s="57"/>
      <c r="Z181" s="13" t="str">
        <f t="shared" si="65"/>
        <v>36</v>
      </c>
      <c r="AA181" s="13" t="s">
        <v>5</v>
      </c>
    </row>
    <row r="182" spans="1:27" hidden="1" outlineLevel="1" x14ac:dyDescent="0.25">
      <c r="A182" s="382">
        <v>3</v>
      </c>
      <c r="C182" s="12" t="str">
        <f t="shared" si="64"/>
        <v>aa 00 04 21 11 00 01 37 55</v>
      </c>
      <c r="D182" s="381" t="s">
        <v>134</v>
      </c>
      <c r="H182" s="344"/>
      <c r="I182" s="344"/>
      <c r="J182" s="1" t="s">
        <v>0</v>
      </c>
      <c r="K182" s="1" t="s">
        <v>1</v>
      </c>
      <c r="L182" s="1" t="s">
        <v>2</v>
      </c>
      <c r="M182" s="2" t="s">
        <v>3</v>
      </c>
      <c r="N182" s="2" t="s">
        <v>158</v>
      </c>
      <c r="O182" s="2" t="s">
        <v>1</v>
      </c>
      <c r="P182" s="3" t="s">
        <v>14</v>
      </c>
      <c r="Q182" s="57"/>
      <c r="R182" s="57"/>
      <c r="S182" s="57"/>
      <c r="T182" s="57"/>
      <c r="U182" s="57"/>
      <c r="V182" s="57"/>
      <c r="W182" s="57"/>
      <c r="X182" s="57"/>
      <c r="Y182" s="57"/>
      <c r="Z182" s="13" t="str">
        <f t="shared" si="65"/>
        <v>37</v>
      </c>
      <c r="AA182" s="13" t="s">
        <v>5</v>
      </c>
    </row>
    <row r="183" spans="1:27" hidden="1" outlineLevel="1" x14ac:dyDescent="0.25">
      <c r="A183" s="382">
        <v>3</v>
      </c>
      <c r="C183" s="12" t="str">
        <f t="shared" si="64"/>
        <v>aa 00 04 21 12 00 01 38 55</v>
      </c>
      <c r="D183" s="381" t="s">
        <v>135</v>
      </c>
      <c r="H183" s="344"/>
      <c r="I183" s="344"/>
      <c r="J183" s="1" t="s">
        <v>0</v>
      </c>
      <c r="K183" s="1" t="s">
        <v>1</v>
      </c>
      <c r="L183" s="1" t="s">
        <v>2</v>
      </c>
      <c r="M183" s="2" t="s">
        <v>3</v>
      </c>
      <c r="N183" s="2" t="s">
        <v>159</v>
      </c>
      <c r="O183" s="2" t="s">
        <v>1</v>
      </c>
      <c r="P183" s="3" t="s">
        <v>14</v>
      </c>
      <c r="Q183" s="57"/>
      <c r="R183" s="57"/>
      <c r="S183" s="57"/>
      <c r="T183" s="57"/>
      <c r="U183" s="57"/>
      <c r="V183" s="57"/>
      <c r="W183" s="57"/>
      <c r="X183" s="57"/>
      <c r="Y183" s="57"/>
      <c r="Z183" s="13" t="str">
        <f t="shared" si="65"/>
        <v>38</v>
      </c>
      <c r="AA183" s="13" t="s">
        <v>5</v>
      </c>
    </row>
    <row r="184" spans="1:27" hidden="1" outlineLevel="1" x14ac:dyDescent="0.25">
      <c r="A184" s="382">
        <v>3</v>
      </c>
      <c r="C184" s="12" t="str">
        <f t="shared" si="64"/>
        <v>aa 00 04 21 13 00 01 39 55</v>
      </c>
      <c r="D184" s="381" t="s">
        <v>136</v>
      </c>
      <c r="H184" s="344"/>
      <c r="I184" s="344"/>
      <c r="J184" s="1" t="s">
        <v>0</v>
      </c>
      <c r="K184" s="1" t="s">
        <v>1</v>
      </c>
      <c r="L184" s="1" t="s">
        <v>2</v>
      </c>
      <c r="M184" s="2" t="s">
        <v>3</v>
      </c>
      <c r="N184" s="2" t="s">
        <v>160</v>
      </c>
      <c r="O184" s="2" t="s">
        <v>1</v>
      </c>
      <c r="P184" s="3" t="s">
        <v>14</v>
      </c>
      <c r="Q184" s="57"/>
      <c r="R184" s="57"/>
      <c r="S184" s="57"/>
      <c r="T184" s="57"/>
      <c r="U184" s="57"/>
      <c r="V184" s="57"/>
      <c r="W184" s="57"/>
      <c r="X184" s="57"/>
      <c r="Y184" s="57"/>
      <c r="Z184" s="13" t="str">
        <f t="shared" si="65"/>
        <v>39</v>
      </c>
      <c r="AA184" s="13" t="s">
        <v>5</v>
      </c>
    </row>
    <row r="185" spans="1:27" hidden="1" outlineLevel="1" x14ac:dyDescent="0.25">
      <c r="A185" s="382">
        <v>3</v>
      </c>
      <c r="C185" s="12" t="str">
        <f t="shared" si="64"/>
        <v>aa 00 04 21 14 00 01 3A 55</v>
      </c>
      <c r="D185" s="381" t="s">
        <v>137</v>
      </c>
      <c r="H185" s="344"/>
      <c r="I185" s="344"/>
      <c r="J185" s="1" t="s">
        <v>0</v>
      </c>
      <c r="K185" s="1" t="s">
        <v>1</v>
      </c>
      <c r="L185" s="1" t="s">
        <v>2</v>
      </c>
      <c r="M185" s="2" t="s">
        <v>3</v>
      </c>
      <c r="N185" s="2" t="s">
        <v>161</v>
      </c>
      <c r="O185" s="2" t="s">
        <v>1</v>
      </c>
      <c r="P185" s="3" t="s">
        <v>14</v>
      </c>
      <c r="Q185" s="57"/>
      <c r="R185" s="57"/>
      <c r="S185" s="57"/>
      <c r="T185" s="57"/>
      <c r="U185" s="57"/>
      <c r="V185" s="57"/>
      <c r="W185" s="57"/>
      <c r="X185" s="57"/>
      <c r="Y185" s="57"/>
      <c r="Z185" s="13" t="str">
        <f t="shared" si="65"/>
        <v>3A</v>
      </c>
      <c r="AA185" s="13" t="s">
        <v>5</v>
      </c>
    </row>
    <row r="186" spans="1:27" hidden="1" outlineLevel="1" x14ac:dyDescent="0.25">
      <c r="A186" s="382">
        <v>3</v>
      </c>
      <c r="C186" s="12" t="str">
        <f t="shared" si="64"/>
        <v>aa 00 04 21 15 00 01 3B 55</v>
      </c>
      <c r="D186" s="381" t="s">
        <v>138</v>
      </c>
      <c r="H186" s="344"/>
      <c r="I186" s="344"/>
      <c r="J186" s="1" t="s">
        <v>0</v>
      </c>
      <c r="K186" s="1" t="s">
        <v>1</v>
      </c>
      <c r="L186" s="1" t="s">
        <v>2</v>
      </c>
      <c r="M186" s="2" t="s">
        <v>3</v>
      </c>
      <c r="N186" s="2" t="s">
        <v>162</v>
      </c>
      <c r="O186" s="2" t="s">
        <v>1</v>
      </c>
      <c r="P186" s="3" t="s">
        <v>14</v>
      </c>
      <c r="Q186" s="57"/>
      <c r="R186" s="57"/>
      <c r="S186" s="57"/>
      <c r="T186" s="57"/>
      <c r="U186" s="57"/>
      <c r="V186" s="57"/>
      <c r="W186" s="57"/>
      <c r="X186" s="57"/>
      <c r="Y186" s="57"/>
      <c r="Z186" s="13" t="str">
        <f t="shared" si="65"/>
        <v>3B</v>
      </c>
      <c r="AA186" s="13" t="s">
        <v>5</v>
      </c>
    </row>
    <row r="187" spans="1:27" hidden="1" outlineLevel="1" x14ac:dyDescent="0.25">
      <c r="A187" s="382">
        <v>3</v>
      </c>
      <c r="C187" s="12" t="str">
        <f t="shared" si="64"/>
        <v>aa 00 04 21 16 00 01 3C 55</v>
      </c>
      <c r="D187" s="381" t="s">
        <v>139</v>
      </c>
      <c r="H187" s="344"/>
      <c r="I187" s="344"/>
      <c r="J187" s="1" t="s">
        <v>0</v>
      </c>
      <c r="K187" s="1" t="s">
        <v>1</v>
      </c>
      <c r="L187" s="1" t="s">
        <v>2</v>
      </c>
      <c r="M187" s="2" t="s">
        <v>3</v>
      </c>
      <c r="N187" s="2" t="s">
        <v>163</v>
      </c>
      <c r="O187" s="2" t="s">
        <v>1</v>
      </c>
      <c r="P187" s="3" t="s">
        <v>14</v>
      </c>
      <c r="Q187" s="57"/>
      <c r="R187" s="57"/>
      <c r="S187" s="57"/>
      <c r="T187" s="57"/>
      <c r="U187" s="57"/>
      <c r="V187" s="57"/>
      <c r="W187" s="57"/>
      <c r="X187" s="57"/>
      <c r="Y187" s="57"/>
      <c r="Z187" s="13" t="str">
        <f t="shared" si="65"/>
        <v>3C</v>
      </c>
      <c r="AA187" s="13" t="s">
        <v>5</v>
      </c>
    </row>
    <row r="188" spans="1:27" hidden="1" outlineLevel="1" x14ac:dyDescent="0.25">
      <c r="A188" s="382">
        <v>3</v>
      </c>
      <c r="C188" s="12" t="str">
        <f t="shared" si="64"/>
        <v>aa 00 04 21 17 00 01 3D 55</v>
      </c>
      <c r="D188" s="381" t="s">
        <v>140</v>
      </c>
      <c r="H188" s="344"/>
      <c r="I188" s="344"/>
      <c r="J188" s="1" t="s">
        <v>0</v>
      </c>
      <c r="K188" s="1" t="s">
        <v>1</v>
      </c>
      <c r="L188" s="1" t="s">
        <v>2</v>
      </c>
      <c r="M188" s="2" t="s">
        <v>3</v>
      </c>
      <c r="N188" s="2" t="s">
        <v>164</v>
      </c>
      <c r="O188" s="2" t="s">
        <v>1</v>
      </c>
      <c r="P188" s="3" t="s">
        <v>14</v>
      </c>
      <c r="Q188" s="57"/>
      <c r="R188" s="57"/>
      <c r="S188" s="57"/>
      <c r="T188" s="57"/>
      <c r="U188" s="57"/>
      <c r="V188" s="57"/>
      <c r="W188" s="57"/>
      <c r="X188" s="57"/>
      <c r="Y188" s="57"/>
      <c r="Z188" s="13" t="str">
        <f t="shared" si="65"/>
        <v>3D</v>
      </c>
      <c r="AA188" s="13" t="s">
        <v>5</v>
      </c>
    </row>
    <row r="189" spans="1:27" hidden="1" outlineLevel="1" x14ac:dyDescent="0.25">
      <c r="A189" s="382">
        <v>3</v>
      </c>
      <c r="C189" s="12" t="str">
        <f t="shared" si="64"/>
        <v>aa 00 04 21 18 00 01 3E 55</v>
      </c>
      <c r="D189" s="381" t="s">
        <v>141</v>
      </c>
      <c r="H189" s="344"/>
      <c r="I189" s="344"/>
      <c r="J189" s="1" t="s">
        <v>0</v>
      </c>
      <c r="K189" s="1" t="s">
        <v>1</v>
      </c>
      <c r="L189" s="1" t="s">
        <v>2</v>
      </c>
      <c r="M189" s="2" t="s">
        <v>3</v>
      </c>
      <c r="N189" s="2" t="s">
        <v>165</v>
      </c>
      <c r="O189" s="2" t="s">
        <v>1</v>
      </c>
      <c r="P189" s="3" t="s">
        <v>14</v>
      </c>
      <c r="Q189" s="57"/>
      <c r="R189" s="57"/>
      <c r="S189" s="57"/>
      <c r="T189" s="57"/>
      <c r="U189" s="57"/>
      <c r="V189" s="57"/>
      <c r="W189" s="57"/>
      <c r="X189" s="57"/>
      <c r="Y189" s="57"/>
      <c r="Z189" s="13" t="str">
        <f t="shared" si="65"/>
        <v>3E</v>
      </c>
      <c r="AA189" s="13" t="s">
        <v>5</v>
      </c>
    </row>
    <row r="190" spans="1:27" hidden="1" outlineLevel="1" x14ac:dyDescent="0.25">
      <c r="A190" s="382">
        <v>3</v>
      </c>
      <c r="C190" s="12" t="str">
        <f t="shared" si="64"/>
        <v>aa 00 04 21 19 00 01 3F 55</v>
      </c>
      <c r="D190" s="381" t="s">
        <v>142</v>
      </c>
      <c r="H190" s="344"/>
      <c r="I190" s="344"/>
      <c r="J190" s="1" t="s">
        <v>0</v>
      </c>
      <c r="K190" s="1" t="s">
        <v>1</v>
      </c>
      <c r="L190" s="1" t="s">
        <v>2</v>
      </c>
      <c r="M190" s="2" t="s">
        <v>3</v>
      </c>
      <c r="N190" s="2" t="s">
        <v>166</v>
      </c>
      <c r="O190" s="2" t="s">
        <v>1</v>
      </c>
      <c r="P190" s="3" t="s">
        <v>14</v>
      </c>
      <c r="Q190" s="57"/>
      <c r="R190" s="57"/>
      <c r="S190" s="57"/>
      <c r="T190" s="57"/>
      <c r="U190" s="57"/>
      <c r="V190" s="57"/>
      <c r="W190" s="57"/>
      <c r="X190" s="57"/>
      <c r="Y190" s="57"/>
      <c r="Z190" s="13" t="str">
        <f t="shared" si="65"/>
        <v>3F</v>
      </c>
      <c r="AA190" s="13" t="s">
        <v>5</v>
      </c>
    </row>
    <row r="191" spans="1:27" hidden="1" outlineLevel="1" x14ac:dyDescent="0.25">
      <c r="A191" s="382">
        <v>3</v>
      </c>
      <c r="C191" s="12" t="str">
        <f t="shared" si="64"/>
        <v>aa 00 04 21 1A 00 01 40 55</v>
      </c>
      <c r="D191" s="381" t="s">
        <v>143</v>
      </c>
      <c r="H191" s="344"/>
      <c r="I191" s="344"/>
      <c r="J191" s="1" t="s">
        <v>0</v>
      </c>
      <c r="K191" s="1" t="s">
        <v>1</v>
      </c>
      <c r="L191" s="1" t="s">
        <v>2</v>
      </c>
      <c r="M191" s="2" t="s">
        <v>3</v>
      </c>
      <c r="N191" s="2" t="s">
        <v>212</v>
      </c>
      <c r="O191" s="2" t="s">
        <v>1</v>
      </c>
      <c r="P191" s="3" t="s">
        <v>14</v>
      </c>
      <c r="Q191" s="57"/>
      <c r="R191" s="57"/>
      <c r="S191" s="57"/>
      <c r="T191" s="57"/>
      <c r="U191" s="57"/>
      <c r="V191" s="57"/>
      <c r="W191" s="57"/>
      <c r="X191" s="57"/>
      <c r="Y191" s="57"/>
      <c r="Z191" s="13" t="str">
        <f t="shared" si="65"/>
        <v>40</v>
      </c>
      <c r="AA191" s="13" t="s">
        <v>5</v>
      </c>
    </row>
    <row r="192" spans="1:27" hidden="1" outlineLevel="1" x14ac:dyDescent="0.25">
      <c r="A192" s="382">
        <v>3</v>
      </c>
      <c r="C192" s="12" t="str">
        <f t="shared" si="64"/>
        <v>aa 00 04 21 1B 00 01 41 55</v>
      </c>
      <c r="D192" s="381" t="s">
        <v>144</v>
      </c>
      <c r="H192" s="344"/>
      <c r="I192" s="344"/>
      <c r="J192" s="1" t="s">
        <v>0</v>
      </c>
      <c r="K192" s="1" t="s">
        <v>1</v>
      </c>
      <c r="L192" s="1" t="s">
        <v>2</v>
      </c>
      <c r="M192" s="2" t="s">
        <v>3</v>
      </c>
      <c r="N192" s="2" t="s">
        <v>213</v>
      </c>
      <c r="O192" s="2" t="s">
        <v>1</v>
      </c>
      <c r="P192" s="3" t="s">
        <v>14</v>
      </c>
      <c r="Q192" s="57"/>
      <c r="R192" s="57"/>
      <c r="S192" s="57"/>
      <c r="T192" s="57"/>
      <c r="U192" s="57"/>
      <c r="V192" s="57"/>
      <c r="W192" s="57"/>
      <c r="X192" s="57"/>
      <c r="Y192" s="57"/>
      <c r="Z192" s="13" t="str">
        <f t="shared" si="65"/>
        <v>41</v>
      </c>
      <c r="AA192" s="13" t="s">
        <v>5</v>
      </c>
    </row>
    <row r="193" spans="1:27" hidden="1" outlineLevel="1" x14ac:dyDescent="0.25">
      <c r="A193" s="382">
        <v>3</v>
      </c>
      <c r="C193" s="12" t="str">
        <f t="shared" si="64"/>
        <v>aa 00 04 21 1C 00 01 42 55</v>
      </c>
      <c r="D193" s="381" t="s">
        <v>145</v>
      </c>
      <c r="H193" s="344"/>
      <c r="I193" s="344"/>
      <c r="J193" s="1" t="s">
        <v>0</v>
      </c>
      <c r="K193" s="1" t="s">
        <v>1</v>
      </c>
      <c r="L193" s="1" t="s">
        <v>2</v>
      </c>
      <c r="M193" s="2" t="s">
        <v>3</v>
      </c>
      <c r="N193" s="2" t="s">
        <v>214</v>
      </c>
      <c r="O193" s="2" t="s">
        <v>1</v>
      </c>
      <c r="P193" s="3" t="s">
        <v>14</v>
      </c>
      <c r="Q193" s="57"/>
      <c r="R193" s="57"/>
      <c r="S193" s="57"/>
      <c r="T193" s="57"/>
      <c r="U193" s="57"/>
      <c r="V193" s="57"/>
      <c r="W193" s="57"/>
      <c r="X193" s="57"/>
      <c r="Y193" s="57"/>
      <c r="Z193" s="13" t="str">
        <f t="shared" si="65"/>
        <v>42</v>
      </c>
      <c r="AA193" s="13" t="s">
        <v>5</v>
      </c>
    </row>
    <row r="194" spans="1:27" hidden="1" outlineLevel="1" x14ac:dyDescent="0.25">
      <c r="A194" s="382">
        <v>3</v>
      </c>
      <c r="C194" s="12" t="str">
        <f t="shared" si="64"/>
        <v>aa 00 04 21 1D 00 01 43 55</v>
      </c>
      <c r="D194" s="381" t="s">
        <v>146</v>
      </c>
      <c r="H194" s="344"/>
      <c r="I194" s="344"/>
      <c r="J194" s="1" t="s">
        <v>0</v>
      </c>
      <c r="K194" s="1" t="s">
        <v>1</v>
      </c>
      <c r="L194" s="1" t="s">
        <v>2</v>
      </c>
      <c r="M194" s="2" t="s">
        <v>3</v>
      </c>
      <c r="N194" s="2" t="s">
        <v>215</v>
      </c>
      <c r="O194" s="2" t="s">
        <v>1</v>
      </c>
      <c r="P194" s="3" t="s">
        <v>14</v>
      </c>
      <c r="Q194" s="57"/>
      <c r="R194" s="57"/>
      <c r="S194" s="57"/>
      <c r="T194" s="57"/>
      <c r="U194" s="57"/>
      <c r="V194" s="57"/>
      <c r="W194" s="57"/>
      <c r="X194" s="57"/>
      <c r="Y194" s="57"/>
      <c r="Z194" s="13" t="str">
        <f t="shared" si="65"/>
        <v>43</v>
      </c>
      <c r="AA194" s="13" t="s">
        <v>5</v>
      </c>
    </row>
    <row r="195" spans="1:27" hidden="1" outlineLevel="1" x14ac:dyDescent="0.25">
      <c r="A195" s="382">
        <v>3</v>
      </c>
      <c r="C195" s="12" t="str">
        <f t="shared" si="64"/>
        <v>aa 00 04 21 1E 00 01 44 55</v>
      </c>
      <c r="D195" s="381" t="s">
        <v>147</v>
      </c>
      <c r="H195" s="344"/>
      <c r="I195" s="344"/>
      <c r="J195" s="1" t="s">
        <v>0</v>
      </c>
      <c r="K195" s="1" t="s">
        <v>1</v>
      </c>
      <c r="L195" s="1" t="s">
        <v>2</v>
      </c>
      <c r="M195" s="2" t="s">
        <v>3</v>
      </c>
      <c r="N195" s="2" t="s">
        <v>216</v>
      </c>
      <c r="O195" s="2" t="s">
        <v>1</v>
      </c>
      <c r="P195" s="3" t="s">
        <v>14</v>
      </c>
      <c r="Q195" s="57"/>
      <c r="R195" s="57"/>
      <c r="S195" s="57"/>
      <c r="T195" s="57"/>
      <c r="U195" s="57"/>
      <c r="V195" s="57"/>
      <c r="W195" s="57"/>
      <c r="X195" s="57"/>
      <c r="Y195" s="57"/>
      <c r="Z195" s="13" t="str">
        <f t="shared" si="65"/>
        <v>44</v>
      </c>
      <c r="AA195" s="13" t="s">
        <v>5</v>
      </c>
    </row>
    <row r="196" spans="1:27" hidden="1" outlineLevel="1" x14ac:dyDescent="0.25">
      <c r="A196" s="382">
        <v>3</v>
      </c>
      <c r="C196" s="12" t="str">
        <f t="shared" si="64"/>
        <v>aa 00 04 21 1F 00 01 45 55</v>
      </c>
      <c r="D196" s="381" t="s">
        <v>148</v>
      </c>
      <c r="H196" s="344"/>
      <c r="I196" s="344"/>
      <c r="J196" s="1" t="s">
        <v>0</v>
      </c>
      <c r="K196" s="1" t="s">
        <v>1</v>
      </c>
      <c r="L196" s="1" t="s">
        <v>2</v>
      </c>
      <c r="M196" s="2" t="s">
        <v>3</v>
      </c>
      <c r="N196" s="2" t="s">
        <v>217</v>
      </c>
      <c r="O196" s="2" t="s">
        <v>1</v>
      </c>
      <c r="P196" s="3" t="s">
        <v>14</v>
      </c>
      <c r="Q196" s="57"/>
      <c r="R196" s="57"/>
      <c r="S196" s="57"/>
      <c r="T196" s="57"/>
      <c r="U196" s="57"/>
      <c r="V196" s="57"/>
      <c r="W196" s="57"/>
      <c r="X196" s="57"/>
      <c r="Y196" s="57"/>
      <c r="Z196" s="13" t="str">
        <f t="shared" si="65"/>
        <v>45</v>
      </c>
      <c r="AA196" s="13" t="s">
        <v>5</v>
      </c>
    </row>
    <row r="197" spans="1:27" hidden="1" outlineLevel="1" x14ac:dyDescent="0.25">
      <c r="A197" s="382">
        <v>3</v>
      </c>
      <c r="C197" s="12" t="str">
        <f t="shared" si="64"/>
        <v>aa 00 04 21 20 00 01 46 55</v>
      </c>
      <c r="D197" s="381" t="s">
        <v>149</v>
      </c>
      <c r="H197" s="344"/>
      <c r="I197" s="344"/>
      <c r="J197" s="1" t="s">
        <v>0</v>
      </c>
      <c r="K197" s="1" t="s">
        <v>1</v>
      </c>
      <c r="L197" s="1" t="s">
        <v>2</v>
      </c>
      <c r="M197" s="2" t="s">
        <v>3</v>
      </c>
      <c r="N197" s="2" t="s">
        <v>167</v>
      </c>
      <c r="O197" s="2" t="s">
        <v>1</v>
      </c>
      <c r="P197" s="3" t="s">
        <v>14</v>
      </c>
      <c r="Q197" s="57"/>
      <c r="R197" s="57"/>
      <c r="S197" s="57"/>
      <c r="T197" s="57"/>
      <c r="U197" s="57"/>
      <c r="V197" s="57"/>
      <c r="W197" s="57"/>
      <c r="X197" s="57"/>
      <c r="Y197" s="57"/>
      <c r="Z197" s="13" t="str">
        <f t="shared" si="65"/>
        <v>46</v>
      </c>
      <c r="AA197" s="13" t="s">
        <v>5</v>
      </c>
    </row>
    <row r="198" spans="1:27" hidden="1" outlineLevel="1" x14ac:dyDescent="0.25">
      <c r="A198" s="382">
        <v>3</v>
      </c>
      <c r="C198" s="12" t="str">
        <f t="shared" si="64"/>
        <v>aa 00 04 21 21 00 01 47 55</v>
      </c>
      <c r="D198" s="381" t="s">
        <v>150</v>
      </c>
      <c r="H198" s="344"/>
      <c r="I198" s="344"/>
      <c r="J198" s="1" t="s">
        <v>0</v>
      </c>
      <c r="K198" s="1" t="s">
        <v>1</v>
      </c>
      <c r="L198" s="1" t="s">
        <v>2</v>
      </c>
      <c r="M198" s="2" t="s">
        <v>3</v>
      </c>
      <c r="N198" s="2" t="s">
        <v>168</v>
      </c>
      <c r="O198" s="2" t="s">
        <v>1</v>
      </c>
      <c r="P198" s="3" t="s">
        <v>14</v>
      </c>
      <c r="Q198" s="57"/>
      <c r="R198" s="57"/>
      <c r="S198" s="57"/>
      <c r="T198" s="57"/>
      <c r="U198" s="57"/>
      <c r="V198" s="57"/>
      <c r="W198" s="57"/>
      <c r="X198" s="57"/>
      <c r="Y198" s="57"/>
      <c r="Z198" s="13" t="str">
        <f t="shared" si="65"/>
        <v>47</v>
      </c>
      <c r="AA198" s="13" t="s">
        <v>5</v>
      </c>
    </row>
    <row r="199" spans="1:27" hidden="1" outlineLevel="1" x14ac:dyDescent="0.25">
      <c r="A199" s="382">
        <v>3</v>
      </c>
      <c r="C199" s="12" t="str">
        <f t="shared" si="64"/>
        <v>aa 00 04 21 22 00 01 48 55</v>
      </c>
      <c r="D199" s="381" t="s">
        <v>151</v>
      </c>
      <c r="H199" s="344"/>
      <c r="I199" s="344"/>
      <c r="J199" s="1" t="s">
        <v>0</v>
      </c>
      <c r="K199" s="1" t="s">
        <v>1</v>
      </c>
      <c r="L199" s="1" t="s">
        <v>2</v>
      </c>
      <c r="M199" s="2" t="s">
        <v>3</v>
      </c>
      <c r="N199" s="2" t="s">
        <v>169</v>
      </c>
      <c r="O199" s="2" t="s">
        <v>1</v>
      </c>
      <c r="P199" s="3" t="s">
        <v>14</v>
      </c>
      <c r="Q199" s="57"/>
      <c r="R199" s="57"/>
      <c r="S199" s="57"/>
      <c r="T199" s="57"/>
      <c r="U199" s="57"/>
      <c r="V199" s="57"/>
      <c r="W199" s="57"/>
      <c r="X199" s="57"/>
      <c r="Y199" s="57"/>
      <c r="Z199" s="13" t="str">
        <f t="shared" si="65"/>
        <v>48</v>
      </c>
      <c r="AA199" s="13" t="s">
        <v>5</v>
      </c>
    </row>
    <row r="200" spans="1:27" hidden="1" outlineLevel="1" x14ac:dyDescent="0.25">
      <c r="A200" s="382">
        <v>3</v>
      </c>
      <c r="C200" s="12" t="str">
        <f t="shared" si="64"/>
        <v>aa 00 04 21 23 00 01 49 55</v>
      </c>
      <c r="D200" s="381" t="s">
        <v>152</v>
      </c>
      <c r="H200" s="344"/>
      <c r="I200" s="344"/>
      <c r="J200" s="1" t="s">
        <v>0</v>
      </c>
      <c r="K200" s="1" t="s">
        <v>1</v>
      </c>
      <c r="L200" s="1" t="s">
        <v>2</v>
      </c>
      <c r="M200" s="2" t="s">
        <v>3</v>
      </c>
      <c r="N200" s="2" t="s">
        <v>170</v>
      </c>
      <c r="O200" s="2" t="s">
        <v>1</v>
      </c>
      <c r="P200" s="3" t="s">
        <v>14</v>
      </c>
      <c r="Q200" s="57"/>
      <c r="R200" s="57"/>
      <c r="S200" s="57"/>
      <c r="T200" s="57"/>
      <c r="U200" s="57"/>
      <c r="V200" s="57"/>
      <c r="W200" s="57"/>
      <c r="X200" s="57"/>
      <c r="Y200" s="57"/>
      <c r="Z200" s="13" t="str">
        <f t="shared" si="65"/>
        <v>49</v>
      </c>
      <c r="AA200" s="13" t="s">
        <v>5</v>
      </c>
    </row>
    <row r="201" spans="1:27" hidden="1" outlineLevel="1" x14ac:dyDescent="0.25">
      <c r="A201" s="382">
        <v>3</v>
      </c>
      <c r="C201" s="12" t="str">
        <f t="shared" si="64"/>
        <v>aa 00 04 21 24 00 01 4A 55</v>
      </c>
      <c r="D201" s="381" t="s">
        <v>153</v>
      </c>
      <c r="H201" s="344"/>
      <c r="I201" s="344"/>
      <c r="J201" s="1" t="s">
        <v>0</v>
      </c>
      <c r="K201" s="1" t="s">
        <v>1</v>
      </c>
      <c r="L201" s="1" t="s">
        <v>2</v>
      </c>
      <c r="M201" s="2" t="s">
        <v>3</v>
      </c>
      <c r="N201" s="2" t="s">
        <v>171</v>
      </c>
      <c r="O201" s="2" t="s">
        <v>1</v>
      </c>
      <c r="P201" s="3" t="s">
        <v>14</v>
      </c>
      <c r="Q201" s="57"/>
      <c r="R201" s="57"/>
      <c r="S201" s="57"/>
      <c r="T201" s="57"/>
      <c r="U201" s="57"/>
      <c r="V201" s="57"/>
      <c r="W201" s="57"/>
      <c r="X201" s="57"/>
      <c r="Y201" s="57"/>
      <c r="Z201" s="13" t="str">
        <f t="shared" si="65"/>
        <v>4A</v>
      </c>
      <c r="AA201" s="13" t="s">
        <v>5</v>
      </c>
    </row>
    <row r="202" spans="1:27" hidden="1" outlineLevel="1" x14ac:dyDescent="0.25">
      <c r="A202" s="382">
        <v>3</v>
      </c>
      <c r="C202" s="12" t="str">
        <f t="shared" si="64"/>
        <v>aa 00 04 21 25 00 01 4B 55</v>
      </c>
      <c r="D202" s="381" t="s">
        <v>154</v>
      </c>
      <c r="H202" s="344"/>
      <c r="I202" s="344"/>
      <c r="J202" s="1" t="s">
        <v>0</v>
      </c>
      <c r="K202" s="1" t="s">
        <v>1</v>
      </c>
      <c r="L202" s="1" t="s">
        <v>2</v>
      </c>
      <c r="M202" s="2" t="s">
        <v>3</v>
      </c>
      <c r="N202" s="2" t="s">
        <v>172</v>
      </c>
      <c r="O202" s="2" t="s">
        <v>1</v>
      </c>
      <c r="P202" s="3" t="s">
        <v>14</v>
      </c>
      <c r="Q202" s="57"/>
      <c r="R202" s="57"/>
      <c r="S202" s="57"/>
      <c r="T202" s="57"/>
      <c r="U202" s="57"/>
      <c r="V202" s="57"/>
      <c r="W202" s="57"/>
      <c r="X202" s="57"/>
      <c r="Y202" s="57"/>
      <c r="Z202" s="13" t="str">
        <f t="shared" si="65"/>
        <v>4B</v>
      </c>
      <c r="AA202" s="13" t="s">
        <v>5</v>
      </c>
    </row>
    <row r="203" spans="1:27" hidden="1" outlineLevel="1" x14ac:dyDescent="0.25">
      <c r="A203" s="382">
        <v>3</v>
      </c>
      <c r="C203" s="12" t="str">
        <f t="shared" si="64"/>
        <v>aa 00 04 21 26 00 01 4C 55</v>
      </c>
      <c r="D203" s="381" t="s">
        <v>155</v>
      </c>
      <c r="H203" s="344"/>
      <c r="I203" s="344"/>
      <c r="J203" s="1" t="s">
        <v>0</v>
      </c>
      <c r="K203" s="1" t="s">
        <v>1</v>
      </c>
      <c r="L203" s="1" t="s">
        <v>2</v>
      </c>
      <c r="M203" s="2" t="s">
        <v>3</v>
      </c>
      <c r="N203" s="2" t="s">
        <v>173</v>
      </c>
      <c r="O203" s="2" t="s">
        <v>1</v>
      </c>
      <c r="P203" s="3" t="s">
        <v>14</v>
      </c>
      <c r="Q203" s="57"/>
      <c r="R203" s="57"/>
      <c r="S203" s="57"/>
      <c r="T203" s="57"/>
      <c r="U203" s="57"/>
      <c r="V203" s="57"/>
      <c r="W203" s="57"/>
      <c r="X203" s="57"/>
      <c r="Y203" s="57"/>
      <c r="Z203" s="13" t="str">
        <f t="shared" si="65"/>
        <v>4C</v>
      </c>
      <c r="AA203" s="13" t="s">
        <v>5</v>
      </c>
    </row>
    <row r="204" spans="1:27" hidden="1" outlineLevel="1" x14ac:dyDescent="0.25">
      <c r="A204" s="382">
        <v>3</v>
      </c>
      <c r="C204" s="12" t="str">
        <f t="shared" si="64"/>
        <v>aa 00 04 21 27 00 01 4D 55</v>
      </c>
      <c r="D204" s="381" t="s">
        <v>156</v>
      </c>
      <c r="H204" s="344"/>
      <c r="I204" s="344"/>
      <c r="J204" s="1" t="s">
        <v>0</v>
      </c>
      <c r="K204" s="1" t="s">
        <v>1</v>
      </c>
      <c r="L204" s="1" t="s">
        <v>2</v>
      </c>
      <c r="M204" s="2" t="s">
        <v>3</v>
      </c>
      <c r="N204" s="2" t="s">
        <v>174</v>
      </c>
      <c r="O204" s="2" t="s">
        <v>1</v>
      </c>
      <c r="P204" s="3" t="s">
        <v>14</v>
      </c>
      <c r="Q204" s="57"/>
      <c r="R204" s="57"/>
      <c r="S204" s="57"/>
      <c r="T204" s="57"/>
      <c r="U204" s="57"/>
      <c r="V204" s="57"/>
      <c r="W204" s="57"/>
      <c r="X204" s="57"/>
      <c r="Y204" s="57"/>
      <c r="Z204" s="13" t="str">
        <f t="shared" si="65"/>
        <v>4D</v>
      </c>
      <c r="AA204" s="13" t="s">
        <v>5</v>
      </c>
    </row>
    <row r="205" spans="1:27" hidden="1" outlineLevel="1" x14ac:dyDescent="0.25">
      <c r="A205" s="382">
        <v>3</v>
      </c>
      <c r="C205" s="12" t="str">
        <f t="shared" si="64"/>
        <v>aa 00 04 21 28 00 01 4E 55</v>
      </c>
      <c r="D205" s="381" t="s">
        <v>187</v>
      </c>
      <c r="H205" s="344"/>
      <c r="I205" s="344"/>
      <c r="J205" s="1" t="s">
        <v>0</v>
      </c>
      <c r="K205" s="1" t="s">
        <v>1</v>
      </c>
      <c r="L205" s="1" t="s">
        <v>2</v>
      </c>
      <c r="M205" s="2" t="s">
        <v>3</v>
      </c>
      <c r="N205" s="2" t="s">
        <v>175</v>
      </c>
      <c r="O205" s="2" t="s">
        <v>1</v>
      </c>
      <c r="P205" s="3" t="s">
        <v>14</v>
      </c>
      <c r="Q205" s="57"/>
      <c r="R205" s="57"/>
      <c r="S205" s="57"/>
      <c r="T205" s="57"/>
      <c r="U205" s="57"/>
      <c r="V205" s="57"/>
      <c r="W205" s="57"/>
      <c r="X205" s="57"/>
      <c r="Y205" s="57"/>
      <c r="Z205" s="13" t="str">
        <f t="shared" si="65"/>
        <v>4E</v>
      </c>
      <c r="AA205" s="13" t="s">
        <v>5</v>
      </c>
    </row>
    <row r="206" spans="1:27" collapsed="1" x14ac:dyDescent="0.25">
      <c r="A206" s="346">
        <v>2</v>
      </c>
      <c r="C206" s="387" t="s">
        <v>876</v>
      </c>
      <c r="D206" s="387"/>
    </row>
    <row r="207" spans="1:27" hidden="1" outlineLevel="1" x14ac:dyDescent="0.25">
      <c r="A207" s="382">
        <v>3</v>
      </c>
      <c r="C207" s="12" t="str">
        <f t="shared" si="64"/>
        <v>aa 00 04 21 29 00 01 4F 55</v>
      </c>
      <c r="D207" s="381" t="s">
        <v>873</v>
      </c>
      <c r="H207" s="344"/>
      <c r="I207" s="344"/>
      <c r="J207" s="1" t="s">
        <v>0</v>
      </c>
      <c r="K207" s="1" t="s">
        <v>1</v>
      </c>
      <c r="L207" s="1" t="s">
        <v>2</v>
      </c>
      <c r="M207" s="2" t="s">
        <v>3</v>
      </c>
      <c r="N207" s="2" t="s">
        <v>176</v>
      </c>
      <c r="O207" s="2" t="s">
        <v>1</v>
      </c>
      <c r="P207" s="3" t="s">
        <v>14</v>
      </c>
      <c r="Q207" s="57"/>
      <c r="R207" s="57"/>
      <c r="S207" s="57"/>
      <c r="T207" s="57"/>
      <c r="U207" s="57"/>
      <c r="V207" s="57"/>
      <c r="W207" s="57"/>
      <c r="X207" s="57"/>
      <c r="Y207" s="57"/>
      <c r="Z207" s="13" t="str">
        <f t="shared" si="65"/>
        <v>4F</v>
      </c>
      <c r="AA207" s="13" t="s">
        <v>5</v>
      </c>
    </row>
    <row r="208" spans="1:27" hidden="1" outlineLevel="1" x14ac:dyDescent="0.25">
      <c r="A208" s="382">
        <v>3</v>
      </c>
      <c r="C208" s="12" t="str">
        <f t="shared" si="64"/>
        <v>aa 00 04 21 2A 00 01 50 55</v>
      </c>
      <c r="D208" s="381" t="s">
        <v>188</v>
      </c>
      <c r="H208" s="344"/>
      <c r="I208" s="344"/>
      <c r="J208" s="1" t="s">
        <v>0</v>
      </c>
      <c r="K208" s="1" t="s">
        <v>1</v>
      </c>
      <c r="L208" s="1" t="s">
        <v>2</v>
      </c>
      <c r="M208" s="2" t="s">
        <v>3</v>
      </c>
      <c r="N208" s="2" t="s">
        <v>218</v>
      </c>
      <c r="O208" s="2" t="s">
        <v>1</v>
      </c>
      <c r="P208" s="3" t="s">
        <v>14</v>
      </c>
      <c r="Q208" s="57"/>
      <c r="R208" s="57"/>
      <c r="S208" s="57"/>
      <c r="T208" s="57"/>
      <c r="U208" s="57"/>
      <c r="V208" s="57"/>
      <c r="W208" s="57"/>
      <c r="X208" s="57"/>
      <c r="Y208" s="57"/>
      <c r="Z208" s="13" t="str">
        <f t="shared" si="65"/>
        <v>50</v>
      </c>
      <c r="AA208" s="13" t="s">
        <v>5</v>
      </c>
    </row>
    <row r="209" spans="1:27" hidden="1" outlineLevel="1" x14ac:dyDescent="0.25">
      <c r="A209" s="382">
        <v>3</v>
      </c>
      <c r="C209" s="12" t="str">
        <f t="shared" si="64"/>
        <v>aa 00 04 21 2B 00 01 51 55</v>
      </c>
      <c r="D209" s="381" t="s">
        <v>189</v>
      </c>
      <c r="H209" s="344"/>
      <c r="I209" s="344"/>
      <c r="J209" s="1" t="s">
        <v>0</v>
      </c>
      <c r="K209" s="1" t="s">
        <v>1</v>
      </c>
      <c r="L209" s="1" t="s">
        <v>2</v>
      </c>
      <c r="M209" s="2" t="s">
        <v>3</v>
      </c>
      <c r="N209" s="2" t="s">
        <v>219</v>
      </c>
      <c r="O209" s="2" t="s">
        <v>1</v>
      </c>
      <c r="P209" s="3" t="s">
        <v>14</v>
      </c>
      <c r="Q209" s="57"/>
      <c r="R209" s="57"/>
      <c r="S209" s="57"/>
      <c r="T209" s="57"/>
      <c r="U209" s="57"/>
      <c r="V209" s="57"/>
      <c r="W209" s="57"/>
      <c r="X209" s="57"/>
      <c r="Y209" s="57"/>
      <c r="Z209" s="13" t="str">
        <f t="shared" si="65"/>
        <v>51</v>
      </c>
      <c r="AA209" s="13" t="s">
        <v>5</v>
      </c>
    </row>
    <row r="210" spans="1:27" hidden="1" outlineLevel="1" x14ac:dyDescent="0.25">
      <c r="A210" s="382">
        <v>3</v>
      </c>
      <c r="C210" s="12" t="str">
        <f t="shared" si="64"/>
        <v>aa 00 04 21 2C 00 01 52 55</v>
      </c>
      <c r="D210" s="381" t="s">
        <v>190</v>
      </c>
      <c r="H210" s="344"/>
      <c r="I210" s="344"/>
      <c r="J210" s="1" t="s">
        <v>0</v>
      </c>
      <c r="K210" s="1" t="s">
        <v>1</v>
      </c>
      <c r="L210" s="1" t="s">
        <v>2</v>
      </c>
      <c r="M210" s="2" t="s">
        <v>3</v>
      </c>
      <c r="N210" s="2" t="s">
        <v>220</v>
      </c>
      <c r="O210" s="2" t="s">
        <v>1</v>
      </c>
      <c r="P210" s="3" t="s">
        <v>14</v>
      </c>
      <c r="Q210" s="57"/>
      <c r="R210" s="57"/>
      <c r="S210" s="57"/>
      <c r="T210" s="57"/>
      <c r="U210" s="57"/>
      <c r="V210" s="57"/>
      <c r="W210" s="57"/>
      <c r="X210" s="57"/>
      <c r="Y210" s="57"/>
      <c r="Z210" s="13" t="str">
        <f t="shared" si="65"/>
        <v>52</v>
      </c>
      <c r="AA210" s="13" t="s">
        <v>5</v>
      </c>
    </row>
    <row r="211" spans="1:27" hidden="1" outlineLevel="1" x14ac:dyDescent="0.25">
      <c r="A211" s="382">
        <v>3</v>
      </c>
      <c r="C211" s="12" t="str">
        <f t="shared" si="64"/>
        <v>aa 00 04 21 2D 00 01 53 55</v>
      </c>
      <c r="D211" s="381" t="s">
        <v>191</v>
      </c>
      <c r="H211" s="344"/>
      <c r="I211" s="344"/>
      <c r="J211" s="1" t="s">
        <v>0</v>
      </c>
      <c r="K211" s="1" t="s">
        <v>1</v>
      </c>
      <c r="L211" s="1" t="s">
        <v>2</v>
      </c>
      <c r="M211" s="2" t="s">
        <v>3</v>
      </c>
      <c r="N211" s="2" t="s">
        <v>221</v>
      </c>
      <c r="O211" s="2" t="s">
        <v>1</v>
      </c>
      <c r="P211" s="3" t="s">
        <v>14</v>
      </c>
      <c r="Q211" s="57"/>
      <c r="R211" s="57"/>
      <c r="S211" s="57"/>
      <c r="T211" s="57"/>
      <c r="U211" s="57"/>
      <c r="V211" s="57"/>
      <c r="W211" s="57"/>
      <c r="X211" s="57"/>
      <c r="Y211" s="57"/>
      <c r="Z211" s="13" t="str">
        <f t="shared" si="65"/>
        <v>53</v>
      </c>
      <c r="AA211" s="13" t="s">
        <v>5</v>
      </c>
    </row>
    <row r="212" spans="1:27" hidden="1" outlineLevel="1" x14ac:dyDescent="0.25">
      <c r="A212" s="382">
        <v>3</v>
      </c>
      <c r="C212" s="12" t="str">
        <f t="shared" si="64"/>
        <v>aa 00 04 21 2E 00 01 54 55</v>
      </c>
      <c r="D212" s="381" t="s">
        <v>192</v>
      </c>
      <c r="H212" s="344"/>
      <c r="I212" s="344"/>
      <c r="J212" s="1" t="s">
        <v>0</v>
      </c>
      <c r="K212" s="1" t="s">
        <v>1</v>
      </c>
      <c r="L212" s="1" t="s">
        <v>2</v>
      </c>
      <c r="M212" s="2" t="s">
        <v>3</v>
      </c>
      <c r="N212" s="2" t="s">
        <v>222</v>
      </c>
      <c r="O212" s="2" t="s">
        <v>1</v>
      </c>
      <c r="P212" s="3" t="s">
        <v>14</v>
      </c>
      <c r="Q212" s="57"/>
      <c r="R212" s="57"/>
      <c r="S212" s="57"/>
      <c r="T212" s="57"/>
      <c r="U212" s="57"/>
      <c r="V212" s="57"/>
      <c r="W212" s="57"/>
      <c r="X212" s="57"/>
      <c r="Y212" s="57"/>
      <c r="Z212" s="13" t="str">
        <f t="shared" si="65"/>
        <v>54</v>
      </c>
      <c r="AA212" s="13" t="s">
        <v>5</v>
      </c>
    </row>
    <row r="213" spans="1:27" hidden="1" outlineLevel="1" x14ac:dyDescent="0.25">
      <c r="A213" s="382">
        <v>3</v>
      </c>
      <c r="C213" s="12" t="str">
        <f t="shared" si="64"/>
        <v>aa 00 04 21 2F 00 01 55 55</v>
      </c>
      <c r="D213" s="381" t="s">
        <v>193</v>
      </c>
      <c r="H213" s="344"/>
      <c r="I213" s="344"/>
      <c r="J213" s="1" t="s">
        <v>0</v>
      </c>
      <c r="K213" s="1" t="s">
        <v>1</v>
      </c>
      <c r="L213" s="1" t="s">
        <v>2</v>
      </c>
      <c r="M213" s="2" t="s">
        <v>3</v>
      </c>
      <c r="N213" s="2" t="s">
        <v>223</v>
      </c>
      <c r="O213" s="2" t="s">
        <v>1</v>
      </c>
      <c r="P213" s="3" t="s">
        <v>14</v>
      </c>
      <c r="Q213" s="57"/>
      <c r="R213" s="57"/>
      <c r="S213" s="57"/>
      <c r="T213" s="57"/>
      <c r="U213" s="57"/>
      <c r="V213" s="57"/>
      <c r="W213" s="57"/>
      <c r="X213" s="57"/>
      <c r="Y213" s="57"/>
      <c r="Z213" s="13" t="str">
        <f t="shared" si="65"/>
        <v>55</v>
      </c>
      <c r="AA213" s="13" t="s">
        <v>5</v>
      </c>
    </row>
    <row r="214" spans="1:27" hidden="1" outlineLevel="1" x14ac:dyDescent="0.25">
      <c r="A214" s="382">
        <v>3</v>
      </c>
      <c r="C214" s="12" t="str">
        <f t="shared" si="64"/>
        <v>aa 00 04 21 30 00 01 56 55</v>
      </c>
      <c r="D214" s="381" t="s">
        <v>194</v>
      </c>
      <c r="H214" s="344"/>
      <c r="I214" s="344"/>
      <c r="J214" s="1" t="s">
        <v>0</v>
      </c>
      <c r="K214" s="1" t="s">
        <v>1</v>
      </c>
      <c r="L214" s="1" t="s">
        <v>2</v>
      </c>
      <c r="M214" s="2" t="s">
        <v>3</v>
      </c>
      <c r="N214" s="2" t="s">
        <v>177</v>
      </c>
      <c r="O214" s="2" t="s">
        <v>1</v>
      </c>
      <c r="P214" s="3" t="s">
        <v>14</v>
      </c>
      <c r="Q214" s="57"/>
      <c r="R214" s="57"/>
      <c r="S214" s="57"/>
      <c r="T214" s="57"/>
      <c r="U214" s="57"/>
      <c r="V214" s="57"/>
      <c r="W214" s="57"/>
      <c r="X214" s="57"/>
      <c r="Y214" s="57"/>
      <c r="Z214" s="13" t="str">
        <f t="shared" si="65"/>
        <v>56</v>
      </c>
      <c r="AA214" s="13" t="s">
        <v>5</v>
      </c>
    </row>
    <row r="215" spans="1:27" hidden="1" outlineLevel="1" x14ac:dyDescent="0.25">
      <c r="A215" s="382">
        <v>3</v>
      </c>
      <c r="C215" s="12" t="str">
        <f t="shared" si="64"/>
        <v>aa 00 04 21 31 00 01 57 55</v>
      </c>
      <c r="D215" s="381" t="s">
        <v>195</v>
      </c>
      <c r="H215" s="344"/>
      <c r="I215" s="344"/>
      <c r="J215" s="1" t="s">
        <v>0</v>
      </c>
      <c r="K215" s="1" t="s">
        <v>1</v>
      </c>
      <c r="L215" s="1" t="s">
        <v>2</v>
      </c>
      <c r="M215" s="2" t="s">
        <v>3</v>
      </c>
      <c r="N215" s="2" t="s">
        <v>178</v>
      </c>
      <c r="O215" s="2" t="s">
        <v>1</v>
      </c>
      <c r="P215" s="3" t="s">
        <v>14</v>
      </c>
      <c r="Q215" s="57"/>
      <c r="R215" s="57"/>
      <c r="S215" s="57"/>
      <c r="T215" s="57"/>
      <c r="U215" s="57"/>
      <c r="V215" s="57"/>
      <c r="W215" s="57"/>
      <c r="X215" s="57"/>
      <c r="Y215" s="57"/>
      <c r="Z215" s="13" t="str">
        <f t="shared" si="65"/>
        <v>57</v>
      </c>
      <c r="AA215" s="13" t="s">
        <v>5</v>
      </c>
    </row>
    <row r="216" spans="1:27" hidden="1" outlineLevel="1" x14ac:dyDescent="0.25">
      <c r="A216" s="382">
        <v>3</v>
      </c>
      <c r="C216" s="12" t="str">
        <f t="shared" si="64"/>
        <v>aa 00 04 21 32 00 01 58 55</v>
      </c>
      <c r="D216" s="381" t="s">
        <v>196</v>
      </c>
      <c r="H216" s="344"/>
      <c r="I216" s="344"/>
      <c r="J216" s="1" t="s">
        <v>0</v>
      </c>
      <c r="K216" s="1" t="s">
        <v>1</v>
      </c>
      <c r="L216" s="1" t="s">
        <v>2</v>
      </c>
      <c r="M216" s="2" t="s">
        <v>3</v>
      </c>
      <c r="N216" s="2" t="s">
        <v>179</v>
      </c>
      <c r="O216" s="2" t="s">
        <v>1</v>
      </c>
      <c r="P216" s="3" t="s">
        <v>14</v>
      </c>
      <c r="Q216" s="57"/>
      <c r="R216" s="57"/>
      <c r="S216" s="57"/>
      <c r="T216" s="57"/>
      <c r="U216" s="57"/>
      <c r="V216" s="57"/>
      <c r="W216" s="57"/>
      <c r="X216" s="57"/>
      <c r="Y216" s="57"/>
      <c r="Z216" s="13" t="str">
        <f t="shared" si="65"/>
        <v>58</v>
      </c>
      <c r="AA216" s="13" t="s">
        <v>5</v>
      </c>
    </row>
    <row r="217" spans="1:27" hidden="1" outlineLevel="1" x14ac:dyDescent="0.25">
      <c r="A217" s="382">
        <v>3</v>
      </c>
      <c r="C217" s="12" t="str">
        <f t="shared" si="64"/>
        <v>aa 00 04 21 33 00 01 59 55</v>
      </c>
      <c r="D217" s="381" t="s">
        <v>197</v>
      </c>
      <c r="H217" s="344"/>
      <c r="I217" s="344"/>
      <c r="J217" s="1" t="s">
        <v>0</v>
      </c>
      <c r="K217" s="1" t="s">
        <v>1</v>
      </c>
      <c r="L217" s="1" t="s">
        <v>2</v>
      </c>
      <c r="M217" s="2" t="s">
        <v>3</v>
      </c>
      <c r="N217" s="2" t="s">
        <v>180</v>
      </c>
      <c r="O217" s="2" t="s">
        <v>1</v>
      </c>
      <c r="P217" s="3" t="s">
        <v>14</v>
      </c>
      <c r="Q217" s="57"/>
      <c r="R217" s="57"/>
      <c r="S217" s="57"/>
      <c r="T217" s="57"/>
      <c r="U217" s="57"/>
      <c r="V217" s="57"/>
      <c r="W217" s="57"/>
      <c r="X217" s="57"/>
      <c r="Y217" s="57"/>
      <c r="Z217" s="13" t="str">
        <f t="shared" si="65"/>
        <v>59</v>
      </c>
      <c r="AA217" s="13" t="s">
        <v>5</v>
      </c>
    </row>
    <row r="218" spans="1:27" hidden="1" outlineLevel="1" x14ac:dyDescent="0.25">
      <c r="A218" s="382">
        <v>3</v>
      </c>
      <c r="C218" s="12" t="str">
        <f t="shared" si="64"/>
        <v>aa 00 04 21 34 00 01 5A 55</v>
      </c>
      <c r="D218" s="381" t="s">
        <v>198</v>
      </c>
      <c r="H218" s="344"/>
      <c r="I218" s="344"/>
      <c r="J218" s="1" t="s">
        <v>0</v>
      </c>
      <c r="K218" s="1" t="s">
        <v>1</v>
      </c>
      <c r="L218" s="1" t="s">
        <v>2</v>
      </c>
      <c r="M218" s="2" t="s">
        <v>3</v>
      </c>
      <c r="N218" s="2" t="s">
        <v>181</v>
      </c>
      <c r="O218" s="2" t="s">
        <v>1</v>
      </c>
      <c r="P218" s="3" t="s">
        <v>14</v>
      </c>
      <c r="Q218" s="57"/>
      <c r="R218" s="57"/>
      <c r="S218" s="57"/>
      <c r="T218" s="57"/>
      <c r="U218" s="57"/>
      <c r="V218" s="57"/>
      <c r="W218" s="57"/>
      <c r="X218" s="57"/>
      <c r="Y218" s="57"/>
      <c r="Z218" s="13" t="str">
        <f t="shared" si="65"/>
        <v>5A</v>
      </c>
      <c r="AA218" s="13" t="s">
        <v>5</v>
      </c>
    </row>
    <row r="219" spans="1:27" hidden="1" outlineLevel="1" x14ac:dyDescent="0.25">
      <c r="A219" s="382">
        <v>3</v>
      </c>
      <c r="C219" s="12" t="str">
        <f t="shared" si="64"/>
        <v>aa 00 04 21 35 00 01 5B 55</v>
      </c>
      <c r="D219" s="381" t="s">
        <v>199</v>
      </c>
      <c r="H219" s="344"/>
      <c r="I219" s="344"/>
      <c r="J219" s="1" t="s">
        <v>0</v>
      </c>
      <c r="K219" s="1" t="s">
        <v>1</v>
      </c>
      <c r="L219" s="1" t="s">
        <v>2</v>
      </c>
      <c r="M219" s="2" t="s">
        <v>3</v>
      </c>
      <c r="N219" s="2" t="s">
        <v>182</v>
      </c>
      <c r="O219" s="2" t="s">
        <v>1</v>
      </c>
      <c r="P219" s="3" t="s">
        <v>14</v>
      </c>
      <c r="Q219" s="57"/>
      <c r="R219" s="57"/>
      <c r="S219" s="57"/>
      <c r="T219" s="57"/>
      <c r="U219" s="57"/>
      <c r="V219" s="57"/>
      <c r="W219" s="57"/>
      <c r="X219" s="57"/>
      <c r="Y219" s="57"/>
      <c r="Z219" s="13" t="str">
        <f t="shared" si="65"/>
        <v>5B</v>
      </c>
      <c r="AA219" s="13" t="s">
        <v>5</v>
      </c>
    </row>
    <row r="220" spans="1:27" hidden="1" outlineLevel="1" x14ac:dyDescent="0.25">
      <c r="A220" s="382">
        <v>3</v>
      </c>
      <c r="C220" s="12" t="str">
        <f t="shared" si="64"/>
        <v>aa 00 04 21 36 00 01 5C 55</v>
      </c>
      <c r="D220" s="381" t="s">
        <v>200</v>
      </c>
      <c r="H220" s="344"/>
      <c r="I220" s="344"/>
      <c r="J220" s="1" t="s">
        <v>0</v>
      </c>
      <c r="K220" s="1" t="s">
        <v>1</v>
      </c>
      <c r="L220" s="1" t="s">
        <v>2</v>
      </c>
      <c r="M220" s="2" t="s">
        <v>3</v>
      </c>
      <c r="N220" s="2" t="s">
        <v>183</v>
      </c>
      <c r="O220" s="2" t="s">
        <v>1</v>
      </c>
      <c r="P220" s="3" t="s">
        <v>14</v>
      </c>
      <c r="Q220" s="57"/>
      <c r="R220" s="57"/>
      <c r="S220" s="57"/>
      <c r="T220" s="57"/>
      <c r="U220" s="57"/>
      <c r="V220" s="57"/>
      <c r="W220" s="57"/>
      <c r="X220" s="57"/>
      <c r="Y220" s="57"/>
      <c r="Z220" s="13" t="str">
        <f t="shared" si="65"/>
        <v>5C</v>
      </c>
      <c r="AA220" s="13" t="s">
        <v>5</v>
      </c>
    </row>
    <row r="221" spans="1:27" hidden="1" outlineLevel="1" x14ac:dyDescent="0.25">
      <c r="A221" s="382">
        <v>3</v>
      </c>
      <c r="C221" s="12" t="str">
        <f t="shared" si="64"/>
        <v>aa 00 04 21 37 00 01 5D 55</v>
      </c>
      <c r="D221" s="381" t="s">
        <v>201</v>
      </c>
      <c r="H221" s="344"/>
      <c r="I221" s="344"/>
      <c r="J221" s="1" t="s">
        <v>0</v>
      </c>
      <c r="K221" s="1" t="s">
        <v>1</v>
      </c>
      <c r="L221" s="1" t="s">
        <v>2</v>
      </c>
      <c r="M221" s="2" t="s">
        <v>3</v>
      </c>
      <c r="N221" s="2" t="s">
        <v>184</v>
      </c>
      <c r="O221" s="2" t="s">
        <v>1</v>
      </c>
      <c r="P221" s="3" t="s">
        <v>14</v>
      </c>
      <c r="Q221" s="57"/>
      <c r="R221" s="57"/>
      <c r="S221" s="57"/>
      <c r="T221" s="57"/>
      <c r="U221" s="57"/>
      <c r="V221" s="57"/>
      <c r="W221" s="57"/>
      <c r="X221" s="57"/>
      <c r="Y221" s="57"/>
      <c r="Z221" s="13" t="str">
        <f t="shared" si="65"/>
        <v>5D</v>
      </c>
      <c r="AA221" s="13" t="s">
        <v>5</v>
      </c>
    </row>
    <row r="222" spans="1:27" hidden="1" outlineLevel="1" x14ac:dyDescent="0.25">
      <c r="A222" s="382">
        <v>3</v>
      </c>
      <c r="C222" s="12" t="str">
        <f t="shared" si="64"/>
        <v>aa 00 04 21 38 00 01 5E 55</v>
      </c>
      <c r="D222" s="381" t="s">
        <v>202</v>
      </c>
      <c r="H222" s="344"/>
      <c r="I222" s="344"/>
      <c r="J222" s="1" t="s">
        <v>0</v>
      </c>
      <c r="K222" s="1" t="s">
        <v>1</v>
      </c>
      <c r="L222" s="1" t="s">
        <v>2</v>
      </c>
      <c r="M222" s="2" t="s">
        <v>3</v>
      </c>
      <c r="N222" s="2" t="s">
        <v>185</v>
      </c>
      <c r="O222" s="2" t="s">
        <v>1</v>
      </c>
      <c r="P222" s="3" t="s">
        <v>14</v>
      </c>
      <c r="Q222" s="57"/>
      <c r="R222" s="57"/>
      <c r="S222" s="57"/>
      <c r="T222" s="57"/>
      <c r="U222" s="57"/>
      <c r="V222" s="57"/>
      <c r="W222" s="57"/>
      <c r="X222" s="57"/>
      <c r="Y222" s="57"/>
      <c r="Z222" s="13" t="str">
        <f t="shared" si="65"/>
        <v>5E</v>
      </c>
      <c r="AA222" s="13" t="s">
        <v>5</v>
      </c>
    </row>
    <row r="223" spans="1:27" hidden="1" outlineLevel="1" x14ac:dyDescent="0.25">
      <c r="A223" s="382">
        <v>3</v>
      </c>
      <c r="C223" s="12" t="str">
        <f t="shared" si="64"/>
        <v>aa 00 04 21 39 00 01 5F 55</v>
      </c>
      <c r="D223" s="381" t="s">
        <v>203</v>
      </c>
      <c r="H223" s="344"/>
      <c r="I223" s="344"/>
      <c r="J223" s="1" t="s">
        <v>0</v>
      </c>
      <c r="K223" s="1" t="s">
        <v>1</v>
      </c>
      <c r="L223" s="1" t="s">
        <v>2</v>
      </c>
      <c r="M223" s="2" t="s">
        <v>3</v>
      </c>
      <c r="N223" s="2" t="s">
        <v>186</v>
      </c>
      <c r="O223" s="2" t="s">
        <v>1</v>
      </c>
      <c r="P223" s="3" t="s">
        <v>14</v>
      </c>
      <c r="Q223" s="57"/>
      <c r="R223" s="57"/>
      <c r="S223" s="57"/>
      <c r="T223" s="57"/>
      <c r="U223" s="57"/>
      <c r="V223" s="57"/>
      <c r="W223" s="57"/>
      <c r="X223" s="57"/>
      <c r="Y223" s="57"/>
      <c r="Z223" s="13" t="str">
        <f t="shared" si="65"/>
        <v>5F</v>
      </c>
      <c r="AA223" s="13" t="s">
        <v>5</v>
      </c>
    </row>
    <row r="224" spans="1:27" hidden="1" outlineLevel="1" x14ac:dyDescent="0.25">
      <c r="A224" s="382">
        <v>3</v>
      </c>
      <c r="C224" s="12" t="str">
        <f t="shared" si="64"/>
        <v>aa 00 04 21 3A 00 01 60 55</v>
      </c>
      <c r="D224" s="381" t="s">
        <v>204</v>
      </c>
      <c r="H224" s="344"/>
      <c r="I224" s="344"/>
      <c r="J224" s="1" t="s">
        <v>0</v>
      </c>
      <c r="K224" s="1" t="s">
        <v>1</v>
      </c>
      <c r="L224" s="1" t="s">
        <v>2</v>
      </c>
      <c r="M224" s="2" t="s">
        <v>3</v>
      </c>
      <c r="N224" s="2" t="s">
        <v>224</v>
      </c>
      <c r="O224" s="2" t="s">
        <v>1</v>
      </c>
      <c r="P224" s="3" t="s">
        <v>14</v>
      </c>
      <c r="Q224" s="57"/>
      <c r="R224" s="57"/>
      <c r="S224" s="57"/>
      <c r="T224" s="57"/>
      <c r="U224" s="57"/>
      <c r="V224" s="57"/>
      <c r="W224" s="57"/>
      <c r="X224" s="57"/>
      <c r="Y224" s="57"/>
      <c r="Z224" s="13" t="str">
        <f t="shared" si="65"/>
        <v>60</v>
      </c>
      <c r="AA224" s="13" t="s">
        <v>5</v>
      </c>
    </row>
    <row r="225" spans="1:27" hidden="1" outlineLevel="1" x14ac:dyDescent="0.25">
      <c r="A225" s="382">
        <v>3</v>
      </c>
      <c r="C225" s="12" t="str">
        <f t="shared" ref="C225:C236" si="66">IF(ISBLANK(H225),,H225&amp;" ")&amp;IF(ISBLANK(I225),,I225&amp;" ")&amp;IF(ISBLANK(J225),,J225&amp;" ")&amp;IF(ISBLANK(K225),,K225&amp;" ")&amp;IF(ISBLANK(L225),,L225&amp;" ")&amp;IF(ISBLANK(M225),,M225&amp;" ")&amp;IF(ISBLANK(N225),,N225&amp;" ")&amp;IF(ISBLANK(O225),,O225&amp;" ")&amp;IF(ISBLANK(P225),,P225&amp;" ")&amp;IF(ISBLANK(Q225),,Q225&amp;" ")&amp;IF(ISBLANK(R225),,R225&amp;" ")&amp;IF(ISBLANK(S225),,S225&amp;" ")&amp;IF(ISBLANK(T225),,T225&amp;" ")&amp;IF(ISBLANK(U225),,U225&amp;" ")&amp;IF(ISBLANK(V225),,V225&amp;" ")&amp;IF(ISBLANK(W225),,W225&amp;" ")&amp;IF(ISBLANK(X225),,X225&amp;" ")&amp;IF(ISBLANK(Y225),,Y225&amp;" ")&amp;IF(ISBLANK(Z225),,Z225&amp;" ")&amp;IF(ISBLANK(AA225),,AA225)</f>
        <v>aa 00 04 21 3B 00 01 61 55</v>
      </c>
      <c r="D225" s="381" t="s">
        <v>205</v>
      </c>
      <c r="H225" s="344"/>
      <c r="I225" s="344"/>
      <c r="J225" s="1" t="s">
        <v>0</v>
      </c>
      <c r="K225" s="1" t="s">
        <v>1</v>
      </c>
      <c r="L225" s="1" t="s">
        <v>2</v>
      </c>
      <c r="M225" s="2" t="s">
        <v>3</v>
      </c>
      <c r="N225" s="2" t="s">
        <v>225</v>
      </c>
      <c r="O225" s="2" t="s">
        <v>1</v>
      </c>
      <c r="P225" s="3" t="s">
        <v>14</v>
      </c>
      <c r="Q225" s="57"/>
      <c r="R225" s="57"/>
      <c r="S225" s="57"/>
      <c r="T225" s="57"/>
      <c r="U225" s="57"/>
      <c r="V225" s="57"/>
      <c r="W225" s="57"/>
      <c r="X225" s="57"/>
      <c r="Y225" s="57"/>
      <c r="Z225" s="13" t="str">
        <f t="shared" ref="Z225:Z226" si="67">DEC2HEX(MOD(HEX2DEC(K225)+HEX2DEC(L225)+HEX2DEC(M225)+HEX2DEC(N225)+HEX2DEC(O225)+HEX2DEC(P225)+HEX2DEC(Q225)+HEX2DEC(R225)+HEX2DEC(S225)+HEX2DEC(T225)+HEX2DEC(U225)+HEX2DEC(V225)+HEX2DEC(Y225),256),2)</f>
        <v>61</v>
      </c>
      <c r="AA225" s="13" t="s">
        <v>5</v>
      </c>
    </row>
    <row r="226" spans="1:27" hidden="1" outlineLevel="1" x14ac:dyDescent="0.25">
      <c r="A226" s="382">
        <v>3</v>
      </c>
      <c r="C226" s="12" t="str">
        <f t="shared" si="66"/>
        <v>aa 00 04 21 3C 00 01 62 55</v>
      </c>
      <c r="D226" s="381" t="s">
        <v>206</v>
      </c>
      <c r="H226" s="344"/>
      <c r="I226" s="344"/>
      <c r="J226" s="1" t="s">
        <v>0</v>
      </c>
      <c r="K226" s="1" t="s">
        <v>1</v>
      </c>
      <c r="L226" s="1" t="s">
        <v>2</v>
      </c>
      <c r="M226" s="2" t="s">
        <v>3</v>
      </c>
      <c r="N226" s="2" t="s">
        <v>226</v>
      </c>
      <c r="O226" s="2" t="s">
        <v>1</v>
      </c>
      <c r="P226" s="3" t="s">
        <v>14</v>
      </c>
      <c r="Q226" s="57"/>
      <c r="R226" s="57"/>
      <c r="S226" s="57"/>
      <c r="T226" s="57"/>
      <c r="U226" s="57"/>
      <c r="V226" s="57"/>
      <c r="W226" s="57"/>
      <c r="X226" s="57"/>
      <c r="Y226" s="57"/>
      <c r="Z226" s="13" t="str">
        <f t="shared" si="67"/>
        <v>62</v>
      </c>
      <c r="AA226" s="13" t="s">
        <v>5</v>
      </c>
    </row>
    <row r="227" spans="1:27" collapsed="1" x14ac:dyDescent="0.25">
      <c r="A227" s="346">
        <v>2</v>
      </c>
      <c r="C227" s="387" t="s">
        <v>875</v>
      </c>
      <c r="D227" s="387"/>
    </row>
    <row r="228" spans="1:27" hidden="1" outlineLevel="1" x14ac:dyDescent="0.25">
      <c r="A228" s="382">
        <v>3</v>
      </c>
      <c r="C228" s="12" t="str">
        <f t="shared" si="66"/>
        <v>aa 00 04 21 3D 00 01 63 55</v>
      </c>
      <c r="D228" s="381" t="s">
        <v>206</v>
      </c>
      <c r="H228" s="344"/>
      <c r="I228" s="344"/>
      <c r="J228" s="1" t="s">
        <v>0</v>
      </c>
      <c r="K228" s="1" t="s">
        <v>1</v>
      </c>
      <c r="L228" s="1" t="s">
        <v>2</v>
      </c>
      <c r="M228" s="2" t="s">
        <v>3</v>
      </c>
      <c r="N228" s="2" t="s">
        <v>584</v>
      </c>
      <c r="O228" s="2" t="s">
        <v>1</v>
      </c>
      <c r="P228" s="3" t="s">
        <v>14</v>
      </c>
      <c r="Q228" s="57"/>
      <c r="R228" s="57"/>
      <c r="S228" s="57"/>
      <c r="T228" s="57"/>
      <c r="U228" s="57"/>
      <c r="V228" s="57"/>
      <c r="W228" s="57"/>
      <c r="X228" s="57"/>
      <c r="Y228" s="57"/>
      <c r="Z228" s="13" t="str">
        <f t="shared" ref="Z228:Z236" si="68">DEC2HEX(MOD(HEX2DEC(K228)+HEX2DEC(L228)+HEX2DEC(M228)+HEX2DEC(N228)+HEX2DEC(O228)+HEX2DEC(P228)+HEX2DEC(Q228)+HEX2DEC(R228)+HEX2DEC(S228)+HEX2DEC(T228)+HEX2DEC(U228)+HEX2DEC(V228)+HEX2DEC(Y228),256),2)</f>
        <v>63</v>
      </c>
      <c r="AA228" s="13" t="s">
        <v>5</v>
      </c>
    </row>
    <row r="229" spans="1:27" hidden="1" outlineLevel="1" x14ac:dyDescent="0.25">
      <c r="A229" s="382">
        <v>3</v>
      </c>
      <c r="C229" s="12" t="str">
        <f t="shared" si="66"/>
        <v>aa 00 04 21 3E 00 01 64 55</v>
      </c>
      <c r="D229" s="381" t="s">
        <v>576</v>
      </c>
      <c r="H229" s="344"/>
      <c r="I229" s="344"/>
      <c r="J229" s="1" t="s">
        <v>0</v>
      </c>
      <c r="K229" s="1" t="s">
        <v>1</v>
      </c>
      <c r="L229" s="1" t="s">
        <v>2</v>
      </c>
      <c r="M229" s="2" t="s">
        <v>3</v>
      </c>
      <c r="N229" s="2" t="s">
        <v>585</v>
      </c>
      <c r="O229" s="2" t="s">
        <v>1</v>
      </c>
      <c r="P229" s="3" t="s">
        <v>14</v>
      </c>
      <c r="Q229" s="57"/>
      <c r="R229" s="57"/>
      <c r="S229" s="57"/>
      <c r="T229" s="57"/>
      <c r="U229" s="57"/>
      <c r="V229" s="57"/>
      <c r="W229" s="57"/>
      <c r="X229" s="57"/>
      <c r="Y229" s="57"/>
      <c r="Z229" s="13" t="str">
        <f t="shared" si="68"/>
        <v>64</v>
      </c>
      <c r="AA229" s="13" t="s">
        <v>5</v>
      </c>
    </row>
    <row r="230" spans="1:27" hidden="1" outlineLevel="1" x14ac:dyDescent="0.25">
      <c r="A230" s="382">
        <v>3</v>
      </c>
      <c r="C230" s="12" t="str">
        <f t="shared" si="66"/>
        <v>aa 00 04 21 3F 00 01 65 55</v>
      </c>
      <c r="D230" s="381" t="s">
        <v>577</v>
      </c>
      <c r="H230" s="344"/>
      <c r="I230" s="344"/>
      <c r="J230" s="1" t="s">
        <v>0</v>
      </c>
      <c r="K230" s="1" t="s">
        <v>1</v>
      </c>
      <c r="L230" s="1" t="s">
        <v>2</v>
      </c>
      <c r="M230" s="2" t="s">
        <v>3</v>
      </c>
      <c r="N230" s="2" t="s">
        <v>586</v>
      </c>
      <c r="O230" s="2" t="s">
        <v>1</v>
      </c>
      <c r="P230" s="3" t="s">
        <v>14</v>
      </c>
      <c r="Q230" s="57"/>
      <c r="R230" s="57"/>
      <c r="S230" s="57"/>
      <c r="T230" s="57"/>
      <c r="U230" s="57"/>
      <c r="V230" s="57"/>
      <c r="W230" s="57"/>
      <c r="X230" s="57"/>
      <c r="Y230" s="57"/>
      <c r="Z230" s="13" t="str">
        <f t="shared" si="68"/>
        <v>65</v>
      </c>
      <c r="AA230" s="13" t="s">
        <v>5</v>
      </c>
    </row>
    <row r="231" spans="1:27" hidden="1" outlineLevel="1" x14ac:dyDescent="0.25">
      <c r="A231" s="382">
        <v>3</v>
      </c>
      <c r="C231" s="12" t="str">
        <f t="shared" si="66"/>
        <v>aa 00 04 21 40 00 01 66 55</v>
      </c>
      <c r="D231" s="381" t="s">
        <v>578</v>
      </c>
      <c r="H231" s="344"/>
      <c r="I231" s="344"/>
      <c r="J231" s="1" t="s">
        <v>0</v>
      </c>
      <c r="K231" s="1" t="s">
        <v>1</v>
      </c>
      <c r="L231" s="1" t="s">
        <v>2</v>
      </c>
      <c r="M231" s="2" t="s">
        <v>3</v>
      </c>
      <c r="N231" s="2" t="s">
        <v>42</v>
      </c>
      <c r="O231" s="2" t="s">
        <v>1</v>
      </c>
      <c r="P231" s="3" t="s">
        <v>14</v>
      </c>
      <c r="Q231" s="57"/>
      <c r="R231" s="57"/>
      <c r="S231" s="57"/>
      <c r="T231" s="57"/>
      <c r="U231" s="57"/>
      <c r="V231" s="57"/>
      <c r="W231" s="57"/>
      <c r="X231" s="57"/>
      <c r="Y231" s="57"/>
      <c r="Z231" s="13" t="str">
        <f t="shared" si="68"/>
        <v>66</v>
      </c>
      <c r="AA231" s="13" t="s">
        <v>5</v>
      </c>
    </row>
    <row r="232" spans="1:27" hidden="1" outlineLevel="1" x14ac:dyDescent="0.25">
      <c r="A232" s="382">
        <v>3</v>
      </c>
      <c r="C232" s="12" t="str">
        <f t="shared" si="66"/>
        <v>aa 00 04 21 41 00 01 67 55</v>
      </c>
      <c r="D232" s="381" t="s">
        <v>579</v>
      </c>
      <c r="H232" s="344"/>
      <c r="I232" s="344"/>
      <c r="J232" s="1" t="s">
        <v>0</v>
      </c>
      <c r="K232" s="1" t="s">
        <v>1</v>
      </c>
      <c r="L232" s="1" t="s">
        <v>2</v>
      </c>
      <c r="M232" s="2" t="s">
        <v>3</v>
      </c>
      <c r="N232" s="2" t="s">
        <v>588</v>
      </c>
      <c r="O232" s="2" t="s">
        <v>1</v>
      </c>
      <c r="P232" s="3" t="s">
        <v>14</v>
      </c>
      <c r="Q232" s="57"/>
      <c r="R232" s="57"/>
      <c r="S232" s="57"/>
      <c r="T232" s="57"/>
      <c r="U232" s="57"/>
      <c r="V232" s="57"/>
      <c r="W232" s="57"/>
      <c r="X232" s="57"/>
      <c r="Y232" s="57"/>
      <c r="Z232" s="13" t="str">
        <f t="shared" si="68"/>
        <v>67</v>
      </c>
      <c r="AA232" s="13" t="s">
        <v>5</v>
      </c>
    </row>
    <row r="233" spans="1:27" hidden="1" outlineLevel="1" x14ac:dyDescent="0.25">
      <c r="A233" s="382">
        <v>3</v>
      </c>
      <c r="C233" s="12" t="str">
        <f t="shared" si="66"/>
        <v>aa 00 04 21 42 00 01 68 55</v>
      </c>
      <c r="D233" s="381" t="s">
        <v>580</v>
      </c>
      <c r="H233" s="344"/>
      <c r="I233" s="344"/>
      <c r="J233" s="1" t="s">
        <v>0</v>
      </c>
      <c r="K233" s="1" t="s">
        <v>1</v>
      </c>
      <c r="L233" s="1" t="s">
        <v>2</v>
      </c>
      <c r="M233" s="2" t="s">
        <v>3</v>
      </c>
      <c r="N233" s="2" t="s">
        <v>589</v>
      </c>
      <c r="O233" s="2" t="s">
        <v>1</v>
      </c>
      <c r="P233" s="3" t="s">
        <v>14</v>
      </c>
      <c r="Q233" s="57"/>
      <c r="R233" s="57"/>
      <c r="S233" s="57"/>
      <c r="T233" s="57"/>
      <c r="U233" s="57"/>
      <c r="V233" s="57"/>
      <c r="W233" s="57"/>
      <c r="X233" s="57"/>
      <c r="Y233" s="57"/>
      <c r="Z233" s="13" t="str">
        <f t="shared" si="68"/>
        <v>68</v>
      </c>
      <c r="AA233" s="13" t="s">
        <v>5</v>
      </c>
    </row>
    <row r="234" spans="1:27" hidden="1" outlineLevel="1" x14ac:dyDescent="0.25">
      <c r="A234" s="382">
        <v>3</v>
      </c>
      <c r="C234" s="12" t="str">
        <f t="shared" si="66"/>
        <v>aa 00 04 21 43 00 01 69 55</v>
      </c>
      <c r="D234" s="381" t="s">
        <v>581</v>
      </c>
      <c r="H234" s="344"/>
      <c r="I234" s="344"/>
      <c r="J234" s="1" t="s">
        <v>0</v>
      </c>
      <c r="K234" s="1" t="s">
        <v>1</v>
      </c>
      <c r="L234" s="1" t="s">
        <v>2</v>
      </c>
      <c r="M234" s="2" t="s">
        <v>3</v>
      </c>
      <c r="N234" s="2" t="s">
        <v>590</v>
      </c>
      <c r="O234" s="2" t="s">
        <v>1</v>
      </c>
      <c r="P234" s="3" t="s">
        <v>14</v>
      </c>
      <c r="Q234" s="57"/>
      <c r="R234" s="57"/>
      <c r="S234" s="57"/>
      <c r="T234" s="57"/>
      <c r="U234" s="57"/>
      <c r="V234" s="57"/>
      <c r="W234" s="57"/>
      <c r="X234" s="57"/>
      <c r="Y234" s="57"/>
      <c r="Z234" s="13" t="str">
        <f t="shared" si="68"/>
        <v>69</v>
      </c>
      <c r="AA234" s="13" t="s">
        <v>5</v>
      </c>
    </row>
    <row r="235" spans="1:27" hidden="1" outlineLevel="1" x14ac:dyDescent="0.25">
      <c r="A235" s="382">
        <v>3</v>
      </c>
      <c r="C235" s="12" t="str">
        <f t="shared" si="66"/>
        <v>aa 00 04 21 44 00 01 6A 55</v>
      </c>
      <c r="D235" s="381" t="s">
        <v>582</v>
      </c>
      <c r="H235" s="344"/>
      <c r="I235" s="344"/>
      <c r="J235" s="1" t="s">
        <v>0</v>
      </c>
      <c r="K235" s="1" t="s">
        <v>1</v>
      </c>
      <c r="L235" s="1" t="s">
        <v>2</v>
      </c>
      <c r="M235" s="2" t="s">
        <v>3</v>
      </c>
      <c r="N235" s="2" t="s">
        <v>591</v>
      </c>
      <c r="O235" s="2" t="s">
        <v>1</v>
      </c>
      <c r="P235" s="3" t="s">
        <v>14</v>
      </c>
      <c r="Q235" s="57"/>
      <c r="R235" s="57"/>
      <c r="S235" s="57"/>
      <c r="T235" s="57"/>
      <c r="U235" s="57"/>
      <c r="V235" s="57"/>
      <c r="W235" s="57"/>
      <c r="X235" s="57"/>
      <c r="Y235" s="57"/>
      <c r="Z235" s="13" t="str">
        <f t="shared" si="68"/>
        <v>6A</v>
      </c>
      <c r="AA235" s="13" t="s">
        <v>5</v>
      </c>
    </row>
    <row r="236" spans="1:27" hidden="1" outlineLevel="1" x14ac:dyDescent="0.25">
      <c r="A236" s="382">
        <v>3</v>
      </c>
      <c r="C236" s="12" t="str">
        <f t="shared" si="66"/>
        <v>aa 00 04 21 45 00 01 6B 55</v>
      </c>
      <c r="D236" s="381" t="s">
        <v>583</v>
      </c>
      <c r="H236" s="344"/>
      <c r="I236" s="344"/>
      <c r="J236" s="1" t="s">
        <v>0</v>
      </c>
      <c r="K236" s="1" t="s">
        <v>1</v>
      </c>
      <c r="L236" s="1" t="s">
        <v>2</v>
      </c>
      <c r="M236" s="2" t="s">
        <v>3</v>
      </c>
      <c r="N236" s="2" t="s">
        <v>592</v>
      </c>
      <c r="O236" s="2" t="s">
        <v>1</v>
      </c>
      <c r="P236" s="3" t="s">
        <v>14</v>
      </c>
      <c r="Q236" s="57"/>
      <c r="R236" s="57"/>
      <c r="S236" s="57"/>
      <c r="T236" s="57"/>
      <c r="U236" s="57"/>
      <c r="V236" s="57"/>
      <c r="W236" s="57"/>
      <c r="X236" s="57"/>
      <c r="Y236" s="57"/>
      <c r="Z236" s="13" t="str">
        <f t="shared" si="68"/>
        <v>6B</v>
      </c>
      <c r="AA236" s="13" t="s">
        <v>5</v>
      </c>
    </row>
    <row r="237" spans="1:27" collapsed="1" x14ac:dyDescent="0.25"/>
    <row r="239" spans="1:27" x14ac:dyDescent="0.25">
      <c r="A239" s="338">
        <v>1</v>
      </c>
      <c r="B239" s="338"/>
      <c r="C239" s="338"/>
      <c r="D239" s="338" t="s">
        <v>883</v>
      </c>
      <c r="J239" s="422" t="s">
        <v>55</v>
      </c>
      <c r="K239" s="422"/>
      <c r="L239" s="422"/>
      <c r="M239" s="422"/>
      <c r="N239" s="422"/>
      <c r="O239" s="423"/>
      <c r="P239" s="423"/>
      <c r="Q239" s="423"/>
      <c r="R239" s="423"/>
      <c r="S239" s="423"/>
      <c r="T239" s="423"/>
      <c r="U239" s="423"/>
      <c r="V239" s="423"/>
      <c r="W239" s="423"/>
      <c r="X239" s="423"/>
      <c r="Y239" s="423"/>
      <c r="Z239" s="423"/>
      <c r="AA239" s="422"/>
    </row>
    <row r="240" spans="1:27" hidden="1" outlineLevel="1" x14ac:dyDescent="0.25">
      <c r="A240" s="346">
        <v>2</v>
      </c>
      <c r="C240" s="12" t="str">
        <f t="shared" ref="C240:C247" si="69">IF(ISBLANK(H240),,H240&amp;" ")&amp;IF(ISBLANK(I240),,I240&amp;" ")&amp;IF(ISBLANK(J240),,J240&amp;" ")&amp;IF(ISBLANK(K240),,K240&amp;" ")&amp;IF(ISBLANK(L240),,L240&amp;" ")&amp;IF(ISBLANK(M240),,M240&amp;" ")&amp;IF(ISBLANK(N240),,N240&amp;" ")&amp;IF(ISBLANK(O240),,O240&amp;" ")&amp;IF(ISBLANK(P240),,P240&amp;" ")&amp;IF(ISBLANK(Q240),,Q240&amp;" ")&amp;IF(ISBLANK(R240),,R240&amp;" ")&amp;IF(ISBLANK(S240),,S240&amp;" ")&amp;IF(ISBLANK(T240),,T240&amp;" ")&amp;IF(ISBLANK(U240),,U240&amp;" ")&amp;IF(ISBLANK(V240),,V240&amp;" ")&amp;IF(ISBLANK(W240),,W240&amp;" ")&amp;IF(ISBLANK(X240),,X240&amp;" ")&amp;IF(ISBLANK(Y240),,Y240&amp;" ")&amp;IF(ISBLANK(Z240),,Z240&amp;" ")&amp;IF(ISBLANK(AA240),,AA240)</f>
        <v>aa 00 04 22 00 00 00 26 55</v>
      </c>
      <c r="D240" s="386" t="s">
        <v>879</v>
      </c>
      <c r="J240" s="1" t="s">
        <v>0</v>
      </c>
      <c r="K240" s="1" t="s">
        <v>1</v>
      </c>
      <c r="L240" s="1" t="s">
        <v>2</v>
      </c>
      <c r="M240" s="2" t="s">
        <v>56</v>
      </c>
      <c r="N240" s="2" t="s">
        <v>1</v>
      </c>
      <c r="O240" s="2" t="s">
        <v>1</v>
      </c>
      <c r="P240" s="4" t="s">
        <v>1</v>
      </c>
      <c r="Q240" s="57"/>
      <c r="R240" s="57"/>
      <c r="S240" s="57"/>
      <c r="T240" s="57"/>
      <c r="U240" s="57"/>
      <c r="V240" s="57"/>
      <c r="W240" s="57"/>
      <c r="X240" s="57"/>
      <c r="Y240" s="57"/>
      <c r="Z240" s="42" t="str">
        <f t="shared" ref="Z240:Z245" si="70">DEC2HEX(MOD(HEX2DEC(K240)+HEX2DEC(L240)+HEX2DEC(M240)+HEX2DEC(N240)+HEX2DEC(O240)+HEX2DEC(P240)+HEX2DEC(Q240)+HEX2DEC(R240)+HEX2DEC(S240)+HEX2DEC(T240)+HEX2DEC(U240)+HEX2DEC(V240)+HEX2DEC(Y240),256),2)</f>
        <v>26</v>
      </c>
      <c r="AA240" s="42" t="s">
        <v>5</v>
      </c>
    </row>
    <row r="241" spans="1:27" hidden="1" outlineLevel="1" x14ac:dyDescent="0.25">
      <c r="A241" s="346">
        <v>2</v>
      </c>
      <c r="C241" s="12" t="str">
        <f t="shared" si="69"/>
        <v>aa 00 04 22 00 00 01 27 55</v>
      </c>
      <c r="D241" s="386" t="s">
        <v>880</v>
      </c>
      <c r="J241" s="1" t="s">
        <v>0</v>
      </c>
      <c r="K241" s="1" t="s">
        <v>1</v>
      </c>
      <c r="L241" s="1" t="s">
        <v>2</v>
      </c>
      <c r="M241" s="2" t="s">
        <v>56</v>
      </c>
      <c r="N241" s="2" t="s">
        <v>1</v>
      </c>
      <c r="O241" s="2" t="s">
        <v>1</v>
      </c>
      <c r="P241" s="4" t="s">
        <v>14</v>
      </c>
      <c r="Q241" s="57"/>
      <c r="R241" s="57"/>
      <c r="S241" s="57"/>
      <c r="T241" s="57"/>
      <c r="U241" s="57"/>
      <c r="V241" s="57"/>
      <c r="W241" s="57"/>
      <c r="X241" s="57"/>
      <c r="Y241" s="57"/>
      <c r="Z241" s="42" t="str">
        <f t="shared" si="70"/>
        <v>27</v>
      </c>
      <c r="AA241" s="42" t="s">
        <v>5</v>
      </c>
    </row>
    <row r="242" spans="1:27" hidden="1" outlineLevel="1" x14ac:dyDescent="0.25">
      <c r="A242" s="346">
        <v>2</v>
      </c>
      <c r="C242" s="12" t="str">
        <f t="shared" si="69"/>
        <v>aa 00 04 22 01 00 00 27 55</v>
      </c>
      <c r="D242" s="386" t="s">
        <v>881</v>
      </c>
      <c r="J242" s="1" t="s">
        <v>0</v>
      </c>
      <c r="K242" s="1" t="s">
        <v>1</v>
      </c>
      <c r="L242" s="1" t="s">
        <v>2</v>
      </c>
      <c r="M242" s="2" t="s">
        <v>56</v>
      </c>
      <c r="N242" s="2" t="s">
        <v>4</v>
      </c>
      <c r="O242" s="2" t="s">
        <v>1</v>
      </c>
      <c r="P242" s="4" t="s">
        <v>1</v>
      </c>
      <c r="Q242" s="57"/>
      <c r="R242" s="57"/>
      <c r="S242" s="57"/>
      <c r="T242" s="57"/>
      <c r="U242" s="57"/>
      <c r="V242" s="57"/>
      <c r="W242" s="57"/>
      <c r="X242" s="57"/>
      <c r="Y242" s="57"/>
      <c r="Z242" s="42" t="str">
        <f t="shared" si="70"/>
        <v>27</v>
      </c>
      <c r="AA242" s="42" t="s">
        <v>5</v>
      </c>
    </row>
    <row r="243" spans="1:27" hidden="1" outlineLevel="1" x14ac:dyDescent="0.25">
      <c r="A243" s="346">
        <v>2</v>
      </c>
      <c r="C243" s="12" t="str">
        <f t="shared" si="69"/>
        <v>aa 00 04 22 01 00 01 28 55</v>
      </c>
      <c r="D243" s="386" t="s">
        <v>882</v>
      </c>
      <c r="J243" s="1" t="s">
        <v>0</v>
      </c>
      <c r="K243" s="1" t="s">
        <v>1</v>
      </c>
      <c r="L243" s="1" t="s">
        <v>2</v>
      </c>
      <c r="M243" s="2" t="s">
        <v>56</v>
      </c>
      <c r="N243" s="2" t="s">
        <v>4</v>
      </c>
      <c r="O243" s="2" t="s">
        <v>1</v>
      </c>
      <c r="P243" s="4" t="s">
        <v>14</v>
      </c>
      <c r="Q243" s="57"/>
      <c r="R243" s="57"/>
      <c r="S243" s="57"/>
      <c r="T243" s="57"/>
      <c r="U243" s="57"/>
      <c r="V243" s="57"/>
      <c r="W243" s="57"/>
      <c r="X243" s="57"/>
      <c r="Y243" s="57"/>
      <c r="Z243" s="42" t="str">
        <f t="shared" si="70"/>
        <v>28</v>
      </c>
      <c r="AA243" s="42" t="s">
        <v>5</v>
      </c>
    </row>
    <row r="244" spans="1:27" hidden="1" outlineLevel="1" x14ac:dyDescent="0.25">
      <c r="A244" s="346">
        <v>2</v>
      </c>
      <c r="C244" s="12" t="str">
        <f t="shared" si="69"/>
        <v>aa 00 04 22 02 00 00 28 55</v>
      </c>
      <c r="D244" s="386" t="s">
        <v>60</v>
      </c>
      <c r="J244" s="1" t="s">
        <v>0</v>
      </c>
      <c r="K244" s="1" t="s">
        <v>1</v>
      </c>
      <c r="L244" s="1" t="s">
        <v>2</v>
      </c>
      <c r="M244" s="2" t="s">
        <v>56</v>
      </c>
      <c r="N244" s="2" t="s">
        <v>7</v>
      </c>
      <c r="O244" s="2" t="s">
        <v>1</v>
      </c>
      <c r="P244" s="4" t="s">
        <v>1</v>
      </c>
      <c r="Q244" s="57"/>
      <c r="R244" s="57"/>
      <c r="S244" s="57"/>
      <c r="T244" s="57"/>
      <c r="U244" s="57"/>
      <c r="V244" s="57"/>
      <c r="W244" s="57"/>
      <c r="X244" s="57"/>
      <c r="Y244" s="57"/>
      <c r="Z244" s="42" t="str">
        <f t="shared" si="70"/>
        <v>28</v>
      </c>
      <c r="AA244" s="42" t="s">
        <v>5</v>
      </c>
    </row>
    <row r="245" spans="1:27" hidden="1" outlineLevel="1" x14ac:dyDescent="0.25">
      <c r="A245" s="346">
        <v>2</v>
      </c>
      <c r="C245" s="12" t="str">
        <f t="shared" si="69"/>
        <v>aa 00 04 22 02 00 01 29 55</v>
      </c>
      <c r="D245" s="386" t="s">
        <v>61</v>
      </c>
      <c r="J245" s="1" t="s">
        <v>0</v>
      </c>
      <c r="K245" s="1" t="s">
        <v>1</v>
      </c>
      <c r="L245" s="1" t="s">
        <v>2</v>
      </c>
      <c r="M245" s="2" t="s">
        <v>56</v>
      </c>
      <c r="N245" s="2" t="s">
        <v>7</v>
      </c>
      <c r="O245" s="2" t="s">
        <v>1</v>
      </c>
      <c r="P245" s="4" t="s">
        <v>14</v>
      </c>
      <c r="Q245" s="57"/>
      <c r="R245" s="57"/>
      <c r="S245" s="57"/>
      <c r="T245" s="57"/>
      <c r="U245" s="57"/>
      <c r="V245" s="57"/>
      <c r="W245" s="57"/>
      <c r="X245" s="57"/>
      <c r="Y245" s="57"/>
      <c r="Z245" s="42" t="str">
        <f t="shared" si="70"/>
        <v>29</v>
      </c>
      <c r="AA245" s="42" t="s">
        <v>5</v>
      </c>
    </row>
    <row r="246" spans="1:27" hidden="1" outlineLevel="1" x14ac:dyDescent="0.25">
      <c r="A246" s="346">
        <v>2</v>
      </c>
      <c r="C246" s="12" t="str">
        <f t="shared" si="69"/>
        <v>aa 00 04 22 03 00 00 29 55</v>
      </c>
      <c r="D246" s="386" t="s">
        <v>62</v>
      </c>
      <c r="J246" s="1" t="s">
        <v>0</v>
      </c>
      <c r="K246" s="1" t="s">
        <v>1</v>
      </c>
      <c r="L246" s="1" t="s">
        <v>2</v>
      </c>
      <c r="M246" s="2" t="s">
        <v>56</v>
      </c>
      <c r="N246" s="2" t="s">
        <v>8</v>
      </c>
      <c r="O246" s="2" t="s">
        <v>1</v>
      </c>
      <c r="P246" s="4" t="s">
        <v>1</v>
      </c>
      <c r="Q246" s="57"/>
      <c r="R246" s="57"/>
      <c r="S246" s="57"/>
      <c r="T246" s="57"/>
      <c r="U246" s="57"/>
      <c r="V246" s="57"/>
      <c r="W246" s="57"/>
      <c r="X246" s="57"/>
      <c r="Y246" s="57"/>
      <c r="Z246" s="42" t="str">
        <f>DEC2HEX(MOD(HEX2DEC(K246)+HEX2DEC(L246)+HEX2DEC(M246)+HEX2DEC(N246)+HEX2DEC(O246)+HEX2DEC(P246)+HEX2DEC(Q246)+HEX2DEC(R246)+HEX2DEC(S246)+HEX2DEC(T246)+HEX2DEC(U246)+HEX2DEC(V246)+HEX2DEC(Y246),256),2)</f>
        <v>29</v>
      </c>
      <c r="AA246" s="42" t="s">
        <v>5</v>
      </c>
    </row>
    <row r="247" spans="1:27" hidden="1" outlineLevel="1" x14ac:dyDescent="0.25">
      <c r="A247" s="346">
        <v>2</v>
      </c>
      <c r="C247" s="12" t="str">
        <f t="shared" si="69"/>
        <v>aa 00 04 22 03 00 01 2A 55</v>
      </c>
      <c r="D247" s="386" t="s">
        <v>63</v>
      </c>
      <c r="J247" s="1" t="s">
        <v>0</v>
      </c>
      <c r="K247" s="1" t="s">
        <v>1</v>
      </c>
      <c r="L247" s="1" t="s">
        <v>2</v>
      </c>
      <c r="M247" s="2" t="s">
        <v>56</v>
      </c>
      <c r="N247" s="2" t="s">
        <v>8</v>
      </c>
      <c r="O247" s="2" t="s">
        <v>1</v>
      </c>
      <c r="P247" s="4" t="s">
        <v>14</v>
      </c>
      <c r="Q247" s="57"/>
      <c r="R247" s="57"/>
      <c r="S247" s="57"/>
      <c r="T247" s="57"/>
      <c r="U247" s="57"/>
      <c r="V247" s="57"/>
      <c r="W247" s="57"/>
      <c r="X247" s="57"/>
      <c r="Y247" s="57"/>
      <c r="Z247" s="42" t="str">
        <f>DEC2HEX(MOD(HEX2DEC(K247)+HEX2DEC(L247)+HEX2DEC(M247)+HEX2DEC(N247)+HEX2DEC(O247)+HEX2DEC(P247)+HEX2DEC(Q247)+HEX2DEC(R247)+HEX2DEC(S247)+HEX2DEC(T247)+HEX2DEC(U247)+HEX2DEC(V247)+HEX2DEC(Y247),256),2)</f>
        <v>2A</v>
      </c>
      <c r="AA247" s="42" t="s">
        <v>5</v>
      </c>
    </row>
    <row r="248" spans="1:27" collapsed="1" x14ac:dyDescent="0.25"/>
    <row r="252" spans="1:27" x14ac:dyDescent="0.25">
      <c r="A252" s="338">
        <v>1</v>
      </c>
      <c r="B252" s="338"/>
      <c r="C252" s="338"/>
      <c r="D252" s="338" t="s">
        <v>850</v>
      </c>
    </row>
  </sheetData>
  <mergeCells count="94">
    <mergeCell ref="J239:AA239"/>
    <mergeCell ref="P158:Y158"/>
    <mergeCell ref="J159:AA159"/>
    <mergeCell ref="P142:Y142"/>
    <mergeCell ref="J141:AA141"/>
    <mergeCell ref="P129:R129"/>
    <mergeCell ref="W131:X131"/>
    <mergeCell ref="P110:R110"/>
    <mergeCell ref="T110:U110"/>
    <mergeCell ref="P111:R111"/>
    <mergeCell ref="P112:R112"/>
    <mergeCell ref="P113:R113"/>
    <mergeCell ref="P114:R114"/>
    <mergeCell ref="P115:R115"/>
    <mergeCell ref="P116:R116"/>
    <mergeCell ref="P117:R117"/>
    <mergeCell ref="P118:R118"/>
    <mergeCell ref="P128:R128"/>
    <mergeCell ref="P119:R119"/>
    <mergeCell ref="P120:R120"/>
    <mergeCell ref="P121:R121"/>
    <mergeCell ref="P122:R122"/>
    <mergeCell ref="P123:R123"/>
    <mergeCell ref="P124:R124"/>
    <mergeCell ref="P125:R125"/>
    <mergeCell ref="P126:R126"/>
    <mergeCell ref="P127:R127"/>
    <mergeCell ref="T107:U107"/>
    <mergeCell ref="C74:D74"/>
    <mergeCell ref="C81:D81"/>
    <mergeCell ref="C95:D95"/>
    <mergeCell ref="P99:Q99"/>
    <mergeCell ref="P100:Q100"/>
    <mergeCell ref="P92:Q92"/>
    <mergeCell ref="P93:Q93"/>
    <mergeCell ref="P81:Q81"/>
    <mergeCell ref="P86:Q86"/>
    <mergeCell ref="P87:Q87"/>
    <mergeCell ref="P88:Q88"/>
    <mergeCell ref="P89:Q89"/>
    <mergeCell ref="J104:AA104"/>
    <mergeCell ref="P105:T105"/>
    <mergeCell ref="P101:Q101"/>
    <mergeCell ref="P102:Q102"/>
    <mergeCell ref="P95:Q95"/>
    <mergeCell ref="U105:Y105"/>
    <mergeCell ref="P106:T106"/>
    <mergeCell ref="U106:Y106"/>
    <mergeCell ref="T95:U95"/>
    <mergeCell ref="P96:Q96"/>
    <mergeCell ref="P97:Q97"/>
    <mergeCell ref="P98:Q98"/>
    <mergeCell ref="P90:Q90"/>
    <mergeCell ref="P91:Q91"/>
    <mergeCell ref="P66:Q66"/>
    <mergeCell ref="T66:U66"/>
    <mergeCell ref="C54:D54"/>
    <mergeCell ref="C66:D66"/>
    <mergeCell ref="Q54:R54"/>
    <mergeCell ref="T81:U81"/>
    <mergeCell ref="P82:Q82"/>
    <mergeCell ref="P83:Q83"/>
    <mergeCell ref="P84:Q84"/>
    <mergeCell ref="P85:Q85"/>
    <mergeCell ref="B10:G10"/>
    <mergeCell ref="E51:G51"/>
    <mergeCell ref="E44:G44"/>
    <mergeCell ref="E45:G45"/>
    <mergeCell ref="E46:G46"/>
    <mergeCell ref="E47:G47"/>
    <mergeCell ref="E34:G34"/>
    <mergeCell ref="J40:AA40"/>
    <mergeCell ref="J34:AA34"/>
    <mergeCell ref="E48:G48"/>
    <mergeCell ref="E35:G35"/>
    <mergeCell ref="J30:AA30"/>
    <mergeCell ref="E33:G33"/>
    <mergeCell ref="E31:G31"/>
    <mergeCell ref="E32:G32"/>
    <mergeCell ref="E36:G36"/>
    <mergeCell ref="C162:D162"/>
    <mergeCell ref="C206:D206"/>
    <mergeCell ref="C227:D227"/>
    <mergeCell ref="E29:G29"/>
    <mergeCell ref="E30:G30"/>
    <mergeCell ref="E37:G37"/>
    <mergeCell ref="E38:G38"/>
    <mergeCell ref="E50:G50"/>
    <mergeCell ref="E49:G49"/>
    <mergeCell ref="E39:G39"/>
    <mergeCell ref="E40:G40"/>
    <mergeCell ref="E41:G41"/>
    <mergeCell ref="E42:G42"/>
    <mergeCell ref="E43:G43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6:AD28"/>
  <sheetViews>
    <sheetView zoomScale="85" zoomScaleNormal="85" workbookViewId="0">
      <selection activeCell="O10" sqref="O10:S10"/>
    </sheetView>
  </sheetViews>
  <sheetFormatPr defaultRowHeight="14.4" x14ac:dyDescent="0.25"/>
  <cols>
    <col min="2" max="2" width="51.6640625" customWidth="1"/>
    <col min="3" max="3" width="35.6640625" customWidth="1"/>
    <col min="4" max="5" width="5.44140625" customWidth="1"/>
    <col min="6" max="8" width="5" customWidth="1"/>
    <col min="9" max="26" width="3.6640625" customWidth="1"/>
  </cols>
  <sheetData>
    <row r="6" spans="2:30" x14ac:dyDescent="0.25">
      <c r="B6" s="428" t="s">
        <v>808</v>
      </c>
      <c r="C6" s="429"/>
      <c r="D6" s="429"/>
      <c r="E6" s="429"/>
      <c r="F6" s="429"/>
      <c r="G6" s="429"/>
      <c r="H6" s="429"/>
      <c r="I6" s="429"/>
      <c r="J6" s="429"/>
      <c r="K6" s="429"/>
      <c r="L6" s="429"/>
      <c r="M6" s="429"/>
      <c r="N6" s="429"/>
      <c r="O6" s="429"/>
      <c r="P6" s="429"/>
      <c r="Q6" s="429"/>
      <c r="R6" s="429"/>
      <c r="S6" s="429"/>
      <c r="T6" s="429"/>
      <c r="U6" s="429"/>
      <c r="V6" s="429"/>
      <c r="W6" s="429"/>
      <c r="X6" s="429"/>
      <c r="Y6" s="429"/>
      <c r="Z6" s="429"/>
      <c r="AA6" s="429"/>
      <c r="AB6" s="429"/>
      <c r="AC6" s="429"/>
      <c r="AD6" s="430"/>
    </row>
    <row r="7" spans="2:30" ht="22.2" x14ac:dyDescent="0.25">
      <c r="B7" s="431" t="s">
        <v>301</v>
      </c>
      <c r="C7" s="431"/>
      <c r="D7" s="431"/>
      <c r="E7" s="431"/>
      <c r="F7" s="431"/>
      <c r="G7" s="431"/>
      <c r="H7" s="431"/>
      <c r="I7" s="431"/>
      <c r="J7" s="431"/>
      <c r="K7" s="431"/>
      <c r="L7" s="431"/>
      <c r="M7" s="431"/>
      <c r="N7" s="431"/>
      <c r="O7" s="431"/>
      <c r="P7" s="431"/>
      <c r="Q7" s="431"/>
      <c r="R7" s="431"/>
      <c r="S7" s="431"/>
      <c r="T7" s="431"/>
      <c r="U7" s="431"/>
      <c r="V7" s="431"/>
      <c r="W7" s="431"/>
      <c r="X7" s="431"/>
      <c r="Y7" s="431"/>
      <c r="Z7" s="431"/>
      <c r="AA7" s="431"/>
      <c r="AB7" s="431"/>
      <c r="AC7" s="431"/>
      <c r="AD7" s="431"/>
    </row>
    <row r="8" spans="2:30" x14ac:dyDescent="0.25">
      <c r="B8" s="324" t="s">
        <v>266</v>
      </c>
      <c r="C8" s="324" t="s">
        <v>268</v>
      </c>
      <c r="D8" s="388" t="s">
        <v>810</v>
      </c>
      <c r="E8" s="388"/>
      <c r="F8" s="388"/>
      <c r="G8" s="388" t="s">
        <v>822</v>
      </c>
      <c r="H8" s="388"/>
      <c r="I8" s="388" t="s">
        <v>275</v>
      </c>
      <c r="J8" s="388"/>
      <c r="K8" s="388"/>
      <c r="L8" s="388"/>
      <c r="M8" s="388"/>
      <c r="N8" s="388"/>
      <c r="O8" s="388"/>
      <c r="P8" s="388"/>
      <c r="Q8" s="388"/>
      <c r="R8" s="388"/>
      <c r="S8" s="388"/>
      <c r="T8" s="388"/>
      <c r="U8" s="388"/>
      <c r="V8" s="388"/>
      <c r="W8" s="388"/>
      <c r="X8" s="388"/>
      <c r="Y8" s="388"/>
      <c r="Z8" s="388"/>
      <c r="AA8" s="388" t="s">
        <v>267</v>
      </c>
      <c r="AB8" s="388"/>
      <c r="AC8" s="388"/>
      <c r="AD8" s="388"/>
    </row>
    <row r="9" spans="2:30" ht="14.4" customHeight="1" x14ac:dyDescent="0.25">
      <c r="B9" s="51" t="s">
        <v>276</v>
      </c>
      <c r="C9" s="326" t="s">
        <v>253</v>
      </c>
      <c r="D9" s="388" t="s">
        <v>810</v>
      </c>
      <c r="E9" s="388"/>
      <c r="F9" s="388"/>
      <c r="G9" s="324" t="s">
        <v>820</v>
      </c>
      <c r="H9" s="324" t="s">
        <v>821</v>
      </c>
      <c r="I9" s="86" t="s">
        <v>811</v>
      </c>
      <c r="J9" s="325" t="s">
        <v>812</v>
      </c>
      <c r="K9" s="325" t="s">
        <v>813</v>
      </c>
      <c r="L9" s="325" t="s">
        <v>814</v>
      </c>
      <c r="M9" s="325" t="s">
        <v>815</v>
      </c>
      <c r="N9" s="325" t="s">
        <v>816</v>
      </c>
      <c r="O9" s="424" t="s">
        <v>817</v>
      </c>
      <c r="P9" s="424"/>
      <c r="Q9" s="424"/>
      <c r="R9" s="424"/>
      <c r="S9" s="424"/>
      <c r="T9" s="424"/>
      <c r="U9" s="424"/>
      <c r="V9" s="424"/>
      <c r="W9" s="424"/>
      <c r="X9" s="424"/>
      <c r="Y9" s="83" t="s">
        <v>818</v>
      </c>
      <c r="Z9" s="83" t="s">
        <v>819</v>
      </c>
      <c r="AA9" s="45"/>
      <c r="AB9" s="45"/>
      <c r="AC9" s="45"/>
      <c r="AD9" s="45"/>
    </row>
    <row r="10" spans="2:30" x14ac:dyDescent="0.25">
      <c r="B10" s="55" t="str">
        <f>IF(ISBLANK(G10),,G10&amp;" ")&amp;IF(ISBLANK(H10),,H10&amp;" ")&amp;IF(ISBLANK(I10),,I10&amp;" ")&amp;IF(ISBLANK(J10),,J10&amp;" ")&amp;IF(ISBLANK(K10),,K10&amp;" ")&amp;IF(ISBLANK(L10),,L10&amp;" ")&amp;IF(ISBLANK(M10),,M10&amp;" ")&amp;IF(ISBLANK(N10),,N10&amp;" ")&amp;IF(ISBLANK(O10),,O10&amp;" ")&amp;IF(ISBLANK(P10),,P10&amp;" ")&amp;IF(ISBLANK(Q10),,Q10&amp;" ")&amp;IF(ISBLANK(R10),,R10&amp;" ")&amp;IF(ISBLANK(S10),,S10&amp;" ")&amp;IF(ISBLANK(T10),,T10&amp;" ")&amp;IF(ISBLANK(U10),,U10&amp;" ")&amp;IF(ISBLANK(V10),,V10&amp;" ")&amp;IF(ISBLANK(W10),,W10&amp;" ")&amp;IF(ISBLANK(X10),,X10&amp;" ")&amp;IF(ISBLANK(Y10),,Y10&amp;" ")&amp;IF(ISBLANK(Z10),,Z10)</f>
        <v>0x00 0x01 aa 00 0D 23 01 12 00 00 00 00 00 00 00 00 00 00 43 55</v>
      </c>
      <c r="C10" s="328"/>
      <c r="D10" s="388" t="s">
        <v>810</v>
      </c>
      <c r="E10" s="388"/>
      <c r="F10" s="388"/>
      <c r="G10" s="344" t="s">
        <v>823</v>
      </c>
      <c r="H10" s="344" t="s">
        <v>824</v>
      </c>
      <c r="I10" s="84" t="s">
        <v>254</v>
      </c>
      <c r="J10" s="75" t="s">
        <v>1</v>
      </c>
      <c r="K10" s="75" t="str">
        <f>DEC2HEX( COUNTA(L10:X10),2)</f>
        <v>0D</v>
      </c>
      <c r="L10" s="76" t="s">
        <v>71</v>
      </c>
      <c r="M10" s="76" t="s">
        <v>69</v>
      </c>
      <c r="N10" s="76" t="s">
        <v>17</v>
      </c>
      <c r="O10" s="327" t="s">
        <v>90</v>
      </c>
      <c r="P10" s="327" t="s">
        <v>90</v>
      </c>
      <c r="Q10" s="327" t="s">
        <v>90</v>
      </c>
      <c r="R10" s="327" t="s">
        <v>90</v>
      </c>
      <c r="S10" s="327" t="s">
        <v>90</v>
      </c>
      <c r="T10" s="327" t="s">
        <v>90</v>
      </c>
      <c r="U10" s="327" t="s">
        <v>90</v>
      </c>
      <c r="V10" s="327" t="s">
        <v>23</v>
      </c>
      <c r="W10" s="327" t="s">
        <v>23</v>
      </c>
      <c r="X10" s="327" t="s">
        <v>23</v>
      </c>
      <c r="Y10" s="84" t="str">
        <f>DEC2HEX(MOD(HEX2DEC(J10)+HEX2DEC(K10)+HEX2DEC(L10)+HEX2DEC(M10)+HEX2DEC(N10)+HEX2DEC(O10)+HEX2DEC(P10)+HEX2DEC(Q10)+HEX2DEC(R10)+HEX2DEC(S10)+HEX2DEC(T10)+HEX2DEC(U10)+HEX2DEC(V10)+HEX2DEC(W10)+HEX2DEC(X10),256),2)</f>
        <v>43</v>
      </c>
      <c r="Z10" s="84" t="s">
        <v>92</v>
      </c>
      <c r="AA10" s="116"/>
      <c r="AB10" s="116"/>
      <c r="AC10" s="116"/>
      <c r="AD10" s="116"/>
    </row>
    <row r="25" spans="30:30" x14ac:dyDescent="0.25">
      <c r="AD25" s="43"/>
    </row>
    <row r="26" spans="30:30" x14ac:dyDescent="0.25">
      <c r="AD26" s="43"/>
    </row>
    <row r="28" spans="30:30" ht="14.4" customHeight="1" x14ac:dyDescent="0.25"/>
  </sheetData>
  <mergeCells count="9">
    <mergeCell ref="D10:F10"/>
    <mergeCell ref="G8:H8"/>
    <mergeCell ref="B6:AD6"/>
    <mergeCell ref="B7:AD7"/>
    <mergeCell ref="O9:X9"/>
    <mergeCell ref="I8:Z8"/>
    <mergeCell ref="AA8:AD8"/>
    <mergeCell ref="D8:F8"/>
    <mergeCell ref="D9:F9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C2:AG46"/>
  <sheetViews>
    <sheetView zoomScale="130" zoomScaleNormal="130" workbookViewId="0">
      <selection activeCell="C2" sqref="C2:AC15"/>
    </sheetView>
  </sheetViews>
  <sheetFormatPr defaultColWidth="9" defaultRowHeight="14.4" x14ac:dyDescent="0.25"/>
  <cols>
    <col min="1" max="20" width="3.6640625" style="43" customWidth="1"/>
    <col min="21" max="21" width="40.6640625" style="43" customWidth="1"/>
    <col min="22" max="25" width="5.6640625" style="43" customWidth="1"/>
    <col min="26" max="29" width="10.6640625" style="43" customWidth="1"/>
    <col min="30" max="32" width="9" style="43"/>
    <col min="33" max="33" width="37.21875" style="43" customWidth="1"/>
    <col min="34" max="16384" width="9" style="43"/>
  </cols>
  <sheetData>
    <row r="2" spans="3:33" ht="15" thickBot="1" x14ac:dyDescent="0.3">
      <c r="C2" s="451" t="s">
        <v>379</v>
      </c>
      <c r="D2" s="452"/>
      <c r="E2" s="452"/>
      <c r="F2" s="452"/>
      <c r="G2" s="452"/>
      <c r="H2" s="452"/>
      <c r="I2" s="452"/>
      <c r="J2" s="452"/>
      <c r="K2" s="452"/>
      <c r="L2" s="452"/>
      <c r="M2" s="452"/>
      <c r="N2" s="452"/>
      <c r="O2" s="452"/>
      <c r="P2" s="452"/>
      <c r="Q2" s="452"/>
      <c r="R2" s="452"/>
      <c r="S2" s="452"/>
      <c r="T2" s="452"/>
      <c r="U2" s="452"/>
      <c r="V2" s="452"/>
      <c r="W2" s="452"/>
      <c r="X2" s="452"/>
      <c r="Y2" s="452"/>
      <c r="Z2" s="452"/>
      <c r="AA2" s="452"/>
      <c r="AB2" s="452"/>
      <c r="AC2" s="453"/>
    </row>
    <row r="3" spans="3:33" ht="22.2" x14ac:dyDescent="0.25">
      <c r="C3" s="454" t="s">
        <v>301</v>
      </c>
      <c r="D3" s="455"/>
      <c r="E3" s="455"/>
      <c r="F3" s="455"/>
      <c r="G3" s="455"/>
      <c r="H3" s="455"/>
      <c r="I3" s="455"/>
      <c r="J3" s="455"/>
      <c r="K3" s="455"/>
      <c r="L3" s="455"/>
      <c r="M3" s="455"/>
      <c r="N3" s="455"/>
      <c r="O3" s="455"/>
      <c r="P3" s="455"/>
      <c r="Q3" s="455"/>
      <c r="R3" s="455"/>
      <c r="S3" s="455"/>
      <c r="T3" s="455"/>
      <c r="U3" s="455"/>
      <c r="V3" s="455"/>
      <c r="W3" s="455"/>
      <c r="X3" s="455"/>
      <c r="Y3" s="455"/>
      <c r="Z3" s="455"/>
      <c r="AA3" s="455"/>
      <c r="AB3" s="455"/>
      <c r="AC3" s="456"/>
      <c r="AG3" s="96" t="s">
        <v>339</v>
      </c>
    </row>
    <row r="4" spans="3:33" x14ac:dyDescent="0.25">
      <c r="C4" s="459" t="s">
        <v>275</v>
      </c>
      <c r="D4" s="388"/>
      <c r="E4" s="388"/>
      <c r="F4" s="388"/>
      <c r="G4" s="388"/>
      <c r="H4" s="388"/>
      <c r="I4" s="388"/>
      <c r="J4" s="388"/>
      <c r="K4" s="388"/>
      <c r="L4" s="388"/>
      <c r="M4" s="388"/>
      <c r="N4" s="388"/>
      <c r="O4" s="388"/>
      <c r="P4" s="388"/>
      <c r="Q4" s="388"/>
      <c r="R4" s="388"/>
      <c r="S4" s="388"/>
      <c r="T4" s="388"/>
      <c r="U4" s="223" t="s">
        <v>266</v>
      </c>
      <c r="V4" s="388" t="s">
        <v>267</v>
      </c>
      <c r="W4" s="388"/>
      <c r="X4" s="388"/>
      <c r="Y4" s="388"/>
      <c r="Z4" s="388" t="s">
        <v>268</v>
      </c>
      <c r="AA4" s="388"/>
      <c r="AB4" s="388"/>
      <c r="AC4" s="460"/>
      <c r="AG4" s="95" t="s">
        <v>303</v>
      </c>
    </row>
    <row r="5" spans="3:33" ht="12" customHeight="1" x14ac:dyDescent="0.25">
      <c r="C5" s="87" t="s">
        <v>260</v>
      </c>
      <c r="D5" s="224" t="s">
        <v>261</v>
      </c>
      <c r="E5" s="224" t="s">
        <v>262</v>
      </c>
      <c r="F5" s="224" t="s">
        <v>263</v>
      </c>
      <c r="G5" s="224" t="s">
        <v>264</v>
      </c>
      <c r="H5" s="224" t="s">
        <v>265</v>
      </c>
      <c r="I5" s="424" t="s">
        <v>87</v>
      </c>
      <c r="J5" s="424"/>
      <c r="K5" s="424"/>
      <c r="L5" s="424"/>
      <c r="M5" s="424"/>
      <c r="N5" s="424"/>
      <c r="O5" s="424"/>
      <c r="P5" s="424"/>
      <c r="Q5" s="424"/>
      <c r="R5" s="424"/>
      <c r="S5" s="83" t="s">
        <v>88</v>
      </c>
      <c r="T5" s="83" t="s">
        <v>89</v>
      </c>
      <c r="U5" s="51" t="s">
        <v>276</v>
      </c>
      <c r="V5" s="45"/>
      <c r="W5" s="45"/>
      <c r="X5" s="45"/>
      <c r="Y5" s="45"/>
      <c r="Z5" s="435" t="s">
        <v>253</v>
      </c>
      <c r="AA5" s="435"/>
      <c r="AB5" s="435"/>
      <c r="AC5" s="436"/>
      <c r="AG5" s="95" t="s">
        <v>304</v>
      </c>
    </row>
    <row r="6" spans="3:33" ht="12" customHeight="1" thickBot="1" x14ac:dyDescent="0.3">
      <c r="C6" s="88" t="s">
        <v>254</v>
      </c>
      <c r="D6" s="46" t="s">
        <v>1</v>
      </c>
      <c r="E6" s="46" t="str">
        <f>DEC2HEX( COUNTA(F6:R6),2)</f>
        <v>0D</v>
      </c>
      <c r="F6" s="47" t="s">
        <v>91</v>
      </c>
      <c r="G6" s="47" t="s">
        <v>257</v>
      </c>
      <c r="H6" s="47" t="s">
        <v>258</v>
      </c>
      <c r="I6" s="222" t="s">
        <v>90</v>
      </c>
      <c r="J6" s="222" t="s">
        <v>90</v>
      </c>
      <c r="K6" s="222" t="s">
        <v>90</v>
      </c>
      <c r="L6" s="222" t="s">
        <v>90</v>
      </c>
      <c r="M6" s="222" t="s">
        <v>90</v>
      </c>
      <c r="N6" s="222" t="s">
        <v>90</v>
      </c>
      <c r="O6" s="222" t="s">
        <v>90</v>
      </c>
      <c r="P6" s="222" t="s">
        <v>23</v>
      </c>
      <c r="Q6" s="222" t="s">
        <v>23</v>
      </c>
      <c r="R6" s="222" t="s">
        <v>85</v>
      </c>
      <c r="S6" s="85" t="str">
        <f>DEC2HEX(MOD(HEX2DEC(D6)+HEX2DEC(E6)+HEX2DEC(F6)+HEX2DEC(G6)+HEX2DEC(H6)+HEX2DEC(I6)+HEX2DEC(J6)+HEX2DEC(K6)+HEX2DEC(L6)+HEX2DEC(M6)+HEX2DEC(N6)+HEX2DEC(O6)+HEX2DEC(P6)+HEX2DEC(Q6)+HEX2DEC(R6),256),2)</f>
        <v>43</v>
      </c>
      <c r="T6" s="85" t="s">
        <v>92</v>
      </c>
      <c r="U6" s="49" t="str">
        <f>IF(ISBLANK(C6),,C6&amp;" ")&amp;IF(ISBLANK(D6),,D6&amp;" ")&amp;IF(ISBLANK(E6),,E6&amp;" ")&amp;IF(ISBLANK(F6),,F6&amp;" ")&amp;IF(ISBLANK(G6),,G6&amp;" ")&amp;IF(ISBLANK(H6),,H6&amp;" ")&amp;IF(ISBLANK(I6),,I6&amp;" ")&amp;IF(ISBLANK(J6),,J6&amp;" ")&amp;IF(ISBLANK(K6),,K6&amp;" ")&amp;IF(ISBLANK(L6),,L6&amp;" ")&amp;IF(ISBLANK(M6),,M6&amp;" ")&amp;IF(ISBLANK(N6),,N6&amp;" ")&amp;IF(ISBLANK(O6),,O6&amp;" ")&amp;IF(ISBLANK(P6),,P6&amp;" ")&amp;IF(ISBLANK(Q6),,Q6&amp;" ")&amp;IF(ISBLANK(R6),,R6&amp;" ")&amp;IF(ISBLANK(S6),,S6&amp;" ")&amp;IF(ISBLANK(T6),,T6)</f>
        <v>aa 00 0D 23 01 12 00 00 00 00 00 00 00 00 00 00 43 55</v>
      </c>
      <c r="V6" s="208"/>
      <c r="W6" s="208"/>
      <c r="X6" s="208"/>
      <c r="Y6" s="208"/>
      <c r="Z6" s="463"/>
      <c r="AA6" s="463"/>
      <c r="AB6" s="463"/>
      <c r="AC6" s="464"/>
      <c r="AG6" s="95" t="s">
        <v>305</v>
      </c>
    </row>
    <row r="7" spans="3:33" x14ac:dyDescent="0.25">
      <c r="AG7" s="95" t="s">
        <v>306</v>
      </c>
    </row>
    <row r="8" spans="3:33" ht="15" thickBot="1" x14ac:dyDescent="0.3">
      <c r="AG8" s="95" t="s">
        <v>307</v>
      </c>
    </row>
    <row r="9" spans="3:33" x14ac:dyDescent="0.25">
      <c r="C9" s="432" t="s">
        <v>274</v>
      </c>
      <c r="D9" s="433"/>
      <c r="E9" s="433"/>
      <c r="F9" s="433"/>
      <c r="G9" s="433"/>
      <c r="H9" s="433"/>
      <c r="I9" s="433"/>
      <c r="J9" s="433"/>
      <c r="K9" s="433"/>
      <c r="L9" s="433"/>
      <c r="M9" s="433"/>
      <c r="N9" s="433"/>
      <c r="O9" s="433"/>
      <c r="P9" s="433"/>
      <c r="Q9" s="433"/>
      <c r="R9" s="433"/>
      <c r="S9" s="433"/>
      <c r="T9" s="433"/>
      <c r="U9" s="433"/>
      <c r="V9" s="433"/>
      <c r="W9" s="433"/>
      <c r="X9" s="433"/>
      <c r="Y9" s="433"/>
      <c r="Z9" s="433"/>
      <c r="AA9" s="433"/>
      <c r="AB9" s="433"/>
      <c r="AC9" s="434"/>
      <c r="AG9" s="95" t="s">
        <v>308</v>
      </c>
    </row>
    <row r="10" spans="3:33" ht="16.8" x14ac:dyDescent="0.25">
      <c r="C10" s="87" t="s">
        <v>260</v>
      </c>
      <c r="D10" s="224" t="s">
        <v>261</v>
      </c>
      <c r="E10" s="224" t="s">
        <v>262</v>
      </c>
      <c r="F10" s="224" t="s">
        <v>263</v>
      </c>
      <c r="G10" s="224" t="s">
        <v>264</v>
      </c>
      <c r="H10" s="224" t="s">
        <v>265</v>
      </c>
      <c r="I10" s="424" t="s">
        <v>83</v>
      </c>
      <c r="J10" s="424"/>
      <c r="K10" s="424"/>
      <c r="L10" s="424"/>
      <c r="M10" s="424"/>
      <c r="N10" s="424"/>
      <c r="O10" s="424"/>
      <c r="P10" s="424"/>
      <c r="Q10" s="424"/>
      <c r="R10" s="424"/>
      <c r="S10" s="83" t="s">
        <v>81</v>
      </c>
      <c r="T10" s="83" t="s">
        <v>82</v>
      </c>
      <c r="U10" s="51" t="s">
        <v>272</v>
      </c>
      <c r="V10" s="435" t="s">
        <v>253</v>
      </c>
      <c r="W10" s="435"/>
      <c r="X10" s="435"/>
      <c r="Y10" s="435"/>
      <c r="Z10" s="435"/>
      <c r="AA10" s="435"/>
      <c r="AB10" s="435"/>
      <c r="AC10" s="436"/>
      <c r="AG10" s="95" t="s">
        <v>309</v>
      </c>
    </row>
    <row r="11" spans="3:33" ht="15" thickBot="1" x14ac:dyDescent="0.3">
      <c r="C11" s="88" t="s">
        <v>251</v>
      </c>
      <c r="D11" s="46" t="s">
        <v>256</v>
      </c>
      <c r="E11" s="46" t="str">
        <f>DEC2HEX( COUNTA(F11:R11),2)</f>
        <v>03</v>
      </c>
      <c r="F11" s="47" t="s">
        <v>255</v>
      </c>
      <c r="G11" s="47" t="s">
        <v>256</v>
      </c>
      <c r="H11" s="47" t="s">
        <v>157</v>
      </c>
      <c r="I11" s="222"/>
      <c r="J11" s="222"/>
      <c r="K11" s="222"/>
      <c r="L11" s="222"/>
      <c r="M11" s="222"/>
      <c r="N11" s="222"/>
      <c r="O11" s="222"/>
      <c r="P11" s="222"/>
      <c r="Q11" s="222"/>
      <c r="R11" s="222"/>
      <c r="S11" s="85" t="str">
        <f>DEC2HEX(MOD(HEX2DEC(D11)+HEX2DEC(E11)+HEX2DEC(F11)+HEX2DEC(G11)+HEX2DEC(H11)+HEX2DEC(I11)+HEX2DEC(J11)+HEX2DEC(K11)+HEX2DEC(L11)+HEX2DEC(M11)+HEX2DEC(N11)+HEX2DEC(O11)+HEX2DEC(P11)+HEX2DEC(Q11)+HEX2DEC(R11),256),2)</f>
        <v>75</v>
      </c>
      <c r="T11" s="85" t="s">
        <v>5</v>
      </c>
      <c r="U11" s="49" t="str">
        <f>IF(ISBLANK(C11),,C11&amp;" ")&amp;IF(ISBLANK(D11),,D11&amp;" ")&amp;IF(ISBLANK(E11),,E11&amp;" ")&amp;IF(ISBLANK(F11),,F11&amp;" ")&amp;IF(ISBLANK(G11),,G11&amp;" ")&amp;IF(ISBLANK(H11),,H11&amp;" ")&amp;IF(ISBLANK(I11),,I11&amp;" ")&amp;IF(ISBLANK(J11),,J11&amp;" ")&amp;IF(ISBLANK(K11),,K11&amp;" ")&amp;IF(ISBLANK(L11),,L11&amp;" ")&amp;IF(ISBLANK(M11),,M11&amp;" ")&amp;IF(ISBLANK(N11),,N11&amp;" ")&amp;IF(ISBLANK(O11),,O11&amp;" ")&amp;IF(ISBLANK(P11),,P11&amp;" ")&amp;IF(ISBLANK(Q11),,Q11&amp;" ")&amp;IF(ISBLANK(R11),,R11&amp;" ")&amp;IF(ISBLANK(S11),,S11&amp;" ")&amp;IF(ISBLANK(T11),,T11)</f>
        <v>aa 00 03 62 00 10 75 55</v>
      </c>
      <c r="V11" s="463" t="s">
        <v>273</v>
      </c>
      <c r="W11" s="463"/>
      <c r="X11" s="463"/>
      <c r="Y11" s="463"/>
      <c r="Z11" s="463"/>
      <c r="AA11" s="463"/>
      <c r="AB11" s="463"/>
      <c r="AC11" s="464"/>
      <c r="AG11" s="95" t="s">
        <v>310</v>
      </c>
    </row>
    <row r="12" spans="3:33" ht="15" thickBot="1" x14ac:dyDescent="0.3">
      <c r="AG12" s="95" t="s">
        <v>311</v>
      </c>
    </row>
    <row r="13" spans="3:33" x14ac:dyDescent="0.25">
      <c r="C13" s="432" t="s">
        <v>277</v>
      </c>
      <c r="D13" s="433"/>
      <c r="E13" s="433"/>
      <c r="F13" s="433"/>
      <c r="G13" s="433"/>
      <c r="H13" s="433"/>
      <c r="I13" s="433"/>
      <c r="J13" s="433"/>
      <c r="K13" s="433"/>
      <c r="L13" s="433"/>
      <c r="M13" s="433"/>
      <c r="N13" s="433"/>
      <c r="O13" s="433"/>
      <c r="P13" s="433"/>
      <c r="Q13" s="433"/>
      <c r="R13" s="433"/>
      <c r="S13" s="433"/>
      <c r="T13" s="433"/>
      <c r="U13" s="433"/>
      <c r="V13" s="433"/>
      <c r="W13" s="433"/>
      <c r="X13" s="433"/>
      <c r="Y13" s="433"/>
      <c r="Z13" s="433"/>
      <c r="AA13" s="433"/>
      <c r="AB13" s="433"/>
      <c r="AC13" s="434"/>
      <c r="AG13" s="95" t="s">
        <v>312</v>
      </c>
    </row>
    <row r="14" spans="3:33" ht="16.8" x14ac:dyDescent="0.25">
      <c r="C14" s="87" t="s">
        <v>260</v>
      </c>
      <c r="D14" s="224" t="s">
        <v>261</v>
      </c>
      <c r="E14" s="224" t="s">
        <v>262</v>
      </c>
      <c r="F14" s="224" t="s">
        <v>263</v>
      </c>
      <c r="G14" s="224" t="s">
        <v>264</v>
      </c>
      <c r="H14" s="224" t="s">
        <v>265</v>
      </c>
      <c r="I14" s="395" t="s">
        <v>271</v>
      </c>
      <c r="J14" s="395"/>
      <c r="K14" s="395"/>
      <c r="L14" s="395"/>
      <c r="M14" s="395"/>
      <c r="N14" s="395"/>
      <c r="O14" s="395"/>
      <c r="P14" s="395"/>
      <c r="Q14" s="395"/>
      <c r="R14" s="395"/>
      <c r="S14" s="42"/>
      <c r="T14" s="42"/>
      <c r="U14" s="51" t="s">
        <v>84</v>
      </c>
      <c r="V14" s="23" t="s">
        <v>270</v>
      </c>
      <c r="W14" s="461" t="s">
        <v>252</v>
      </c>
      <c r="X14" s="461"/>
      <c r="Y14" s="461"/>
      <c r="Z14" s="461"/>
      <c r="AA14" s="461"/>
      <c r="AB14" s="461"/>
      <c r="AC14" s="462"/>
      <c r="AG14" s="95" t="s">
        <v>313</v>
      </c>
    </row>
    <row r="15" spans="3:33" ht="15" thickBot="1" x14ac:dyDescent="0.3">
      <c r="C15" s="88" t="s">
        <v>254</v>
      </c>
      <c r="D15" s="46" t="s">
        <v>259</v>
      </c>
      <c r="E15" s="46" t="str">
        <f>DEC2HEX( COUNTA(F15:R15),2)</f>
        <v>05</v>
      </c>
      <c r="F15" s="47" t="s">
        <v>70</v>
      </c>
      <c r="G15" s="47" t="s">
        <v>23</v>
      </c>
      <c r="H15" s="47" t="s">
        <v>70</v>
      </c>
      <c r="I15" s="439" t="str">
        <f>LEFT(DEC2HEX(V15,4),2)</f>
        <v>00</v>
      </c>
      <c r="J15" s="439"/>
      <c r="K15" s="439"/>
      <c r="L15" s="439"/>
      <c r="M15" s="439"/>
      <c r="N15" s="439" t="str">
        <f>RIGHT(DEC2HEX(V15,4),2)</f>
        <v>01</v>
      </c>
      <c r="O15" s="439"/>
      <c r="P15" s="439"/>
      <c r="Q15" s="439"/>
      <c r="R15" s="439"/>
      <c r="S15" s="85" t="str">
        <f>DEC2HEX(MOD(HEX2DEC(D15)+HEX2DEC(E15)+HEX2DEC(F15)+HEX2DEC(G15)+HEX2DEC(H15)+HEX2DEC(I15)+HEX2DEC(J15)+HEX2DEC(K15)+HEX2DEC(L15)+HEX2DEC(M15)+HEX2DEC(N15)+HEX2DEC(O15)+HEX2DEC(P15)+HEX2DEC(Q15)+HEX2DEC(R15),256),2)</f>
        <v>26</v>
      </c>
      <c r="T15" s="48" t="s">
        <v>5</v>
      </c>
      <c r="U15" s="49" t="str">
        <f>IF(ISBLANK(C15),,C15&amp;" ")&amp;IF(ISBLANK(D15),,D15&amp;" ")&amp;IF(ISBLANK(E15),,E15&amp;" ")&amp;IF(ISBLANK(F15),,F15&amp;" ")&amp;IF(ISBLANK(G15),,G15&amp;" ")&amp;IF(ISBLANK(H15),,H15&amp;" ")&amp;IF(ISBLANK(I15),,I15&amp;" ")&amp;IF(ISBLANK(J15),,J15&amp;" ")&amp;IF(ISBLANK(K15),,K15&amp;" ")&amp;IF(ISBLANK(L15),,L15&amp;" ")&amp;IF(ISBLANK(M15),,M15&amp;" ")&amp;IF(ISBLANK(N15),,N15&amp;" ")&amp;IF(ISBLANK(O15),,O15&amp;" ")&amp;IF(ISBLANK(P15),,P15&amp;" ")&amp;IF(ISBLANK(Q15),,Q15&amp;" ")&amp;IF(ISBLANK(R15),,R15&amp;" ")&amp;IF(ISBLANK(S15),,S15&amp;" ")&amp;IF(ISBLANK(T15),,T15)</f>
        <v>aa 00 05 10 00 10 00 01 26 55</v>
      </c>
      <c r="V15" s="50">
        <v>1</v>
      </c>
      <c r="W15" s="437" t="s">
        <v>278</v>
      </c>
      <c r="X15" s="437"/>
      <c r="Y15" s="437"/>
      <c r="Z15" s="437"/>
      <c r="AA15" s="437"/>
      <c r="AB15" s="437"/>
      <c r="AC15" s="438"/>
      <c r="AG15" s="95" t="s">
        <v>314</v>
      </c>
    </row>
    <row r="16" spans="3:33" x14ac:dyDescent="0.25">
      <c r="AG16" s="95" t="s">
        <v>315</v>
      </c>
    </row>
    <row r="17" spans="3:33" x14ac:dyDescent="0.25">
      <c r="AG17" s="95" t="s">
        <v>316</v>
      </c>
    </row>
    <row r="18" spans="3:33" x14ac:dyDescent="0.25">
      <c r="AG18" s="95" t="s">
        <v>317</v>
      </c>
    </row>
    <row r="19" spans="3:33" x14ac:dyDescent="0.25">
      <c r="AG19" s="95" t="s">
        <v>318</v>
      </c>
    </row>
    <row r="20" spans="3:33" x14ac:dyDescent="0.25">
      <c r="C20" s="161"/>
      <c r="D20" s="162"/>
      <c r="E20" s="162"/>
      <c r="F20" s="163"/>
      <c r="G20" s="163"/>
      <c r="H20" s="163"/>
      <c r="I20" s="65"/>
      <c r="J20" s="65"/>
      <c r="K20" s="65"/>
      <c r="L20" s="65"/>
      <c r="M20" s="65"/>
      <c r="N20" s="65"/>
      <c r="O20" s="65"/>
      <c r="P20" s="65"/>
      <c r="Q20" s="65"/>
      <c r="R20" s="65"/>
      <c r="S20" s="161"/>
      <c r="T20" s="161"/>
      <c r="AG20" s="95" t="s">
        <v>319</v>
      </c>
    </row>
    <row r="21" spans="3:33" x14ac:dyDescent="0.25">
      <c r="C21" s="161"/>
      <c r="D21" s="162"/>
      <c r="E21" s="162"/>
      <c r="F21" s="163"/>
      <c r="G21" s="163"/>
      <c r="H21" s="163"/>
      <c r="I21" s="65"/>
      <c r="J21" s="65"/>
      <c r="K21" s="65"/>
      <c r="L21" s="65"/>
      <c r="M21" s="65"/>
      <c r="N21" s="65"/>
      <c r="O21" s="65"/>
      <c r="P21" s="65"/>
      <c r="Q21" s="65"/>
      <c r="R21" s="65"/>
      <c r="S21" s="161"/>
      <c r="T21" s="161"/>
      <c r="AG21" s="95" t="s">
        <v>320</v>
      </c>
    </row>
    <row r="22" spans="3:33" x14ac:dyDescent="0.25">
      <c r="AG22" s="95" t="s">
        <v>321</v>
      </c>
    </row>
    <row r="23" spans="3:33" ht="22.2" x14ac:dyDescent="0.25">
      <c r="C23" s="457" t="s">
        <v>302</v>
      </c>
      <c r="D23" s="458"/>
      <c r="E23" s="458"/>
      <c r="F23" s="458"/>
      <c r="G23" s="458"/>
      <c r="H23" s="458"/>
      <c r="I23" s="458"/>
      <c r="J23" s="458"/>
      <c r="K23" s="458"/>
      <c r="L23" s="458"/>
      <c r="M23" s="458"/>
      <c r="N23" s="458"/>
      <c r="O23" s="458"/>
      <c r="P23" s="458"/>
      <c r="Q23" s="458"/>
      <c r="R23" s="458"/>
      <c r="S23" s="458"/>
      <c r="T23" s="458"/>
      <c r="U23" s="458"/>
      <c r="V23" s="458"/>
      <c r="W23" s="458"/>
      <c r="X23" s="458"/>
      <c r="Y23" s="458"/>
      <c r="Z23" s="458"/>
      <c r="AA23" s="458"/>
      <c r="AB23" s="458"/>
      <c r="AC23" s="458"/>
      <c r="AG23" s="95" t="s">
        <v>322</v>
      </c>
    </row>
    <row r="24" spans="3:33" ht="13.5" customHeight="1" x14ac:dyDescent="0.25">
      <c r="C24" s="442" t="s">
        <v>525</v>
      </c>
      <c r="D24" s="443"/>
      <c r="E24" s="443"/>
      <c r="F24" s="443"/>
      <c r="G24" s="443"/>
      <c r="H24" s="443"/>
      <c r="I24" s="443"/>
      <c r="J24" s="443"/>
      <c r="K24" s="443"/>
      <c r="L24" s="443"/>
      <c r="M24" s="443"/>
      <c r="N24" s="443"/>
      <c r="O24" s="443"/>
      <c r="P24" s="443"/>
      <c r="Q24" s="443"/>
      <c r="R24" s="443"/>
      <c r="S24" s="443"/>
      <c r="T24" s="443"/>
      <c r="U24" s="443"/>
      <c r="V24" s="443"/>
      <c r="W24" s="443"/>
      <c r="X24" s="443"/>
      <c r="Y24" s="443"/>
      <c r="Z24" s="443"/>
      <c r="AA24" s="443"/>
      <c r="AB24" s="443"/>
      <c r="AC24" s="444"/>
      <c r="AG24" s="95" t="s">
        <v>323</v>
      </c>
    </row>
    <row r="25" spans="3:33" x14ac:dyDescent="0.25">
      <c r="C25" s="445"/>
      <c r="D25" s="446"/>
      <c r="E25" s="446"/>
      <c r="F25" s="446"/>
      <c r="G25" s="446"/>
      <c r="H25" s="446"/>
      <c r="I25" s="446"/>
      <c r="J25" s="446"/>
      <c r="K25" s="446"/>
      <c r="L25" s="446"/>
      <c r="M25" s="446"/>
      <c r="N25" s="446"/>
      <c r="O25" s="446"/>
      <c r="P25" s="446"/>
      <c r="Q25" s="446"/>
      <c r="R25" s="446"/>
      <c r="S25" s="446"/>
      <c r="T25" s="446"/>
      <c r="U25" s="446"/>
      <c r="V25" s="446"/>
      <c r="W25" s="446"/>
      <c r="X25" s="446"/>
      <c r="Y25" s="446"/>
      <c r="Z25" s="446"/>
      <c r="AA25" s="446"/>
      <c r="AB25" s="446"/>
      <c r="AC25" s="447"/>
      <c r="AG25" s="95" t="s">
        <v>324</v>
      </c>
    </row>
    <row r="26" spans="3:33" x14ac:dyDescent="0.25">
      <c r="C26" s="445"/>
      <c r="D26" s="446"/>
      <c r="E26" s="446"/>
      <c r="F26" s="446"/>
      <c r="G26" s="446"/>
      <c r="H26" s="446"/>
      <c r="I26" s="446"/>
      <c r="J26" s="446"/>
      <c r="K26" s="446"/>
      <c r="L26" s="446"/>
      <c r="M26" s="446"/>
      <c r="N26" s="446"/>
      <c r="O26" s="446"/>
      <c r="P26" s="446"/>
      <c r="Q26" s="446"/>
      <c r="R26" s="446"/>
      <c r="S26" s="446"/>
      <c r="T26" s="446"/>
      <c r="U26" s="446"/>
      <c r="V26" s="446"/>
      <c r="W26" s="446"/>
      <c r="X26" s="446"/>
      <c r="Y26" s="446"/>
      <c r="Z26" s="446"/>
      <c r="AA26" s="446"/>
      <c r="AB26" s="446"/>
      <c r="AC26" s="447"/>
      <c r="AG26" s="95" t="s">
        <v>325</v>
      </c>
    </row>
    <row r="27" spans="3:33" x14ac:dyDescent="0.25">
      <c r="C27" s="445"/>
      <c r="D27" s="446"/>
      <c r="E27" s="446"/>
      <c r="F27" s="446"/>
      <c r="G27" s="446"/>
      <c r="H27" s="446"/>
      <c r="I27" s="446"/>
      <c r="J27" s="446"/>
      <c r="K27" s="446"/>
      <c r="L27" s="446"/>
      <c r="M27" s="446"/>
      <c r="N27" s="446"/>
      <c r="O27" s="446"/>
      <c r="P27" s="446"/>
      <c r="Q27" s="446"/>
      <c r="R27" s="446"/>
      <c r="S27" s="446"/>
      <c r="T27" s="446"/>
      <c r="U27" s="446"/>
      <c r="V27" s="446"/>
      <c r="W27" s="446"/>
      <c r="X27" s="446"/>
      <c r="Y27" s="446"/>
      <c r="Z27" s="446"/>
      <c r="AA27" s="446"/>
      <c r="AB27" s="446"/>
      <c r="AC27" s="447"/>
      <c r="AG27" s="95" t="s">
        <v>326</v>
      </c>
    </row>
    <row r="28" spans="3:33" x14ac:dyDescent="0.25">
      <c r="C28" s="445"/>
      <c r="D28" s="446"/>
      <c r="E28" s="446"/>
      <c r="F28" s="446"/>
      <c r="G28" s="446"/>
      <c r="H28" s="446"/>
      <c r="I28" s="446"/>
      <c r="J28" s="446"/>
      <c r="K28" s="446"/>
      <c r="L28" s="446"/>
      <c r="M28" s="446"/>
      <c r="N28" s="446"/>
      <c r="O28" s="446"/>
      <c r="P28" s="446"/>
      <c r="Q28" s="446"/>
      <c r="R28" s="446"/>
      <c r="S28" s="446"/>
      <c r="T28" s="446"/>
      <c r="U28" s="446"/>
      <c r="V28" s="446"/>
      <c r="W28" s="446"/>
      <c r="X28" s="446"/>
      <c r="Y28" s="446"/>
      <c r="Z28" s="446"/>
      <c r="AA28" s="446"/>
      <c r="AB28" s="446"/>
      <c r="AC28" s="447"/>
      <c r="AG28" s="95" t="s">
        <v>327</v>
      </c>
    </row>
    <row r="29" spans="3:33" x14ac:dyDescent="0.25">
      <c r="C29" s="445"/>
      <c r="D29" s="446"/>
      <c r="E29" s="446"/>
      <c r="F29" s="446"/>
      <c r="G29" s="446"/>
      <c r="H29" s="446"/>
      <c r="I29" s="446"/>
      <c r="J29" s="446"/>
      <c r="K29" s="446"/>
      <c r="L29" s="446"/>
      <c r="M29" s="446"/>
      <c r="N29" s="446"/>
      <c r="O29" s="446"/>
      <c r="P29" s="446"/>
      <c r="Q29" s="446"/>
      <c r="R29" s="446"/>
      <c r="S29" s="446"/>
      <c r="T29" s="446"/>
      <c r="U29" s="446"/>
      <c r="V29" s="446"/>
      <c r="W29" s="446"/>
      <c r="X29" s="446"/>
      <c r="Y29" s="446"/>
      <c r="Z29" s="446"/>
      <c r="AA29" s="446"/>
      <c r="AB29" s="446"/>
      <c r="AC29" s="447"/>
      <c r="AG29" s="95" t="s">
        <v>328</v>
      </c>
    </row>
    <row r="30" spans="3:33" x14ac:dyDescent="0.25">
      <c r="C30" s="445"/>
      <c r="D30" s="446"/>
      <c r="E30" s="446"/>
      <c r="F30" s="446"/>
      <c r="G30" s="446"/>
      <c r="H30" s="446"/>
      <c r="I30" s="446"/>
      <c r="J30" s="446"/>
      <c r="K30" s="446"/>
      <c r="L30" s="446"/>
      <c r="M30" s="446"/>
      <c r="N30" s="446"/>
      <c r="O30" s="446"/>
      <c r="P30" s="446"/>
      <c r="Q30" s="446"/>
      <c r="R30" s="446"/>
      <c r="S30" s="446"/>
      <c r="T30" s="446"/>
      <c r="U30" s="446"/>
      <c r="V30" s="446"/>
      <c r="W30" s="446"/>
      <c r="X30" s="446"/>
      <c r="Y30" s="446"/>
      <c r="Z30" s="446"/>
      <c r="AA30" s="446"/>
      <c r="AB30" s="446"/>
      <c r="AC30" s="447"/>
      <c r="AG30" s="95" t="s">
        <v>329</v>
      </c>
    </row>
    <row r="31" spans="3:33" x14ac:dyDescent="0.25">
      <c r="C31" s="445"/>
      <c r="D31" s="446"/>
      <c r="E31" s="446"/>
      <c r="F31" s="446"/>
      <c r="G31" s="446"/>
      <c r="H31" s="446"/>
      <c r="I31" s="446"/>
      <c r="J31" s="446"/>
      <c r="K31" s="446"/>
      <c r="L31" s="446"/>
      <c r="M31" s="446"/>
      <c r="N31" s="446"/>
      <c r="O31" s="446"/>
      <c r="P31" s="446"/>
      <c r="Q31" s="446"/>
      <c r="R31" s="446"/>
      <c r="S31" s="446"/>
      <c r="T31" s="446"/>
      <c r="U31" s="446"/>
      <c r="V31" s="446"/>
      <c r="W31" s="446"/>
      <c r="X31" s="446"/>
      <c r="Y31" s="446"/>
      <c r="Z31" s="446"/>
      <c r="AA31" s="446"/>
      <c r="AB31" s="446"/>
      <c r="AC31" s="447"/>
      <c r="AG31" s="95" t="s">
        <v>330</v>
      </c>
    </row>
    <row r="32" spans="3:33" x14ac:dyDescent="0.25">
      <c r="C32" s="445"/>
      <c r="D32" s="446"/>
      <c r="E32" s="446"/>
      <c r="F32" s="446"/>
      <c r="G32" s="446"/>
      <c r="H32" s="446"/>
      <c r="I32" s="446"/>
      <c r="J32" s="446"/>
      <c r="K32" s="446"/>
      <c r="L32" s="446"/>
      <c r="M32" s="446"/>
      <c r="N32" s="446"/>
      <c r="O32" s="446"/>
      <c r="P32" s="446"/>
      <c r="Q32" s="446"/>
      <c r="R32" s="446"/>
      <c r="S32" s="446"/>
      <c r="T32" s="446"/>
      <c r="U32" s="446"/>
      <c r="V32" s="446"/>
      <c r="W32" s="446"/>
      <c r="X32" s="446"/>
      <c r="Y32" s="446"/>
      <c r="Z32" s="446"/>
      <c r="AA32" s="446"/>
      <c r="AB32" s="446"/>
      <c r="AC32" s="447"/>
      <c r="AG32" s="95" t="s">
        <v>331</v>
      </c>
    </row>
    <row r="33" spans="3:33" x14ac:dyDescent="0.25">
      <c r="C33" s="445"/>
      <c r="D33" s="446"/>
      <c r="E33" s="446"/>
      <c r="F33" s="446"/>
      <c r="G33" s="446"/>
      <c r="H33" s="446"/>
      <c r="I33" s="446"/>
      <c r="J33" s="446"/>
      <c r="K33" s="446"/>
      <c r="L33" s="446"/>
      <c r="M33" s="446"/>
      <c r="N33" s="446"/>
      <c r="O33" s="446"/>
      <c r="P33" s="446"/>
      <c r="Q33" s="446"/>
      <c r="R33" s="446"/>
      <c r="S33" s="446"/>
      <c r="T33" s="446"/>
      <c r="U33" s="446"/>
      <c r="V33" s="446"/>
      <c r="W33" s="446"/>
      <c r="X33" s="446"/>
      <c r="Y33" s="446"/>
      <c r="Z33" s="446"/>
      <c r="AA33" s="446"/>
      <c r="AB33" s="446"/>
      <c r="AC33" s="447"/>
      <c r="AG33" s="95" t="s">
        <v>332</v>
      </c>
    </row>
    <row r="34" spans="3:33" x14ac:dyDescent="0.25">
      <c r="C34" s="445"/>
      <c r="D34" s="446"/>
      <c r="E34" s="446"/>
      <c r="F34" s="446"/>
      <c r="G34" s="446"/>
      <c r="H34" s="446"/>
      <c r="I34" s="446"/>
      <c r="J34" s="446"/>
      <c r="K34" s="446"/>
      <c r="L34" s="446"/>
      <c r="M34" s="446"/>
      <c r="N34" s="446"/>
      <c r="O34" s="446"/>
      <c r="P34" s="446"/>
      <c r="Q34" s="446"/>
      <c r="R34" s="446"/>
      <c r="S34" s="446"/>
      <c r="T34" s="446"/>
      <c r="U34" s="446"/>
      <c r="V34" s="446"/>
      <c r="W34" s="446"/>
      <c r="X34" s="446"/>
      <c r="Y34" s="446"/>
      <c r="Z34" s="446"/>
      <c r="AA34" s="446"/>
      <c r="AB34" s="446"/>
      <c r="AC34" s="447"/>
      <c r="AG34" s="95" t="s">
        <v>333</v>
      </c>
    </row>
    <row r="35" spans="3:33" x14ac:dyDescent="0.25">
      <c r="C35" s="445"/>
      <c r="D35" s="446"/>
      <c r="E35" s="446"/>
      <c r="F35" s="446"/>
      <c r="G35" s="446"/>
      <c r="H35" s="446"/>
      <c r="I35" s="446"/>
      <c r="J35" s="446"/>
      <c r="K35" s="446"/>
      <c r="L35" s="446"/>
      <c r="M35" s="446"/>
      <c r="N35" s="446"/>
      <c r="O35" s="446"/>
      <c r="P35" s="446"/>
      <c r="Q35" s="446"/>
      <c r="R35" s="446"/>
      <c r="S35" s="446"/>
      <c r="T35" s="446"/>
      <c r="U35" s="446"/>
      <c r="V35" s="446"/>
      <c r="W35" s="446"/>
      <c r="X35" s="446"/>
      <c r="Y35" s="446"/>
      <c r="Z35" s="446"/>
      <c r="AA35" s="446"/>
      <c r="AB35" s="446"/>
      <c r="AC35" s="447"/>
      <c r="AG35" s="95" t="s">
        <v>338</v>
      </c>
    </row>
    <row r="36" spans="3:33" x14ac:dyDescent="0.25">
      <c r="C36" s="445"/>
      <c r="D36" s="446"/>
      <c r="E36" s="446"/>
      <c r="F36" s="446"/>
      <c r="G36" s="446"/>
      <c r="H36" s="446"/>
      <c r="I36" s="446"/>
      <c r="J36" s="446"/>
      <c r="K36" s="446"/>
      <c r="L36" s="446"/>
      <c r="M36" s="446"/>
      <c r="N36" s="446"/>
      <c r="O36" s="446"/>
      <c r="P36" s="446"/>
      <c r="Q36" s="446"/>
      <c r="R36" s="446"/>
      <c r="S36" s="446"/>
      <c r="T36" s="446"/>
      <c r="U36" s="446"/>
      <c r="V36" s="446"/>
      <c r="W36" s="446"/>
      <c r="X36" s="446"/>
      <c r="Y36" s="446"/>
      <c r="Z36" s="446"/>
      <c r="AA36" s="446"/>
      <c r="AB36" s="446"/>
      <c r="AC36" s="447"/>
      <c r="AG36" s="95" t="s">
        <v>334</v>
      </c>
    </row>
    <row r="37" spans="3:33" x14ac:dyDescent="0.25">
      <c r="C37" s="445"/>
      <c r="D37" s="446"/>
      <c r="E37" s="446"/>
      <c r="F37" s="446"/>
      <c r="G37" s="446"/>
      <c r="H37" s="446"/>
      <c r="I37" s="446"/>
      <c r="J37" s="446"/>
      <c r="K37" s="446"/>
      <c r="L37" s="446"/>
      <c r="M37" s="446"/>
      <c r="N37" s="446"/>
      <c r="O37" s="446"/>
      <c r="P37" s="446"/>
      <c r="Q37" s="446"/>
      <c r="R37" s="446"/>
      <c r="S37" s="446"/>
      <c r="T37" s="446"/>
      <c r="U37" s="446"/>
      <c r="V37" s="446"/>
      <c r="W37" s="446"/>
      <c r="X37" s="446"/>
      <c r="Y37" s="446"/>
      <c r="Z37" s="446"/>
      <c r="AA37" s="446"/>
      <c r="AB37" s="446"/>
      <c r="AC37" s="447"/>
      <c r="AG37" s="95" t="s">
        <v>335</v>
      </c>
    </row>
    <row r="38" spans="3:33" x14ac:dyDescent="0.25">
      <c r="C38" s="445"/>
      <c r="D38" s="446"/>
      <c r="E38" s="446"/>
      <c r="F38" s="446"/>
      <c r="G38" s="446"/>
      <c r="H38" s="446"/>
      <c r="I38" s="446"/>
      <c r="J38" s="446"/>
      <c r="K38" s="446"/>
      <c r="L38" s="446"/>
      <c r="M38" s="446"/>
      <c r="N38" s="446"/>
      <c r="O38" s="446"/>
      <c r="P38" s="446"/>
      <c r="Q38" s="446"/>
      <c r="R38" s="446"/>
      <c r="S38" s="446"/>
      <c r="T38" s="446"/>
      <c r="U38" s="446"/>
      <c r="V38" s="446"/>
      <c r="W38" s="446"/>
      <c r="X38" s="446"/>
      <c r="Y38" s="446"/>
      <c r="Z38" s="446"/>
      <c r="AA38" s="446"/>
      <c r="AB38" s="446"/>
      <c r="AC38" s="447"/>
      <c r="AG38" s="95" t="s">
        <v>336</v>
      </c>
    </row>
    <row r="39" spans="3:33" x14ac:dyDescent="0.25">
      <c r="C39" s="448"/>
      <c r="D39" s="449"/>
      <c r="E39" s="449"/>
      <c r="F39" s="449"/>
      <c r="G39" s="449"/>
      <c r="H39" s="449"/>
      <c r="I39" s="449"/>
      <c r="J39" s="449"/>
      <c r="K39" s="449"/>
      <c r="L39" s="449"/>
      <c r="M39" s="449"/>
      <c r="N39" s="449"/>
      <c r="O39" s="449"/>
      <c r="P39" s="449"/>
      <c r="Q39" s="449"/>
      <c r="R39" s="449"/>
      <c r="S39" s="449"/>
      <c r="T39" s="449"/>
      <c r="U39" s="449"/>
      <c r="V39" s="449"/>
      <c r="W39" s="449"/>
      <c r="X39" s="449"/>
      <c r="Y39" s="449"/>
      <c r="Z39" s="449"/>
      <c r="AA39" s="449"/>
      <c r="AB39" s="449"/>
      <c r="AC39" s="450"/>
      <c r="AG39" s="95" t="s">
        <v>337</v>
      </c>
    </row>
    <row r="42" spans="3:33" ht="72.75" customHeight="1" x14ac:dyDescent="0.25">
      <c r="AG42" s="94"/>
    </row>
    <row r="44" spans="3:33" x14ac:dyDescent="0.25">
      <c r="C44" s="440">
        <v>0.64415509259259263</v>
      </c>
      <c r="D44" s="441"/>
      <c r="E44" s="441"/>
      <c r="F44" s="441"/>
    </row>
    <row r="45" spans="3:33" x14ac:dyDescent="0.25">
      <c r="H45" s="440">
        <f>C46-C44</f>
        <v>1.388888888889106E-4</v>
      </c>
      <c r="I45" s="441"/>
      <c r="J45" s="441"/>
      <c r="K45" s="441"/>
    </row>
    <row r="46" spans="3:33" x14ac:dyDescent="0.25">
      <c r="C46" s="440">
        <v>0.64429398148148154</v>
      </c>
      <c r="D46" s="441"/>
      <c r="E46" s="441"/>
      <c r="F46" s="441"/>
    </row>
  </sheetData>
  <sheetProtection selectLockedCells="1"/>
  <mergeCells count="23">
    <mergeCell ref="C44:F44"/>
    <mergeCell ref="C46:F46"/>
    <mergeCell ref="H45:K45"/>
    <mergeCell ref="C24:AC39"/>
    <mergeCell ref="C2:AC2"/>
    <mergeCell ref="C3:AC3"/>
    <mergeCell ref="C23:AC23"/>
    <mergeCell ref="C4:T4"/>
    <mergeCell ref="V4:Y4"/>
    <mergeCell ref="Z4:AC4"/>
    <mergeCell ref="W14:AC14"/>
    <mergeCell ref="V11:AC11"/>
    <mergeCell ref="I5:R5"/>
    <mergeCell ref="Z5:AC5"/>
    <mergeCell ref="Z6:AC6"/>
    <mergeCell ref="I10:R10"/>
    <mergeCell ref="C9:AC9"/>
    <mergeCell ref="V10:AC10"/>
    <mergeCell ref="W15:AC15"/>
    <mergeCell ref="I14:R14"/>
    <mergeCell ref="C13:AC13"/>
    <mergeCell ref="I15:M15"/>
    <mergeCell ref="N15:R15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B1:U19"/>
  <sheetViews>
    <sheetView zoomScale="55" zoomScaleNormal="55" workbookViewId="0">
      <selection activeCell="K12" activeCellId="1" sqref="U3:U17 K12"/>
    </sheetView>
  </sheetViews>
  <sheetFormatPr defaultRowHeight="14.4" x14ac:dyDescent="0.25"/>
  <cols>
    <col min="2" max="19" width="3.6640625" customWidth="1"/>
    <col min="20" max="20" width="25.77734375" customWidth="1"/>
    <col min="21" max="21" width="53.33203125" customWidth="1"/>
  </cols>
  <sheetData>
    <row r="1" spans="2:21" ht="22.2" x14ac:dyDescent="0.25">
      <c r="B1" s="465" t="s">
        <v>677</v>
      </c>
      <c r="C1" s="466"/>
      <c r="D1" s="466"/>
      <c r="E1" s="466"/>
      <c r="F1" s="466"/>
      <c r="G1" s="466"/>
      <c r="H1" s="466"/>
      <c r="I1" s="466"/>
      <c r="J1" s="466"/>
      <c r="K1" s="466"/>
      <c r="L1" s="466"/>
      <c r="M1" s="466"/>
      <c r="N1" s="466"/>
      <c r="O1" s="466"/>
      <c r="P1" s="466"/>
      <c r="Q1" s="466"/>
      <c r="R1" s="466"/>
      <c r="S1" s="466"/>
      <c r="T1" s="466"/>
      <c r="U1" s="467"/>
    </row>
    <row r="2" spans="2:21" x14ac:dyDescent="0.25">
      <c r="T2" s="278" t="s">
        <v>266</v>
      </c>
      <c r="U2" s="280" t="s">
        <v>695</v>
      </c>
    </row>
    <row r="3" spans="2:21" ht="13.5" customHeight="1" x14ac:dyDescent="0.25">
      <c r="T3" s="51" t="s">
        <v>276</v>
      </c>
      <c r="U3" s="166" t="s">
        <v>6</v>
      </c>
    </row>
    <row r="4" spans="2:21" ht="13.5" customHeight="1" x14ac:dyDescent="0.25">
      <c r="T4" s="55" t="str">
        <f>IF(ISBLANK(给QT读取的!J143),,给QT读取的!J143&amp;" ")&amp;IF(ISBLANK(给QT读取的!K143),,给QT读取的!K143&amp;" ")&amp;IF(ISBLANK(给QT读取的!L143),,给QT读取的!L143&amp;" ")&amp;IF(ISBLANK(给QT读取的!M143),,给QT读取的!M143&amp;" ")&amp;IF(ISBLANK(给QT读取的!N143),,给QT读取的!N143&amp;" ")&amp;IF(ISBLANK(给QT读取的!O143),,给QT读取的!O143&amp;" ")&amp;IF(ISBLANK(给QT读取的!P143),,给QT读取的!P143&amp;" ")&amp;IF(ISBLANK(给QT读取的!Q143),,给QT读取的!Q143&amp;" ")&amp;IF(ISBLANK(给QT读取的!R143),,给QT读取的!R143&amp;" ")&amp;IF(ISBLANK(给QT读取的!S143),,给QT读取的!S143&amp;" ")&amp;IF(ISBLANK(给QT读取的!T143),,给QT读取的!T143&amp;" ")&amp;IF(ISBLANK(给QT读取的!U143),,给QT读取的!U143&amp;" ")&amp;IF(ISBLANK(给QT读取的!V143),,给QT读取的!V143&amp;" ")&amp;IF(ISBLANK(给QT读取的!W143),,给QT读取的!W143&amp;" ")&amp;IF(ISBLANK(给QT读取的!X143),,给QT读取的!X143&amp;" ")&amp;IF(ISBLANK(给QT读取的!Y143),,给QT读取的!Y143&amp;" ")&amp;IF(ISBLANK(给QT读取的!Z143),,给QT读取的!Z143&amp;" ")&amp;IF(ISBLANK(给QT读取的!AA143),,给QT读取的!AA143)</f>
        <v>aa 00 03 02 00 00 05 55</v>
      </c>
      <c r="U4" s="281" t="s">
        <v>679</v>
      </c>
    </row>
    <row r="5" spans="2:21" ht="13.5" customHeight="1" x14ac:dyDescent="0.25">
      <c r="T5" s="55" t="str">
        <f>IF(ISBLANK(给QT读取的!J144),,给QT读取的!J144&amp;" ")&amp;IF(ISBLANK(给QT读取的!K144),,给QT读取的!K144&amp;" ")&amp;IF(ISBLANK(给QT读取的!L144),,给QT读取的!L144&amp;" ")&amp;IF(ISBLANK(给QT读取的!M144),,给QT读取的!M144&amp;" ")&amp;IF(ISBLANK(给QT读取的!N144),,给QT读取的!N144&amp;" ")&amp;IF(ISBLANK(给QT读取的!O144),,给QT读取的!O144&amp;" ")&amp;IF(ISBLANK(给QT读取的!P144),,给QT读取的!P144&amp;" ")&amp;IF(ISBLANK(给QT读取的!Q144),,给QT读取的!Q144&amp;" ")&amp;IF(ISBLANK(给QT读取的!R144),,给QT读取的!R144&amp;" ")&amp;IF(ISBLANK(给QT读取的!S144),,给QT读取的!S144&amp;" ")&amp;IF(ISBLANK(给QT读取的!T144),,给QT读取的!T144&amp;" ")&amp;IF(ISBLANK(给QT读取的!U144),,给QT读取的!U144&amp;" ")&amp;IF(ISBLANK(给QT读取的!V144),,给QT读取的!V144&amp;" ")&amp;IF(ISBLANK(给QT读取的!W144),,给QT读取的!W144&amp;" ")&amp;IF(ISBLANK(给QT读取的!X144),,给QT读取的!X144&amp;" ")&amp;IF(ISBLANK(给QT读取的!Y144),,给QT读取的!Y144&amp;" ")&amp;IF(ISBLANK(给QT读取的!Z144),,给QT读取的!Z144&amp;" ")&amp;IF(ISBLANK(给QT读取的!AA144),,给QT读取的!AA144)</f>
        <v>aa 00 03 02 00 01 06 55</v>
      </c>
      <c r="U5" s="281" t="s">
        <v>680</v>
      </c>
    </row>
    <row r="6" spans="2:21" ht="27" customHeight="1" x14ac:dyDescent="0.25">
      <c r="T6" s="55" t="e">
        <f>IF(ISBLANK(给QT读取的!J145),,给QT读取的!J145&amp;" ")&amp;IF(ISBLANK(给QT读取的!K145),,给QT读取的!K145&amp;" ")&amp;IF(ISBLANK(给QT读取的!L145),,给QT读取的!L145&amp;" ")&amp;IF(ISBLANK(给QT读取的!M145),,给QT读取的!M145&amp;" ")&amp;IF(ISBLANK(给QT读取的!N145),,给QT读取的!N145&amp;" ")&amp;IF(ISBLANK(给QT读取的!O145),,给QT读取的!O145&amp;" ")&amp;IF(ISBLANK(给QT读取的!P145),,给QT读取的!P145&amp;" ")&amp;IF(ISBLANK(给QT读取的!Q145),,给QT读取的!Q145&amp;" ")&amp;IF(ISBLANK(给QT读取的!R145),,给QT读取的!R145&amp;" ")&amp;IF(ISBLANK(给QT读取的!S145),,给QT读取的!S145&amp;" ")&amp;IF(ISBLANK(给QT读取的!T145),,给QT读取的!T145&amp;" ")&amp;IF(ISBLANK(给QT读取的!U145),,给QT读取的!U145&amp;" ")&amp;IF(ISBLANK(给QT读取的!V145),,给QT读取的!V145&amp;" ")&amp;IF(ISBLANK(给QT读取的!W145),,给QT读取的!W145&amp;" ")&amp;IF(ISBLANK(给QT读取的!X145),,给QT读取的!X145&amp;" ")&amp;IF(ISBLANK(给QT读取的!Y145),,给QT读取的!Y145&amp;" ")&amp;IF(ISBLANK(给QT读取的!Z145),,给QT读取的!Z145&amp;" ")&amp;IF(ISBLANK(给QT读取的!AA145),,给QT读取的!AA145)</f>
        <v>#NUM!</v>
      </c>
      <c r="U6" s="281" t="s">
        <v>685</v>
      </c>
    </row>
    <row r="7" spans="2:21" ht="40.5" customHeight="1" x14ac:dyDescent="0.25">
      <c r="T7" s="55" t="e">
        <f>IF(ISBLANK(给QT读取的!J146),,给QT读取的!J146&amp;" ")&amp;IF(ISBLANK(给QT读取的!K146),,给QT读取的!K146&amp;" ")&amp;IF(ISBLANK(给QT读取的!L146),,给QT读取的!L146&amp;" ")&amp;IF(ISBLANK(给QT读取的!M146),,给QT读取的!M146&amp;" ")&amp;IF(ISBLANK(给QT读取的!N146),,给QT读取的!N146&amp;" ")&amp;IF(ISBLANK(给QT读取的!O146),,给QT读取的!O146&amp;" ")&amp;IF(ISBLANK(给QT读取的!P146),,给QT读取的!P146&amp;" ")&amp;IF(ISBLANK(给QT读取的!Q146),,给QT读取的!Q146&amp;" ")&amp;IF(ISBLANK(给QT读取的!R146),,给QT读取的!R146&amp;" ")&amp;IF(ISBLANK(给QT读取的!S146),,给QT读取的!S146&amp;" ")&amp;IF(ISBLANK(给QT读取的!T146),,给QT读取的!T146&amp;" ")&amp;IF(ISBLANK(给QT读取的!U146),,给QT读取的!U146&amp;" ")&amp;IF(ISBLANK(给QT读取的!V146),,给QT读取的!V146&amp;" ")&amp;IF(ISBLANK(给QT读取的!W146),,给QT读取的!W146&amp;" ")&amp;IF(ISBLANK(给QT读取的!X146),,给QT读取的!X146&amp;" ")&amp;IF(ISBLANK(给QT读取的!Y146),,给QT读取的!Y146&amp;" ")&amp;IF(ISBLANK(给QT读取的!Z146),,给QT读取的!Z146&amp;" ")&amp;IF(ISBLANK(给QT读取的!AA146),,给QT读取的!AA146)</f>
        <v>#NUM!</v>
      </c>
      <c r="U7" s="281" t="s">
        <v>686</v>
      </c>
    </row>
    <row r="8" spans="2:21" ht="24" customHeight="1" x14ac:dyDescent="0.25">
      <c r="T8" s="55" t="str">
        <f>IF(ISBLANK(给QT读取的!J147),,给QT读取的!J147&amp;" ")&amp;IF(ISBLANK(给QT读取的!K147),,给QT读取的!K147&amp;" ")&amp;IF(ISBLANK(给QT读取的!L147),,给QT读取的!L147&amp;" ")&amp;IF(ISBLANK(给QT读取的!M147),,给QT读取的!M147&amp;" ")&amp;IF(ISBLANK(给QT读取的!N147),,给QT读取的!N147&amp;" ")&amp;IF(ISBLANK(给QT读取的!O147),,给QT读取的!O147&amp;" ")&amp;IF(ISBLANK(给QT读取的!P147),,给QT读取的!P147&amp;" ")&amp;IF(ISBLANK(给QT读取的!Q147),,给QT读取的!Q147&amp;" ")&amp;IF(ISBLANK(给QT读取的!R147),,给QT读取的!R147&amp;" ")&amp;IF(ISBLANK(给QT读取的!S147),,给QT读取的!S147&amp;" ")&amp;IF(ISBLANK(给QT读取的!T147),,给QT读取的!T147&amp;" ")&amp;IF(ISBLANK(给QT读取的!U147),,给QT读取的!U147&amp;" ")&amp;IF(ISBLANK(给QT读取的!V147),,给QT读取的!V147&amp;" ")&amp;IF(ISBLANK(给QT读取的!W147),,给QT读取的!W147&amp;" ")&amp;IF(ISBLANK(给QT读取的!X147),,给QT读取的!X147&amp;" ")&amp;IF(ISBLANK(给QT读取的!Y147),,给QT读取的!Y147&amp;" ")&amp;IF(ISBLANK(给QT读取的!Z147),,给QT读取的!Z147&amp;" ")&amp;IF(ISBLANK(给QT读取的!AA147),,给QT读取的!AA147)</f>
        <v>aa 00 03 02 00 04 09 55</v>
      </c>
      <c r="U8" s="281" t="s">
        <v>687</v>
      </c>
    </row>
    <row r="9" spans="2:21" ht="38.25" customHeight="1" x14ac:dyDescent="0.25">
      <c r="T9" s="55" t="str">
        <f>IF(ISBLANK(给QT读取的!J148),,给QT读取的!J148&amp;" ")&amp;IF(ISBLANK(给QT读取的!K148),,给QT读取的!K148&amp;" ")&amp;IF(ISBLANK(给QT读取的!L148),,给QT读取的!L148&amp;" ")&amp;IF(ISBLANK(给QT读取的!M148),,给QT读取的!M148&amp;" ")&amp;IF(ISBLANK(给QT读取的!N148),,给QT读取的!N148&amp;" ")&amp;IF(ISBLANK(给QT读取的!O148),,给QT读取的!O148&amp;" ")&amp;IF(ISBLANK(给QT读取的!P148),,给QT读取的!P148&amp;" ")&amp;IF(ISBLANK(给QT读取的!Q148),,给QT读取的!Q148&amp;" ")&amp;IF(ISBLANK(给QT读取的!R148),,给QT读取的!R148&amp;" ")&amp;IF(ISBLANK(给QT读取的!S148),,给QT读取的!S148&amp;" ")&amp;IF(ISBLANK(给QT读取的!T148),,给QT读取的!T148&amp;" ")&amp;IF(ISBLANK(给QT读取的!U148),,给QT读取的!U148&amp;" ")&amp;IF(ISBLANK(给QT读取的!V148),,给QT读取的!V148&amp;" ")&amp;IF(ISBLANK(给QT读取的!W148),,给QT读取的!W148&amp;" ")&amp;IF(ISBLANK(给QT读取的!X148),,给QT读取的!X148&amp;" ")&amp;IF(ISBLANK(给QT读取的!Y148),,给QT读取的!Y148&amp;" ")&amp;IF(ISBLANK(给QT读取的!Z148),,给QT读取的!Z148&amp;" ")&amp;IF(ISBLANK(给QT读取的!AA148),,给QT读取的!AA148)</f>
        <v>aa 00 03 02 00 05 0A 55</v>
      </c>
      <c r="U9" s="281" t="s">
        <v>683</v>
      </c>
    </row>
    <row r="10" spans="2:21" ht="33" customHeight="1" x14ac:dyDescent="0.25">
      <c r="T10" s="55" t="str">
        <f>IF(ISBLANK(给QT读取的!J149),,给QT读取的!J149&amp;" ")&amp;IF(ISBLANK(给QT读取的!K149),,给QT读取的!K149&amp;" ")&amp;IF(ISBLANK(给QT读取的!L149),,给QT读取的!L149&amp;" ")&amp;IF(ISBLANK(给QT读取的!M149),,给QT读取的!M149&amp;" ")&amp;IF(ISBLANK(给QT读取的!N149),,给QT读取的!N149&amp;" ")&amp;IF(ISBLANK(给QT读取的!O149),,给QT读取的!O149&amp;" ")&amp;IF(ISBLANK(给QT读取的!P149),,给QT读取的!P149&amp;" ")&amp;IF(ISBLANK(给QT读取的!Q149),,给QT读取的!Q149&amp;" ")&amp;IF(ISBLANK(给QT读取的!R149),,给QT读取的!R149&amp;" ")&amp;IF(ISBLANK(给QT读取的!S149),,给QT读取的!S149&amp;" ")&amp;IF(ISBLANK(给QT读取的!T149),,给QT读取的!T149&amp;" ")&amp;IF(ISBLANK(给QT读取的!U149),,给QT读取的!U149&amp;" ")&amp;IF(ISBLANK(给QT读取的!V149),,给QT读取的!V149&amp;" ")&amp;IF(ISBLANK(给QT读取的!W149),,给QT读取的!W149&amp;" ")&amp;IF(ISBLANK(给QT读取的!X149),,给QT读取的!X149&amp;" ")&amp;IF(ISBLANK(给QT读取的!Y149),,给QT读取的!Y149&amp;" ")&amp;IF(ISBLANK(给QT读取的!Z149),,给QT读取的!Z149&amp;" ")&amp;IF(ISBLANK(给QT读取的!AA149),,给QT读取的!AA149)</f>
        <v>aa 00 03 02 00 06 0B 55</v>
      </c>
      <c r="U10" s="281" t="s">
        <v>684</v>
      </c>
    </row>
    <row r="11" spans="2:21" ht="42" customHeight="1" x14ac:dyDescent="0.25">
      <c r="T11" s="55" t="str">
        <f>IF(ISBLANK(给QT读取的!J150),,给QT读取的!J150&amp;" ")&amp;IF(ISBLANK(给QT读取的!K150),,给QT读取的!K150&amp;" ")&amp;IF(ISBLANK(给QT读取的!L150),,给QT读取的!L150&amp;" ")&amp;IF(ISBLANK(给QT读取的!M150),,给QT读取的!M150&amp;" ")&amp;IF(ISBLANK(给QT读取的!N150),,给QT读取的!N150&amp;" ")&amp;IF(ISBLANK(给QT读取的!O150),,给QT读取的!O150&amp;" ")&amp;IF(ISBLANK(给QT读取的!P150),,给QT读取的!P150&amp;" ")&amp;IF(ISBLANK(给QT读取的!Q150),,给QT读取的!Q150&amp;" ")&amp;IF(ISBLANK(给QT读取的!R150),,给QT读取的!R150&amp;" ")&amp;IF(ISBLANK(给QT读取的!S150),,给QT读取的!S150&amp;" ")&amp;IF(ISBLANK(给QT读取的!T150),,给QT读取的!T150&amp;" ")&amp;IF(ISBLANK(给QT读取的!U150),,给QT读取的!U150&amp;" ")&amp;IF(ISBLANK(给QT读取的!V150),,给QT读取的!V150&amp;" ")&amp;IF(ISBLANK(给QT读取的!W150),,给QT读取的!W150&amp;" ")&amp;IF(ISBLANK(给QT读取的!X150),,给QT读取的!X150&amp;" ")&amp;IF(ISBLANK(给QT读取的!Y150),,给QT读取的!Y150&amp;" ")&amp;IF(ISBLANK(给QT读取的!Z150),,给QT读取的!Z150&amp;" ")&amp;IF(ISBLANK(给QT读取的!AA150),,给QT读取的!AA150)</f>
        <v>aa 00 03 02 00 07 0C 55</v>
      </c>
      <c r="U11" s="281" t="s">
        <v>689</v>
      </c>
    </row>
    <row r="12" spans="2:21" ht="32.25" customHeight="1" thickBot="1" x14ac:dyDescent="0.3">
      <c r="T12" s="248" t="str">
        <f>IF(ISBLANK(给QT读取的!J151),,给QT读取的!J151&amp;" ")&amp;IF(ISBLANK(给QT读取的!K151),,给QT读取的!K151&amp;" ")&amp;IF(ISBLANK(给QT读取的!L151),,给QT读取的!L151&amp;" ")&amp;IF(ISBLANK(给QT读取的!M151),,给QT读取的!M151&amp;" ")&amp;IF(ISBLANK(给QT读取的!N151),,给QT读取的!N151&amp;" ")&amp;IF(ISBLANK(给QT读取的!O151),,给QT读取的!O151&amp;" ")&amp;IF(ISBLANK(给QT读取的!P151),,给QT读取的!P151&amp;" ")&amp;IF(ISBLANK(给QT读取的!Q151),,给QT读取的!Q151&amp;" ")&amp;IF(ISBLANK(给QT读取的!R151),,给QT读取的!R151&amp;" ")&amp;IF(ISBLANK(给QT读取的!S151),,给QT读取的!S151&amp;" ")&amp;IF(ISBLANK(给QT读取的!T151),,给QT读取的!T151&amp;" ")&amp;IF(ISBLANK(给QT读取的!U151),,给QT读取的!U151&amp;" ")&amp;IF(ISBLANK(给QT读取的!V151),,给QT读取的!V151&amp;" ")&amp;IF(ISBLANK(给QT读取的!W151),,给QT读取的!W151&amp;" ")&amp;IF(ISBLANK(给QT读取的!X151),,给QT读取的!X151&amp;" ")&amp;IF(ISBLANK(给QT读取的!Y151),,给QT读取的!Y151&amp;" ")&amp;IF(ISBLANK(给QT读取的!Z151),,给QT读取的!Z151&amp;" ")&amp;IF(ISBLANK(给QT读取的!AA151),,给QT读取的!AA151)</f>
        <v>aa 00 03 02 00 08 0D 55</v>
      </c>
      <c r="U12" s="282" t="s">
        <v>688</v>
      </c>
    </row>
    <row r="13" spans="2:21" ht="27" customHeight="1" x14ac:dyDescent="0.25">
      <c r="T13" s="204" t="str">
        <f>IF(ISBLANK(给QT读取的!J152),,给QT读取的!J152&amp;" ")&amp;IF(ISBLANK(给QT读取的!K152),,给QT读取的!K152&amp;" ")&amp;IF(ISBLANK(给QT读取的!L152),,给QT读取的!L152&amp;" ")&amp;IF(ISBLANK(给QT读取的!M152),,给QT读取的!M152&amp;" ")&amp;IF(ISBLANK(给QT读取的!N152),,给QT读取的!N152&amp;" ")&amp;IF(ISBLANK(给QT读取的!O152),,给QT读取的!O152&amp;" ")&amp;IF(ISBLANK(给QT读取的!P152),,给QT读取的!P152&amp;" ")&amp;IF(ISBLANK(给QT读取的!Q152),,给QT读取的!Q152&amp;" ")&amp;IF(ISBLANK(给QT读取的!R152),,给QT读取的!R152&amp;" ")&amp;IF(ISBLANK(给QT读取的!S152),,给QT读取的!S152&amp;" ")&amp;IF(ISBLANK(给QT读取的!T152),,给QT读取的!T152&amp;" ")&amp;IF(ISBLANK(给QT读取的!U152),,给QT读取的!U152&amp;" ")&amp;IF(ISBLANK(给QT读取的!V152),,给QT读取的!V152&amp;" ")&amp;IF(ISBLANK(给QT读取的!W152),,给QT读取的!W152&amp;" ")&amp;IF(ISBLANK(给QT读取的!X152),,给QT读取的!X152&amp;" ")&amp;IF(ISBLANK(给QT读取的!Y152),,给QT读取的!Y152&amp;" ")&amp;IF(ISBLANK(给QT读取的!Z152),,给QT读取的!Z152&amp;" ")&amp;IF(ISBLANK(给QT读取的!AA152),,给QT读取的!AA152)</f>
        <v>aa 00 03 02 00 09 0E 55</v>
      </c>
      <c r="U13" s="283" t="s">
        <v>697</v>
      </c>
    </row>
    <row r="14" spans="2:21" ht="27" customHeight="1" x14ac:dyDescent="0.25">
      <c r="T14" s="55" t="str">
        <f>IF(ISBLANK(给QT读取的!J153),,给QT读取的!J153&amp;" ")&amp;IF(ISBLANK(给QT读取的!K153),,给QT读取的!K153&amp;" ")&amp;IF(ISBLANK(给QT读取的!L153),,给QT读取的!L153&amp;" ")&amp;IF(ISBLANK(给QT读取的!M153),,给QT读取的!M153&amp;" ")&amp;IF(ISBLANK(给QT读取的!N153),,给QT读取的!N153&amp;" ")&amp;IF(ISBLANK(给QT读取的!O153),,给QT读取的!O153&amp;" ")&amp;IF(ISBLANK(给QT读取的!P153),,给QT读取的!P153&amp;" ")&amp;IF(ISBLANK(给QT读取的!Q153),,给QT读取的!Q153&amp;" ")&amp;IF(ISBLANK(给QT读取的!R153),,给QT读取的!R153&amp;" ")&amp;IF(ISBLANK(给QT读取的!S153),,给QT读取的!S153&amp;" ")&amp;IF(ISBLANK(给QT读取的!T153),,给QT读取的!T153&amp;" ")&amp;IF(ISBLANK(给QT读取的!U153),,给QT读取的!U153&amp;" ")&amp;IF(ISBLANK(给QT读取的!V153),,给QT读取的!V153&amp;" ")&amp;IF(ISBLANK(给QT读取的!W153),,给QT读取的!W153&amp;" ")&amp;IF(ISBLANK(给QT读取的!X153),,给QT读取的!X153&amp;" ")&amp;IF(ISBLANK(给QT读取的!Y153),,给QT读取的!Y153&amp;" ")&amp;IF(ISBLANK(给QT读取的!Z153),,给QT读取的!Z153&amp;" ")&amp;IF(ISBLANK(给QT读取的!AA153),,给QT读取的!AA153)</f>
        <v>aa 00 03 02 00 0A 0F 55</v>
      </c>
      <c r="U14" s="284" t="s">
        <v>698</v>
      </c>
    </row>
    <row r="15" spans="2:21" ht="13.5" customHeight="1" x14ac:dyDescent="0.25">
      <c r="T15" s="55" t="str">
        <f>IF(ISBLANK(给QT读取的!J154),,给QT读取的!J154&amp;" ")&amp;IF(ISBLANK(给QT读取的!K154),,给QT读取的!K154&amp;" ")&amp;IF(ISBLANK(给QT读取的!L154),,给QT读取的!L154&amp;" ")&amp;IF(ISBLANK(给QT读取的!M154),,给QT读取的!M154&amp;" ")&amp;IF(ISBLANK(给QT读取的!N154),,给QT读取的!N154&amp;" ")&amp;IF(ISBLANK(给QT读取的!O154),,给QT读取的!O154&amp;" ")&amp;IF(ISBLANK(给QT读取的!P154),,给QT读取的!P154&amp;" ")&amp;IF(ISBLANK(给QT读取的!Q154),,给QT读取的!Q154&amp;" ")&amp;IF(ISBLANK(给QT读取的!R154),,给QT读取的!R154&amp;" ")&amp;IF(ISBLANK(给QT读取的!S154),,给QT读取的!S154&amp;" ")&amp;IF(ISBLANK(给QT读取的!T154),,给QT读取的!T154&amp;" ")&amp;IF(ISBLANK(给QT读取的!U154),,给QT读取的!U154&amp;" ")&amp;IF(ISBLANK(给QT读取的!V154),,给QT读取的!V154&amp;" ")&amp;IF(ISBLANK(给QT读取的!W154),,给QT读取的!W154&amp;" ")&amp;IF(ISBLANK(给QT读取的!X154),,给QT读取的!X154&amp;" ")&amp;IF(ISBLANK(给QT读取的!Y154),,给QT读取的!Y154&amp;" ")&amp;IF(ISBLANK(给QT读取的!Z154),,给QT读取的!Z154&amp;" ")&amp;IF(ISBLANK(给QT读取的!AA154),,给QT读取的!AA154)</f>
        <v>aa 00 0D 02 00 0B 01 02 03 04 05 06 07 08 09 10 57 55</v>
      </c>
      <c r="U15" s="284" t="s">
        <v>691</v>
      </c>
    </row>
    <row r="16" spans="2:21" ht="13.5" customHeight="1" x14ac:dyDescent="0.25">
      <c r="T16" s="55" t="str">
        <f>IF(ISBLANK(给QT读取的!J155),,给QT读取的!J155&amp;" ")&amp;IF(ISBLANK(给QT读取的!K155),,给QT读取的!K155&amp;" ")&amp;IF(ISBLANK(给QT读取的!L155),,给QT读取的!L155&amp;" ")&amp;IF(ISBLANK(给QT读取的!M155),,给QT读取的!M155&amp;" ")&amp;IF(ISBLANK(给QT读取的!N155),,给QT读取的!N155&amp;" ")&amp;IF(ISBLANK(给QT读取的!O155),,给QT读取的!O155&amp;" ")&amp;IF(ISBLANK(给QT读取的!P155),,给QT读取的!P155&amp;" ")&amp;IF(ISBLANK(给QT读取的!Q155),,给QT读取的!Q155&amp;" ")&amp;IF(ISBLANK(给QT读取的!R155),,给QT读取的!R155&amp;" ")&amp;IF(ISBLANK(给QT读取的!S155),,给QT读取的!S155&amp;" ")&amp;IF(ISBLANK(给QT读取的!T155),,给QT读取的!T155&amp;" ")&amp;IF(ISBLANK(给QT读取的!U155),,给QT读取的!U155&amp;" ")&amp;IF(ISBLANK(给QT读取的!V155),,给QT读取的!V155&amp;" ")&amp;IF(ISBLANK(给QT读取的!W155),,给QT读取的!W155&amp;" ")&amp;IF(ISBLANK(给QT读取的!X155),,给QT读取的!X155&amp;" ")&amp;IF(ISBLANK(给QT读取的!Y155),,给QT读取的!Y155&amp;" ")&amp;IF(ISBLANK(给QT读取的!Z155),,给QT读取的!Z155&amp;" ")&amp;IF(ISBLANK(给QT读取的!AA155),,给QT读取的!AA155)</f>
        <v>aa 00 03 02 00 0C 11 55</v>
      </c>
      <c r="U16" s="284" t="s">
        <v>693</v>
      </c>
    </row>
    <row r="17" spans="2:21" ht="13.5" customHeight="1" thickBot="1" x14ac:dyDescent="0.3">
      <c r="T17" s="49" t="e">
        <f>IF(ISBLANK(给QT读取的!J156),,给QT读取的!J156&amp;" ")&amp;IF(ISBLANK(给QT读取的!K156),,给QT读取的!K156&amp;" ")&amp;IF(ISBLANK(给QT读取的!L156),,给QT读取的!L156&amp;" ")&amp;IF(ISBLANK(给QT读取的!M156),,给QT读取的!M156&amp;" ")&amp;IF(ISBLANK(给QT读取的!N156),,给QT读取的!N156&amp;" ")&amp;IF(ISBLANK(给QT读取的!O156),,给QT读取的!O156&amp;" ")&amp;IF(ISBLANK(给QT读取的!P156),,给QT读取的!P156&amp;" ")&amp;IF(ISBLANK(给QT读取的!Q156),,给QT读取的!Q156&amp;" ")&amp;IF(ISBLANK(给QT读取的!R156),,给QT读取的!R156&amp;" ")&amp;IF(ISBLANK(给QT读取的!S156),,给QT读取的!S156&amp;" ")&amp;IF(ISBLANK(给QT读取的!T156),,给QT读取的!T156&amp;" ")&amp;IF(ISBLANK(给QT读取的!U156),,给QT读取的!U156&amp;" ")&amp;IF(ISBLANK(给QT读取的!V156),,给QT读取的!V156&amp;" ")&amp;IF(ISBLANK(给QT读取的!W156),,给QT读取的!W156&amp;" ")&amp;IF(ISBLANK(给QT读取的!X156),,给QT读取的!X156&amp;" ")&amp;IF(ISBLANK(给QT读取的!Y156),,给QT读取的!Y156&amp;" ")&amp;IF(ISBLANK(给QT读取的!Z156),,给QT读取的!Z156&amp;" ")&amp;IF(ISBLANK(给QT读取的!AA156),,给QT读取的!AA156)</f>
        <v>#NUM!</v>
      </c>
      <c r="U17" s="285" t="s">
        <v>694</v>
      </c>
    </row>
    <row r="19" spans="2:21" ht="13.5" customHeight="1" x14ac:dyDescent="0.25">
      <c r="B19" s="84" t="s">
        <v>0</v>
      </c>
      <c r="C19" s="75" t="s">
        <v>1</v>
      </c>
      <c r="D19" s="75" t="str">
        <f>DEC2HEX( COUNTA(E19:Q19),2)</f>
        <v>03</v>
      </c>
      <c r="E19" s="76" t="s">
        <v>678</v>
      </c>
      <c r="F19" s="76" t="s">
        <v>1</v>
      </c>
      <c r="G19" s="76" t="s">
        <v>696</v>
      </c>
      <c r="H19" s="279"/>
      <c r="I19" s="279"/>
      <c r="J19" s="279"/>
      <c r="K19" s="279"/>
      <c r="L19" s="279"/>
      <c r="M19" s="279"/>
      <c r="N19" s="279"/>
      <c r="O19" s="279"/>
      <c r="P19" s="279"/>
      <c r="Q19" s="279"/>
      <c r="R19" s="84" t="str">
        <f>DEC2HEX(MOD(HEX2DEC(C19)+HEX2DEC(D19)+HEX2DEC(E19)+HEX2DEC(F19)+HEX2DEC(G19)+HEX2DEC(H19)+HEX2DEC(I19)+HEX2DEC(J19)+HEX2DEC(K19)+HEX2DEC(L19)+HEX2DEC(M19)+HEX2DEC(N19)+HEX2DEC(O19)+HEX2DEC(P19)+HEX2DEC(Q19),256),2)</f>
        <v>04</v>
      </c>
      <c r="S19" s="84" t="s">
        <v>5</v>
      </c>
      <c r="T19" s="55" t="str">
        <f>IF(ISBLANK(B19),,B19&amp;" ")&amp;IF(ISBLANK(C19),,C19&amp;" ")&amp;IF(ISBLANK(D19),,D19&amp;" ")&amp;IF(ISBLANK(E19),,E19&amp;" ")&amp;IF(ISBLANK(F19),,F19&amp;" ")&amp;IF(ISBLANK(G19),,G19&amp;" ")&amp;IF(ISBLANK(H19),,H19&amp;" ")&amp;IF(ISBLANK(I19),,I19&amp;" ")&amp;IF(ISBLANK(J19),,J19&amp;" ")&amp;IF(ISBLANK(K19),,K19&amp;" ")&amp;IF(ISBLANK(L19),,L19&amp;" ")&amp;IF(ISBLANK(M19),,M19&amp;" ")&amp;IF(ISBLANK(N19),,N19&amp;" ")&amp;IF(ISBLANK(O19),,O19&amp;" ")&amp;IF(ISBLANK(P19),,P19&amp;" ")&amp;IF(ISBLANK(Q19),,Q19&amp;" ")&amp;IF(ISBLANK(R19),,R19&amp;" ")&amp;IF(ISBLANK(S19),,S19)</f>
        <v>aa 00 03 02 00 FF 04 55</v>
      </c>
      <c r="U19" s="281"/>
    </row>
  </sheetData>
  <mergeCells count="1">
    <mergeCell ref="B1:U1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B2:AB33"/>
  <sheetViews>
    <sheetView topLeftCell="A19" workbookViewId="0">
      <selection activeCell="U32" sqref="U32:Y33"/>
    </sheetView>
  </sheetViews>
  <sheetFormatPr defaultRowHeight="14.4" x14ac:dyDescent="0.25"/>
  <cols>
    <col min="1" max="1" width="3.33203125" customWidth="1"/>
    <col min="2" max="19" width="3.6640625" customWidth="1"/>
    <col min="20" max="20" width="34" customWidth="1"/>
    <col min="21" max="24" width="5.6640625" customWidth="1"/>
    <col min="25" max="28" width="10.6640625" customWidth="1"/>
  </cols>
  <sheetData>
    <row r="2" spans="2:28" ht="22.2" x14ac:dyDescent="0.25">
      <c r="B2" s="468" t="s">
        <v>521</v>
      </c>
      <c r="C2" s="469"/>
      <c r="D2" s="469"/>
      <c r="E2" s="469"/>
      <c r="F2" s="469"/>
      <c r="G2" s="469"/>
      <c r="H2" s="469"/>
      <c r="I2" s="469"/>
      <c r="J2" s="469"/>
      <c r="K2" s="469"/>
      <c r="L2" s="469"/>
      <c r="M2" s="469"/>
      <c r="N2" s="469"/>
      <c r="O2" s="469"/>
      <c r="P2" s="469"/>
      <c r="Q2" s="469"/>
      <c r="R2" s="469"/>
      <c r="S2" s="469"/>
      <c r="T2" s="469"/>
      <c r="U2" s="469"/>
      <c r="V2" s="469"/>
      <c r="W2" s="469"/>
      <c r="X2" s="469"/>
      <c r="Y2" s="469"/>
      <c r="Z2" s="469"/>
      <c r="AA2" s="469"/>
      <c r="AB2" s="470"/>
    </row>
    <row r="3" spans="2:28" x14ac:dyDescent="0.25">
      <c r="B3" s="388" t="s">
        <v>275</v>
      </c>
      <c r="C3" s="388"/>
      <c r="D3" s="388"/>
      <c r="E3" s="388"/>
      <c r="F3" s="388"/>
      <c r="G3" s="388"/>
      <c r="H3" s="388"/>
      <c r="I3" s="388"/>
      <c r="J3" s="388"/>
      <c r="K3" s="388"/>
      <c r="L3" s="388"/>
      <c r="M3" s="388"/>
      <c r="N3" s="388"/>
      <c r="O3" s="388"/>
      <c r="P3" s="388"/>
      <c r="Q3" s="388"/>
      <c r="R3" s="388"/>
      <c r="S3" s="388"/>
      <c r="T3" s="181" t="s">
        <v>266</v>
      </c>
      <c r="U3" s="388" t="s">
        <v>267</v>
      </c>
      <c r="V3" s="388"/>
      <c r="W3" s="388"/>
      <c r="X3" s="388"/>
      <c r="Y3" s="388" t="s">
        <v>268</v>
      </c>
      <c r="Z3" s="388"/>
      <c r="AA3" s="388"/>
      <c r="AB3" s="388"/>
    </row>
    <row r="4" spans="2:28" ht="16.8" x14ac:dyDescent="0.25">
      <c r="B4" s="86" t="s">
        <v>77</v>
      </c>
      <c r="C4" s="182" t="s">
        <v>78</v>
      </c>
      <c r="D4" s="182" t="s">
        <v>10</v>
      </c>
      <c r="E4" s="182" t="s">
        <v>79</v>
      </c>
      <c r="F4" s="182" t="s">
        <v>80</v>
      </c>
      <c r="G4" s="182" t="s">
        <v>11</v>
      </c>
      <c r="H4" s="404" t="s">
        <v>532</v>
      </c>
      <c r="I4" s="405"/>
      <c r="J4" s="405"/>
      <c r="K4" s="405"/>
      <c r="L4" s="406"/>
      <c r="M4" s="404" t="s">
        <v>533</v>
      </c>
      <c r="N4" s="405"/>
      <c r="O4" s="405"/>
      <c r="P4" s="405"/>
      <c r="Q4" s="406"/>
      <c r="R4" s="83" t="s">
        <v>81</v>
      </c>
      <c r="S4" s="83" t="s">
        <v>82</v>
      </c>
      <c r="T4" s="51" t="s">
        <v>276</v>
      </c>
      <c r="U4" s="191" t="s">
        <v>524</v>
      </c>
      <c r="V4" s="191" t="s">
        <v>523</v>
      </c>
      <c r="W4" s="474" t="s">
        <v>6</v>
      </c>
      <c r="X4" s="475"/>
      <c r="Y4" s="475"/>
      <c r="Z4" s="475"/>
      <c r="AA4" s="475"/>
      <c r="AB4" s="476"/>
    </row>
    <row r="5" spans="2:28" x14ac:dyDescent="0.25">
      <c r="B5" s="84" t="s">
        <v>0</v>
      </c>
      <c r="C5" s="75" t="s">
        <v>1</v>
      </c>
      <c r="D5" s="75" t="str">
        <f>DEC2HEX( COUNTA(E5:Q5),2)</f>
        <v>05</v>
      </c>
      <c r="E5" s="76" t="s">
        <v>522</v>
      </c>
      <c r="F5" s="76" t="s">
        <v>1</v>
      </c>
      <c r="G5" s="76" t="s">
        <v>1</v>
      </c>
      <c r="H5" s="407" t="str">
        <f>RIGHT(DEC2HEX(U5,4),2)</f>
        <v>02</v>
      </c>
      <c r="I5" s="407"/>
      <c r="J5" s="407"/>
      <c r="K5" s="407"/>
      <c r="L5" s="407"/>
      <c r="M5" s="407" t="str">
        <f>RIGHT(DEC2HEX(V5,4),2)</f>
        <v>01</v>
      </c>
      <c r="N5" s="407"/>
      <c r="O5" s="407"/>
      <c r="P5" s="407"/>
      <c r="Q5" s="407"/>
      <c r="R5" s="84" t="str">
        <f>DEC2HEX(MOD(HEX2DEC(C5)+HEX2DEC(D5)+HEX2DEC(E5)+HEX2DEC(F5)+HEX2DEC(G5)+HEX2DEC(H5)+HEX2DEC(I5)+HEX2DEC(J5)+HEX2DEC(K5)+HEX2DEC(L5)+HEX2DEC(M5)+HEX2DEC(N5)+HEX2DEC(Q5),256),2)</f>
        <v>69</v>
      </c>
      <c r="S5" s="84" t="s">
        <v>5</v>
      </c>
      <c r="T5" s="55" t="str">
        <f>IF(ISBLANK(B5),,B5&amp;" ")&amp;IF(ISBLANK(C5),,C5&amp;" ")&amp;IF(ISBLANK(D5),,D5&amp;" ")&amp;IF(ISBLANK(E5),,E5&amp;" ")&amp;IF(ISBLANK(F5),,F5&amp;" ")&amp;IF(ISBLANK(G5),,G5&amp;" ")&amp;IF(ISBLANK(H5),,H5&amp;" ")&amp;IF(ISBLANK(I5),,I5&amp;" ")&amp;IF(ISBLANK(J5),,J5&amp;" ")&amp;IF(ISBLANK(K5),,K5&amp;" ")&amp;IF(ISBLANK(L5),,L5&amp;" ")&amp;IF(ISBLANK(M5),,M5&amp;" ")&amp;IF(ISBLANK(N5),,N5&amp;" ")&amp;IF(ISBLANK(Q5),,Q5&amp;" ")&amp;IF(ISBLANK(R5),,R5&amp;" ")&amp;IF(ISBLANK(S5),,S5)</f>
        <v>aa 00 05 61 00 00 02 01 69 55</v>
      </c>
      <c r="U5" s="116">
        <v>2</v>
      </c>
      <c r="V5" s="116">
        <v>1</v>
      </c>
      <c r="W5" s="471" t="s">
        <v>557</v>
      </c>
      <c r="X5" s="472"/>
      <c r="Y5" s="472"/>
      <c r="Z5" s="472"/>
      <c r="AA5" s="472"/>
      <c r="AB5" s="473"/>
    </row>
    <row r="6" spans="2:28" ht="13.5" customHeight="1" x14ac:dyDescent="0.25">
      <c r="B6" s="86" t="s">
        <v>77</v>
      </c>
      <c r="C6" s="182" t="s">
        <v>78</v>
      </c>
      <c r="D6" s="182" t="s">
        <v>10</v>
      </c>
      <c r="E6" s="182" t="s">
        <v>79</v>
      </c>
      <c r="F6" s="182" t="s">
        <v>80</v>
      </c>
      <c r="G6" s="182" t="s">
        <v>11</v>
      </c>
      <c r="H6" s="193"/>
      <c r="I6" s="193"/>
      <c r="J6" s="193"/>
      <c r="K6" s="193" t="s">
        <v>529</v>
      </c>
      <c r="L6" s="404" t="s">
        <v>528</v>
      </c>
      <c r="M6" s="406"/>
      <c r="N6" s="182" t="s">
        <v>530</v>
      </c>
      <c r="O6" s="193"/>
      <c r="P6" s="193"/>
      <c r="Q6" s="193"/>
      <c r="R6" s="83" t="s">
        <v>81</v>
      </c>
      <c r="S6" s="83" t="s">
        <v>82</v>
      </c>
      <c r="T6" s="51"/>
      <c r="U6" s="23" t="s">
        <v>526</v>
      </c>
      <c r="V6" s="23" t="s">
        <v>527</v>
      </c>
      <c r="W6" s="474" t="s">
        <v>6</v>
      </c>
      <c r="X6" s="475"/>
      <c r="Y6" s="475"/>
      <c r="Z6" s="475"/>
      <c r="AA6" s="475"/>
      <c r="AB6" s="476"/>
    </row>
    <row r="7" spans="2:28" x14ac:dyDescent="0.25">
      <c r="B7" s="84" t="s">
        <v>0</v>
      </c>
      <c r="C7" s="75" t="s">
        <v>1</v>
      </c>
      <c r="D7" s="75" t="str">
        <f>DEC2HEX(COUNTA(E7:Q7),2)</f>
        <v>07</v>
      </c>
      <c r="E7" s="76" t="s">
        <v>522</v>
      </c>
      <c r="F7" s="76" t="s">
        <v>1</v>
      </c>
      <c r="G7" s="76" t="s">
        <v>17</v>
      </c>
      <c r="H7" s="192"/>
      <c r="I7" s="192"/>
      <c r="J7" s="192"/>
      <c r="K7" s="192" t="str">
        <f>DEC2HEX(U7,2)</f>
        <v>10</v>
      </c>
      <c r="L7" s="192" t="str">
        <f>LEFT(DEC2HEX(V7,4),2)</f>
        <v>03</v>
      </c>
      <c r="M7" s="192" t="str">
        <f>RIGHT(DEC2HEX(V7,4),2)</f>
        <v>E8</v>
      </c>
      <c r="N7" s="192" t="s">
        <v>531</v>
      </c>
      <c r="O7" s="192"/>
      <c r="P7" s="192"/>
      <c r="Q7" s="192"/>
      <c r="R7" s="84" t="str">
        <f>DEC2HEX(MOD(HEX2DEC(C7)+HEX2DEC(D7)+HEX2DEC(E7)+HEX2DEC(F7)+HEX2DEC(G7)+HEX2DEC(H7)+HEX2DEC(I7)+HEX2DEC(J7)+HEX2DEC(K7)+HEX2DEC(L7)+HEX2DEC(M7)+HEX2DEC(N7)+HEX2DEC(Q7),256),2)</f>
        <v>76</v>
      </c>
      <c r="S7" s="84" t="s">
        <v>5</v>
      </c>
      <c r="T7" s="55" t="str">
        <f>IF(ISBLANK(B7),,B7&amp;" ")&amp;IF(ISBLANK(C7),,C7&amp;" ")&amp;IF(ISBLANK(D7),,D7&amp;" ")&amp;IF(ISBLANK(E7),,E7&amp;" ")&amp;IF(ISBLANK(F7),,F7&amp;" ")&amp;IF(ISBLANK(G7),,G7&amp;" ")&amp;IF(ISBLANK(H7),,H7&amp;" ")&amp;IF(ISBLANK(I7),,I7&amp;" ")&amp;IF(ISBLANK(J7),,J7&amp;" ")&amp;IF(ISBLANK(K7),,K7&amp;" ")&amp;IF(ISBLANK(L7),,L7&amp;" ")&amp;IF(ISBLANK(M7),,M7&amp;" ")&amp;IF(ISBLANK(N7),,N7&amp;" ")&amp;IF(ISBLANK(Q7),,Q7&amp;" ")&amp;IF(ISBLANK(R7),,R7&amp;" ")&amp;IF(ISBLANK(S7),,S7)</f>
        <v>aa 00 07 61 00 12 10 03 E8 01 76 55</v>
      </c>
      <c r="U7" s="116">
        <v>16</v>
      </c>
      <c r="V7" s="116">
        <v>1000</v>
      </c>
      <c r="W7" s="477" t="s">
        <v>558</v>
      </c>
      <c r="X7" s="472"/>
      <c r="Y7" s="472"/>
      <c r="Z7" s="472"/>
      <c r="AA7" s="472"/>
      <c r="AB7" s="473"/>
    </row>
    <row r="8" spans="2:28" x14ac:dyDescent="0.25">
      <c r="B8" s="84" t="s">
        <v>0</v>
      </c>
      <c r="C8" s="75" t="s">
        <v>1</v>
      </c>
      <c r="D8" s="75" t="str">
        <f>DEC2HEX(COUNTA(E8:Q8),2)</f>
        <v>07</v>
      </c>
      <c r="E8" s="76" t="s">
        <v>522</v>
      </c>
      <c r="F8" s="76" t="s">
        <v>1</v>
      </c>
      <c r="G8" s="76" t="s">
        <v>377</v>
      </c>
      <c r="H8" s="192"/>
      <c r="I8" s="192"/>
      <c r="J8" s="192"/>
      <c r="K8" s="192" t="str">
        <f>DEC2HEX(U8,2)</f>
        <v>10</v>
      </c>
      <c r="L8" s="192" t="str">
        <f>LEFT(DEC2HEX(V8,4),2)</f>
        <v>03</v>
      </c>
      <c r="M8" s="192" t="str">
        <f>RIGHT(DEC2HEX(V8,4),2)</f>
        <v>E8</v>
      </c>
      <c r="N8" s="192" t="s">
        <v>4</v>
      </c>
      <c r="O8" s="192"/>
      <c r="P8" s="192"/>
      <c r="Q8" s="192"/>
      <c r="R8" s="84" t="str">
        <f>DEC2HEX(MOD(HEX2DEC(C8)+HEX2DEC(D8)+HEX2DEC(E8)+HEX2DEC(F8)+HEX2DEC(G8)+HEX2DEC(H8)+HEX2DEC(I8)+HEX2DEC(J8)+HEX2DEC(K8)+HEX2DEC(L8)+HEX2DEC(M8)+HEX2DEC(N8)+HEX2DEC(Q8),256),2)</f>
        <v>77</v>
      </c>
      <c r="S8" s="84" t="s">
        <v>5</v>
      </c>
      <c r="T8" s="55" t="str">
        <f>IF(ISBLANK(B8),,B8&amp;" ")&amp;IF(ISBLANK(C8),,C8&amp;" ")&amp;IF(ISBLANK(D8),,D8&amp;" ")&amp;IF(ISBLANK(E8),,E8&amp;" ")&amp;IF(ISBLANK(F8),,F8&amp;" ")&amp;IF(ISBLANK(G8),,G8&amp;" ")&amp;IF(ISBLANK(H8),,H8&amp;" ")&amp;IF(ISBLANK(I8),,I8&amp;" ")&amp;IF(ISBLANK(J8),,J8&amp;" ")&amp;IF(ISBLANK(K8),,K8&amp;" ")&amp;IF(ISBLANK(L8),,L8&amp;" ")&amp;IF(ISBLANK(M8),,M8&amp;" ")&amp;IF(ISBLANK(N8),,N8&amp;" ")&amp;IF(ISBLANK(Q8),,Q8&amp;" ")&amp;IF(ISBLANK(R8),,R8&amp;" ")&amp;IF(ISBLANK(S8),,S8)</f>
        <v>aa 00 07 61 00 13 10 03 E8 01 77 55</v>
      </c>
      <c r="U8" s="116">
        <v>16</v>
      </c>
      <c r="V8" s="116">
        <v>1000</v>
      </c>
      <c r="W8" s="477" t="s">
        <v>559</v>
      </c>
      <c r="X8" s="472"/>
      <c r="Y8" s="472"/>
      <c r="Z8" s="472"/>
      <c r="AA8" s="472"/>
      <c r="AB8" s="473"/>
    </row>
    <row r="9" spans="2:28" ht="13.5" customHeight="1" thickBot="1" x14ac:dyDescent="0.3">
      <c r="B9" s="194" t="s">
        <v>77</v>
      </c>
      <c r="C9" s="183" t="s">
        <v>78</v>
      </c>
      <c r="D9" s="183" t="s">
        <v>10</v>
      </c>
      <c r="E9" s="183" t="s">
        <v>79</v>
      </c>
      <c r="F9" s="183" t="s">
        <v>80</v>
      </c>
      <c r="G9" s="183" t="s">
        <v>11</v>
      </c>
      <c r="H9" s="419" t="s">
        <v>242</v>
      </c>
      <c r="I9" s="420"/>
      <c r="J9" s="421"/>
      <c r="K9" s="195" t="s">
        <v>529</v>
      </c>
      <c r="L9" s="419" t="s">
        <v>528</v>
      </c>
      <c r="M9" s="421"/>
      <c r="N9" s="183" t="s">
        <v>530</v>
      </c>
      <c r="O9" s="195"/>
      <c r="P9" s="195"/>
      <c r="Q9" s="195"/>
      <c r="R9" s="196" t="s">
        <v>81</v>
      </c>
      <c r="S9" s="196" t="s">
        <v>82</v>
      </c>
      <c r="T9" s="197"/>
      <c r="U9" s="198" t="s">
        <v>526</v>
      </c>
      <c r="V9" s="198" t="s">
        <v>527</v>
      </c>
      <c r="W9" s="481" t="s">
        <v>6</v>
      </c>
      <c r="X9" s="482"/>
      <c r="Y9" s="482"/>
      <c r="Z9" s="482"/>
      <c r="AA9" s="482"/>
      <c r="AB9" s="483"/>
    </row>
    <row r="10" spans="2:28" ht="15.6" x14ac:dyDescent="0.25">
      <c r="B10" s="199" t="s">
        <v>0</v>
      </c>
      <c r="C10" s="200" t="s">
        <v>1</v>
      </c>
      <c r="D10" s="200" t="str">
        <f>DEC2HEX(COUNTA(E10:Q10),2)</f>
        <v>08</v>
      </c>
      <c r="E10" s="201" t="s">
        <v>522</v>
      </c>
      <c r="F10" s="201" t="s">
        <v>1</v>
      </c>
      <c r="G10" s="201" t="s">
        <v>244</v>
      </c>
      <c r="H10" s="416" t="s">
        <v>535</v>
      </c>
      <c r="I10" s="417"/>
      <c r="J10" s="418"/>
      <c r="K10" s="202" t="str">
        <f>DEC2HEX(U10,2)</f>
        <v>0F</v>
      </c>
      <c r="L10" s="202" t="str">
        <f>LEFT(DEC2HEX(V10,4),2)</f>
        <v>03</v>
      </c>
      <c r="M10" s="202" t="str">
        <f>RIGHT(DEC2HEX(V10,4),2)</f>
        <v>E8</v>
      </c>
      <c r="N10" s="202" t="s">
        <v>531</v>
      </c>
      <c r="O10" s="202"/>
      <c r="P10" s="202"/>
      <c r="Q10" s="202"/>
      <c r="R10" s="203" t="str">
        <f>DEC2HEX(MOD(HEX2DEC(C10)+HEX2DEC(D10)+HEX2DEC(E10)+HEX2DEC(F10)+HEX2DEC(G10)+HEX2DEC(H10)+HEX2DEC(I10)+HEX2DEC(J10)+HEX2DEC(K10)+HEX2DEC(L10)+HEX2DEC(M10)+HEX2DEC(N10)+HEX2DEC(Q10),256),2)</f>
        <v>79</v>
      </c>
      <c r="S10" s="203" t="s">
        <v>5</v>
      </c>
      <c r="T10" s="204" t="str">
        <f>IF(ISBLANK(B10),,B10&amp;" ")&amp;IF(ISBLANK(C10),,C10&amp;" ")&amp;IF(ISBLANK(D10),,D10&amp;" ")&amp;IF(ISBLANK(E10),,E10&amp;" ")&amp;IF(ISBLANK(F10),,F10&amp;" ")&amp;IF(ISBLANK(G10),,G10&amp;" ")&amp;IF(ISBLANK(H10),,H10&amp;" ")&amp;IF(ISBLANK(I10),,I10&amp;" ")&amp;IF(ISBLANK(J10),,J10&amp;" ")&amp;IF(ISBLANK(K10),,K10&amp;" ")&amp;IF(ISBLANK(L10),,L10&amp;" ")&amp;IF(ISBLANK(M10),,M10&amp;" ")&amp;IF(ISBLANK(N10),,N10&amp;" ")&amp;IF(ISBLANK(Q10),,Q10&amp;" ")&amp;IF(ISBLANK(R10),,R10&amp;" ")&amp;IF(ISBLANK(S10),,S10)</f>
        <v>aa 00 08 61 00 14 01 0F 03 E8 01 79 55</v>
      </c>
      <c r="U10" s="116">
        <v>15</v>
      </c>
      <c r="V10" s="205">
        <v>1000</v>
      </c>
      <c r="W10" s="478" t="s">
        <v>536</v>
      </c>
      <c r="X10" s="479"/>
      <c r="Y10" s="479"/>
      <c r="Z10" s="479"/>
      <c r="AA10" s="479"/>
      <c r="AB10" s="480"/>
    </row>
    <row r="11" spans="2:28" ht="15.6" x14ac:dyDescent="0.25">
      <c r="B11" s="206" t="s">
        <v>0</v>
      </c>
      <c r="C11" s="75" t="s">
        <v>1</v>
      </c>
      <c r="D11" s="75" t="str">
        <f t="shared" ref="D11:D20" si="0">DEC2HEX(COUNTA(E11:Q11),2)</f>
        <v>08</v>
      </c>
      <c r="E11" s="76" t="s">
        <v>522</v>
      </c>
      <c r="F11" s="76" t="s">
        <v>1</v>
      </c>
      <c r="G11" s="76" t="s">
        <v>244</v>
      </c>
      <c r="H11" s="408" t="s">
        <v>15</v>
      </c>
      <c r="I11" s="409"/>
      <c r="J11" s="410"/>
      <c r="K11" s="192" t="str">
        <f t="shared" ref="K11:K20" si="1">DEC2HEX(U11,2)</f>
        <v>0F</v>
      </c>
      <c r="L11" s="192" t="str">
        <f t="shared" ref="L11:L20" si="2">LEFT(DEC2HEX(V11,4),2)</f>
        <v>03</v>
      </c>
      <c r="M11" s="192" t="str">
        <f t="shared" ref="M11:M20" si="3">RIGHT(DEC2HEX(V11,4),2)</f>
        <v>E8</v>
      </c>
      <c r="N11" s="192" t="s">
        <v>531</v>
      </c>
      <c r="O11" s="192"/>
      <c r="P11" s="192"/>
      <c r="Q11" s="192"/>
      <c r="R11" s="84" t="str">
        <f t="shared" ref="R11:R20" si="4">DEC2HEX(MOD(HEX2DEC(C11)+HEX2DEC(D11)+HEX2DEC(E11)+HEX2DEC(F11)+HEX2DEC(G11)+HEX2DEC(H11)+HEX2DEC(I11)+HEX2DEC(J11)+HEX2DEC(K11)+HEX2DEC(L11)+HEX2DEC(M11)+HEX2DEC(N11)+HEX2DEC(Q11),256),2)</f>
        <v>7A</v>
      </c>
      <c r="S11" s="84" t="s">
        <v>5</v>
      </c>
      <c r="T11" s="55" t="str">
        <f t="shared" ref="T11:T20" si="5">IF(ISBLANK(B11),,B11&amp;" ")&amp;IF(ISBLANK(C11),,C11&amp;" ")&amp;IF(ISBLANK(D11),,D11&amp;" ")&amp;IF(ISBLANK(E11),,E11&amp;" ")&amp;IF(ISBLANK(F11),,F11&amp;" ")&amp;IF(ISBLANK(G11),,G11&amp;" ")&amp;IF(ISBLANK(H11),,H11&amp;" ")&amp;IF(ISBLANK(I11),,I11&amp;" ")&amp;IF(ISBLANK(J11),,J11&amp;" ")&amp;IF(ISBLANK(K11),,K11&amp;" ")&amp;IF(ISBLANK(L11),,L11&amp;" ")&amp;IF(ISBLANK(M11),,M11&amp;" ")&amp;IF(ISBLANK(N11),,N11&amp;" ")&amp;IF(ISBLANK(Q11),,Q11&amp;" ")&amp;IF(ISBLANK(R11),,R11&amp;" ")&amp;IF(ISBLANK(S11),,S11)</f>
        <v>aa 00 08 61 00 14 02 0F 03 E8 01 7A 55</v>
      </c>
      <c r="U11" s="116">
        <v>15</v>
      </c>
      <c r="V11" s="116">
        <v>1000</v>
      </c>
      <c r="W11" s="477" t="s">
        <v>536</v>
      </c>
      <c r="X11" s="472"/>
      <c r="Y11" s="472"/>
      <c r="Z11" s="472"/>
      <c r="AA11" s="472"/>
      <c r="AB11" s="484"/>
    </row>
    <row r="12" spans="2:28" ht="15.6" x14ac:dyDescent="0.25">
      <c r="B12" s="206" t="s">
        <v>0</v>
      </c>
      <c r="C12" s="75" t="s">
        <v>1</v>
      </c>
      <c r="D12" s="75" t="str">
        <f t="shared" si="0"/>
        <v>08</v>
      </c>
      <c r="E12" s="76" t="s">
        <v>522</v>
      </c>
      <c r="F12" s="76" t="s">
        <v>1</v>
      </c>
      <c r="G12" s="76" t="s">
        <v>244</v>
      </c>
      <c r="H12" s="408" t="s">
        <v>13</v>
      </c>
      <c r="I12" s="409"/>
      <c r="J12" s="410"/>
      <c r="K12" s="192" t="str">
        <f t="shared" si="1"/>
        <v>0F</v>
      </c>
      <c r="L12" s="192" t="str">
        <f t="shared" si="2"/>
        <v>03</v>
      </c>
      <c r="M12" s="192" t="str">
        <f t="shared" si="3"/>
        <v>E8</v>
      </c>
      <c r="N12" s="192" t="s">
        <v>531</v>
      </c>
      <c r="O12" s="192"/>
      <c r="P12" s="192"/>
      <c r="Q12" s="192"/>
      <c r="R12" s="84" t="str">
        <f t="shared" si="4"/>
        <v>7B</v>
      </c>
      <c r="S12" s="84" t="s">
        <v>5</v>
      </c>
      <c r="T12" s="55" t="str">
        <f t="shared" si="5"/>
        <v>aa 00 08 61 00 14 03 0F 03 E8 01 7B 55</v>
      </c>
      <c r="U12" s="116">
        <v>15</v>
      </c>
      <c r="V12" s="116">
        <v>1000</v>
      </c>
      <c r="W12" s="477" t="s">
        <v>536</v>
      </c>
      <c r="X12" s="472"/>
      <c r="Y12" s="472"/>
      <c r="Z12" s="472"/>
      <c r="AA12" s="472"/>
      <c r="AB12" s="484"/>
    </row>
    <row r="13" spans="2:28" ht="15.6" x14ac:dyDescent="0.25">
      <c r="B13" s="206" t="s">
        <v>0</v>
      </c>
      <c r="C13" s="75" t="s">
        <v>1</v>
      </c>
      <c r="D13" s="75" t="str">
        <f t="shared" si="0"/>
        <v>08</v>
      </c>
      <c r="E13" s="76" t="s">
        <v>522</v>
      </c>
      <c r="F13" s="76" t="s">
        <v>1</v>
      </c>
      <c r="G13" s="76" t="s">
        <v>244</v>
      </c>
      <c r="H13" s="408" t="s">
        <v>18</v>
      </c>
      <c r="I13" s="409"/>
      <c r="J13" s="410"/>
      <c r="K13" s="192" t="str">
        <f t="shared" si="1"/>
        <v>0F</v>
      </c>
      <c r="L13" s="192" t="str">
        <f t="shared" si="2"/>
        <v>03</v>
      </c>
      <c r="M13" s="192" t="str">
        <f t="shared" si="3"/>
        <v>E8</v>
      </c>
      <c r="N13" s="192" t="s">
        <v>531</v>
      </c>
      <c r="O13" s="192"/>
      <c r="P13" s="192"/>
      <c r="Q13" s="192"/>
      <c r="R13" s="84" t="str">
        <f t="shared" si="4"/>
        <v>7C</v>
      </c>
      <c r="S13" s="84" t="s">
        <v>5</v>
      </c>
      <c r="T13" s="169" t="str">
        <f t="shared" si="5"/>
        <v>aa 00 08 61 00 14 04 0F 03 E8 01 7C 55</v>
      </c>
      <c r="U13" s="116">
        <v>15</v>
      </c>
      <c r="V13" s="116">
        <v>1000</v>
      </c>
      <c r="W13" s="477" t="s">
        <v>536</v>
      </c>
      <c r="X13" s="472"/>
      <c r="Y13" s="472"/>
      <c r="Z13" s="472"/>
      <c r="AA13" s="472"/>
      <c r="AB13" s="484"/>
    </row>
    <row r="14" spans="2:28" ht="15.6" x14ac:dyDescent="0.25">
      <c r="B14" s="206" t="s">
        <v>0</v>
      </c>
      <c r="C14" s="75" t="s">
        <v>1</v>
      </c>
      <c r="D14" s="75" t="str">
        <f t="shared" si="0"/>
        <v>08</v>
      </c>
      <c r="E14" s="76" t="s">
        <v>522</v>
      </c>
      <c r="F14" s="76" t="s">
        <v>1</v>
      </c>
      <c r="G14" s="76" t="s">
        <v>244</v>
      </c>
      <c r="H14" s="408" t="s">
        <v>122</v>
      </c>
      <c r="I14" s="409"/>
      <c r="J14" s="410"/>
      <c r="K14" s="192" t="str">
        <f t="shared" si="1"/>
        <v>0F</v>
      </c>
      <c r="L14" s="192" t="str">
        <f t="shared" si="2"/>
        <v>03</v>
      </c>
      <c r="M14" s="192" t="str">
        <f t="shared" si="3"/>
        <v>E8</v>
      </c>
      <c r="N14" s="192" t="s">
        <v>531</v>
      </c>
      <c r="O14" s="192"/>
      <c r="P14" s="192"/>
      <c r="Q14" s="192"/>
      <c r="R14" s="84" t="str">
        <f t="shared" si="4"/>
        <v>7D</v>
      </c>
      <c r="S14" s="84" t="s">
        <v>5</v>
      </c>
      <c r="T14" s="55" t="str">
        <f t="shared" si="5"/>
        <v>aa 00 08 61 00 14 05 0F 03 E8 01 7D 55</v>
      </c>
      <c r="U14" s="116">
        <v>15</v>
      </c>
      <c r="V14" s="116">
        <v>1000</v>
      </c>
      <c r="W14" s="477" t="s">
        <v>536</v>
      </c>
      <c r="X14" s="472"/>
      <c r="Y14" s="472"/>
      <c r="Z14" s="472"/>
      <c r="AA14" s="472"/>
      <c r="AB14" s="484"/>
    </row>
    <row r="15" spans="2:28" ht="15.6" x14ac:dyDescent="0.25">
      <c r="B15" s="206" t="s">
        <v>0</v>
      </c>
      <c r="C15" s="75" t="s">
        <v>1</v>
      </c>
      <c r="D15" s="75" t="str">
        <f t="shared" si="0"/>
        <v>08</v>
      </c>
      <c r="E15" s="76" t="s">
        <v>522</v>
      </c>
      <c r="F15" s="76" t="s">
        <v>1</v>
      </c>
      <c r="G15" s="76" t="s">
        <v>244</v>
      </c>
      <c r="H15" s="408" t="s">
        <v>123</v>
      </c>
      <c r="I15" s="409"/>
      <c r="J15" s="410"/>
      <c r="K15" s="192" t="str">
        <f t="shared" si="1"/>
        <v>0F</v>
      </c>
      <c r="L15" s="192" t="str">
        <f t="shared" si="2"/>
        <v>03</v>
      </c>
      <c r="M15" s="192" t="str">
        <f t="shared" si="3"/>
        <v>E8</v>
      </c>
      <c r="N15" s="192" t="s">
        <v>531</v>
      </c>
      <c r="O15" s="192"/>
      <c r="P15" s="192"/>
      <c r="Q15" s="192"/>
      <c r="R15" s="84" t="str">
        <f t="shared" si="4"/>
        <v>7E</v>
      </c>
      <c r="S15" s="84" t="s">
        <v>5</v>
      </c>
      <c r="T15" s="118" t="str">
        <f t="shared" si="5"/>
        <v>aa 00 08 61 00 14 06 0F 03 E8 01 7E 55</v>
      </c>
      <c r="U15" s="116">
        <v>15</v>
      </c>
      <c r="V15" s="116">
        <v>1000</v>
      </c>
      <c r="W15" s="477" t="s">
        <v>536</v>
      </c>
      <c r="X15" s="472"/>
      <c r="Y15" s="472"/>
      <c r="Z15" s="472"/>
      <c r="AA15" s="472"/>
      <c r="AB15" s="484"/>
    </row>
    <row r="16" spans="2:28" ht="15.6" x14ac:dyDescent="0.25">
      <c r="B16" s="206" t="s">
        <v>0</v>
      </c>
      <c r="C16" s="75" t="s">
        <v>1</v>
      </c>
      <c r="D16" s="75" t="str">
        <f t="shared" si="0"/>
        <v>08</v>
      </c>
      <c r="E16" s="76" t="s">
        <v>522</v>
      </c>
      <c r="F16" s="76" t="s">
        <v>1</v>
      </c>
      <c r="G16" s="76" t="s">
        <v>244</v>
      </c>
      <c r="H16" s="408" t="s">
        <v>124</v>
      </c>
      <c r="I16" s="409"/>
      <c r="J16" s="410"/>
      <c r="K16" s="192" t="str">
        <f t="shared" si="1"/>
        <v>0F</v>
      </c>
      <c r="L16" s="192" t="str">
        <f t="shared" si="2"/>
        <v>03</v>
      </c>
      <c r="M16" s="192" t="str">
        <f t="shared" si="3"/>
        <v>E8</v>
      </c>
      <c r="N16" s="192" t="s">
        <v>531</v>
      </c>
      <c r="O16" s="192"/>
      <c r="P16" s="192"/>
      <c r="Q16" s="192"/>
      <c r="R16" s="84" t="str">
        <f t="shared" si="4"/>
        <v>7F</v>
      </c>
      <c r="S16" s="84" t="s">
        <v>5</v>
      </c>
      <c r="T16" s="55" t="str">
        <f t="shared" si="5"/>
        <v>aa 00 08 61 00 14 07 0F 03 E8 01 7F 55</v>
      </c>
      <c r="U16" s="116">
        <v>15</v>
      </c>
      <c r="V16" s="116">
        <v>1000</v>
      </c>
      <c r="W16" s="477" t="s">
        <v>536</v>
      </c>
      <c r="X16" s="472"/>
      <c r="Y16" s="472"/>
      <c r="Z16" s="472"/>
      <c r="AA16" s="472"/>
      <c r="AB16" s="484"/>
    </row>
    <row r="17" spans="2:28" ht="15.6" x14ac:dyDescent="0.25">
      <c r="B17" s="206" t="s">
        <v>0</v>
      </c>
      <c r="C17" s="75" t="s">
        <v>1</v>
      </c>
      <c r="D17" s="75" t="str">
        <f t="shared" si="0"/>
        <v>08</v>
      </c>
      <c r="E17" s="76" t="s">
        <v>522</v>
      </c>
      <c r="F17" s="76" t="s">
        <v>1</v>
      </c>
      <c r="G17" s="76" t="s">
        <v>244</v>
      </c>
      <c r="H17" s="408" t="s">
        <v>125</v>
      </c>
      <c r="I17" s="409"/>
      <c r="J17" s="410"/>
      <c r="K17" s="192" t="str">
        <f t="shared" si="1"/>
        <v>0F</v>
      </c>
      <c r="L17" s="192" t="str">
        <f t="shared" si="2"/>
        <v>03</v>
      </c>
      <c r="M17" s="192" t="str">
        <f t="shared" si="3"/>
        <v>E8</v>
      </c>
      <c r="N17" s="192" t="s">
        <v>531</v>
      </c>
      <c r="O17" s="192"/>
      <c r="P17" s="192"/>
      <c r="Q17" s="192"/>
      <c r="R17" s="84" t="str">
        <f t="shared" si="4"/>
        <v>80</v>
      </c>
      <c r="S17" s="84" t="s">
        <v>5</v>
      </c>
      <c r="T17" s="169" t="str">
        <f t="shared" si="5"/>
        <v>aa 00 08 61 00 14 08 0F 03 E8 01 80 55</v>
      </c>
      <c r="U17" s="116">
        <v>15</v>
      </c>
      <c r="V17" s="116">
        <v>1000</v>
      </c>
      <c r="W17" s="477" t="s">
        <v>536</v>
      </c>
      <c r="X17" s="472"/>
      <c r="Y17" s="472"/>
      <c r="Z17" s="472"/>
      <c r="AA17" s="472"/>
      <c r="AB17" s="484"/>
    </row>
    <row r="18" spans="2:28" ht="15.6" x14ac:dyDescent="0.25">
      <c r="B18" s="206" t="s">
        <v>0</v>
      </c>
      <c r="C18" s="75" t="s">
        <v>1</v>
      </c>
      <c r="D18" s="75" t="str">
        <f t="shared" si="0"/>
        <v>08</v>
      </c>
      <c r="E18" s="76" t="s">
        <v>522</v>
      </c>
      <c r="F18" s="76" t="s">
        <v>1</v>
      </c>
      <c r="G18" s="76" t="s">
        <v>244</v>
      </c>
      <c r="H18" s="408" t="s">
        <v>126</v>
      </c>
      <c r="I18" s="409"/>
      <c r="J18" s="410"/>
      <c r="K18" s="192" t="str">
        <f t="shared" si="1"/>
        <v>0F</v>
      </c>
      <c r="L18" s="192" t="str">
        <f t="shared" si="2"/>
        <v>03</v>
      </c>
      <c r="M18" s="192" t="str">
        <f t="shared" si="3"/>
        <v>E8</v>
      </c>
      <c r="N18" s="192" t="s">
        <v>531</v>
      </c>
      <c r="O18" s="192"/>
      <c r="P18" s="192"/>
      <c r="Q18" s="192"/>
      <c r="R18" s="84" t="str">
        <f t="shared" si="4"/>
        <v>81</v>
      </c>
      <c r="S18" s="84" t="s">
        <v>5</v>
      </c>
      <c r="T18" s="213" t="str">
        <f t="shared" si="5"/>
        <v>aa 00 08 61 00 14 09 0F 03 E8 01 81 55</v>
      </c>
      <c r="U18" s="116">
        <v>15</v>
      </c>
      <c r="V18" s="116">
        <v>1000</v>
      </c>
      <c r="W18" s="477" t="s">
        <v>536</v>
      </c>
      <c r="X18" s="472"/>
      <c r="Y18" s="472"/>
      <c r="Z18" s="472"/>
      <c r="AA18" s="472"/>
      <c r="AB18" s="484"/>
    </row>
    <row r="19" spans="2:28" ht="15.6" x14ac:dyDescent="0.25">
      <c r="B19" s="206" t="s">
        <v>0</v>
      </c>
      <c r="C19" s="75" t="s">
        <v>1</v>
      </c>
      <c r="D19" s="75" t="str">
        <f t="shared" si="0"/>
        <v>08</v>
      </c>
      <c r="E19" s="76" t="s">
        <v>522</v>
      </c>
      <c r="F19" s="76" t="s">
        <v>1</v>
      </c>
      <c r="G19" s="76" t="s">
        <v>244</v>
      </c>
      <c r="H19" s="408" t="s">
        <v>560</v>
      </c>
      <c r="I19" s="409"/>
      <c r="J19" s="410"/>
      <c r="K19" s="192" t="str">
        <f t="shared" si="1"/>
        <v>0F</v>
      </c>
      <c r="L19" s="192" t="str">
        <f t="shared" si="2"/>
        <v>03</v>
      </c>
      <c r="M19" s="192" t="str">
        <f t="shared" si="3"/>
        <v>E8</v>
      </c>
      <c r="N19" s="192" t="s">
        <v>707</v>
      </c>
      <c r="O19" s="192"/>
      <c r="P19" s="192"/>
      <c r="Q19" s="192"/>
      <c r="R19" s="84" t="str">
        <f t="shared" si="4"/>
        <v>82</v>
      </c>
      <c r="S19" s="84" t="s">
        <v>5</v>
      </c>
      <c r="T19" s="55" t="str">
        <f t="shared" si="5"/>
        <v>aa 00 08 61 00 14 0A 0F 03 E8 01 82 55</v>
      </c>
      <c r="U19" s="116">
        <v>15</v>
      </c>
      <c r="V19" s="116">
        <v>1000</v>
      </c>
      <c r="W19" s="477" t="s">
        <v>536</v>
      </c>
      <c r="X19" s="472"/>
      <c r="Y19" s="472"/>
      <c r="Z19" s="472"/>
      <c r="AA19" s="472"/>
      <c r="AB19" s="484"/>
    </row>
    <row r="20" spans="2:28" ht="15.6" x14ac:dyDescent="0.25">
      <c r="B20" s="206" t="s">
        <v>0</v>
      </c>
      <c r="C20" s="75" t="s">
        <v>1</v>
      </c>
      <c r="D20" s="75" t="str">
        <f t="shared" si="0"/>
        <v>08</v>
      </c>
      <c r="E20" s="76" t="s">
        <v>522</v>
      </c>
      <c r="F20" s="76" t="s">
        <v>1</v>
      </c>
      <c r="G20" s="76" t="s">
        <v>244</v>
      </c>
      <c r="H20" s="408" t="s">
        <v>36</v>
      </c>
      <c r="I20" s="409"/>
      <c r="J20" s="410"/>
      <c r="K20" s="192" t="str">
        <f t="shared" si="1"/>
        <v>0F</v>
      </c>
      <c r="L20" s="192" t="str">
        <f t="shared" si="2"/>
        <v>03</v>
      </c>
      <c r="M20" s="192" t="str">
        <f t="shared" si="3"/>
        <v>E8</v>
      </c>
      <c r="N20" s="192" t="s">
        <v>531</v>
      </c>
      <c r="O20" s="192"/>
      <c r="P20" s="192"/>
      <c r="Q20" s="192"/>
      <c r="R20" s="84" t="str">
        <f t="shared" si="4"/>
        <v>83</v>
      </c>
      <c r="S20" s="84" t="s">
        <v>5</v>
      </c>
      <c r="T20" s="55" t="str">
        <f t="shared" si="5"/>
        <v>aa 00 08 61 00 14 0B 0F 03 E8 01 83 55</v>
      </c>
      <c r="U20" s="116">
        <v>15</v>
      </c>
      <c r="V20" s="116">
        <v>1000</v>
      </c>
      <c r="W20" s="477" t="s">
        <v>675</v>
      </c>
      <c r="X20" s="472"/>
      <c r="Y20" s="472"/>
      <c r="Z20" s="472"/>
      <c r="AA20" s="472"/>
      <c r="AB20" s="484"/>
    </row>
    <row r="21" spans="2:28" ht="15.6" x14ac:dyDescent="0.25">
      <c r="B21" s="206"/>
      <c r="C21" s="75"/>
      <c r="D21" s="75"/>
      <c r="E21" s="76"/>
      <c r="F21" s="76"/>
      <c r="G21" s="76"/>
      <c r="H21" s="408"/>
      <c r="I21" s="409"/>
      <c r="J21" s="410"/>
      <c r="K21" s="192"/>
      <c r="L21" s="192"/>
      <c r="M21" s="192"/>
      <c r="N21" s="192"/>
      <c r="O21" s="192"/>
      <c r="P21" s="192"/>
      <c r="Q21" s="192"/>
      <c r="R21" s="84"/>
      <c r="S21" s="84"/>
      <c r="T21" s="55"/>
      <c r="U21" s="116"/>
      <c r="V21" s="116"/>
      <c r="W21" s="477"/>
      <c r="X21" s="472"/>
      <c r="Y21" s="472"/>
      <c r="Z21" s="472"/>
      <c r="AA21" s="472"/>
      <c r="AB21" s="484"/>
    </row>
    <row r="22" spans="2:28" ht="16.2" thickBot="1" x14ac:dyDescent="0.3">
      <c r="B22" s="88"/>
      <c r="C22" s="46"/>
      <c r="D22" s="46"/>
      <c r="E22" s="47"/>
      <c r="F22" s="47"/>
      <c r="G22" s="47"/>
      <c r="H22" s="413"/>
      <c r="I22" s="414"/>
      <c r="J22" s="415"/>
      <c r="K22" s="207"/>
      <c r="L22" s="207"/>
      <c r="M22" s="207"/>
      <c r="N22" s="207"/>
      <c r="O22" s="207"/>
      <c r="P22" s="207"/>
      <c r="Q22" s="207"/>
      <c r="R22" s="85"/>
      <c r="S22" s="85"/>
      <c r="T22" s="49"/>
      <c r="U22" s="208"/>
      <c r="V22" s="208"/>
      <c r="W22" s="485"/>
      <c r="X22" s="486"/>
      <c r="Y22" s="486"/>
      <c r="Z22" s="486"/>
      <c r="AA22" s="486"/>
      <c r="AB22" s="487"/>
    </row>
    <row r="23" spans="2:28" ht="16.2" thickBot="1" x14ac:dyDescent="0.3">
      <c r="B23" s="199" t="s">
        <v>0</v>
      </c>
      <c r="C23" s="200" t="s">
        <v>1</v>
      </c>
      <c r="D23" s="200" t="str">
        <f>DEC2HEX(COUNTA(E23:Q23),2)</f>
        <v>08</v>
      </c>
      <c r="E23" s="201" t="s">
        <v>522</v>
      </c>
      <c r="F23" s="201" t="s">
        <v>1</v>
      </c>
      <c r="G23" s="201" t="s">
        <v>534</v>
      </c>
      <c r="H23" s="416" t="s">
        <v>4</v>
      </c>
      <c r="I23" s="417"/>
      <c r="J23" s="418"/>
      <c r="K23" s="202" t="str">
        <f>DEC2HEX(U23,2)</f>
        <v>02</v>
      </c>
      <c r="L23" s="202" t="str">
        <f>LEFT(DEC2HEX(V23,4),2)</f>
        <v>03</v>
      </c>
      <c r="M23" s="202" t="str">
        <f>RIGHT(DEC2HEX(V23,4),2)</f>
        <v>E8</v>
      </c>
      <c r="N23" s="202" t="s">
        <v>4</v>
      </c>
      <c r="O23" s="202"/>
      <c r="P23" s="202"/>
      <c r="Q23" s="202"/>
      <c r="R23" s="203" t="str">
        <f>DEC2HEX(MOD(HEX2DEC(C23)+HEX2DEC(D23)+HEX2DEC(E23)+HEX2DEC(F23)+HEX2DEC(G23)+HEX2DEC(H23)+HEX2DEC(I23)+HEX2DEC(J23)+HEX2DEC(K23)+HEX2DEC(L23)+HEX2DEC(M23)+HEX2DEC(N23)+HEX2DEC(Q23),256),2)</f>
        <v>6D</v>
      </c>
      <c r="S23" s="203" t="s">
        <v>5</v>
      </c>
      <c r="T23" s="204" t="str">
        <f>IF(ISBLANK(B23),,B23&amp;" ")&amp;IF(ISBLANK(C23),,C23&amp;" ")&amp;IF(ISBLANK(D23),,D23&amp;" ")&amp;IF(ISBLANK(E23),,E23&amp;" ")&amp;IF(ISBLANK(F23),,F23&amp;" ")&amp;IF(ISBLANK(G23),,G23&amp;" ")&amp;IF(ISBLANK(H23),,H23&amp;" ")&amp;IF(ISBLANK(I23),,I23&amp;" ")&amp;IF(ISBLANK(J23),,J23&amp;" ")&amp;IF(ISBLANK(K23),,K23&amp;" ")&amp;IF(ISBLANK(L23),,L23&amp;" ")&amp;IF(ISBLANK(M23),,M23&amp;" ")&amp;IF(ISBLANK(N23),,N23&amp;" ")&amp;IF(ISBLANK(Q23),,Q23&amp;" ")&amp;IF(ISBLANK(R23),,R23&amp;" ")&amp;IF(ISBLANK(S23),,S23)</f>
        <v>aa 00 08 61 00 15 01 02 03 E8 01 6D 55</v>
      </c>
      <c r="U23" s="205">
        <v>2</v>
      </c>
      <c r="V23" s="205">
        <v>1000</v>
      </c>
      <c r="W23" s="478" t="s">
        <v>537</v>
      </c>
      <c r="X23" s="479"/>
      <c r="Y23" s="479"/>
      <c r="Z23" s="479"/>
      <c r="AA23" s="479"/>
      <c r="AB23" s="480"/>
    </row>
    <row r="24" spans="2:28" ht="16.2" thickBot="1" x14ac:dyDescent="0.3">
      <c r="B24" s="206" t="s">
        <v>0</v>
      </c>
      <c r="C24" s="75" t="s">
        <v>1</v>
      </c>
      <c r="D24" s="75" t="str">
        <f t="shared" ref="D24:D28" si="6">DEC2HEX(COUNTA(E24:Q24),2)</f>
        <v>08</v>
      </c>
      <c r="E24" s="76" t="s">
        <v>522</v>
      </c>
      <c r="F24" s="76" t="s">
        <v>1</v>
      </c>
      <c r="G24" s="76" t="s">
        <v>534</v>
      </c>
      <c r="H24" s="408" t="s">
        <v>15</v>
      </c>
      <c r="I24" s="409"/>
      <c r="J24" s="410"/>
      <c r="K24" s="192" t="str">
        <f t="shared" ref="K24:K28" si="7">DEC2HEX(U24,2)</f>
        <v>0E</v>
      </c>
      <c r="L24" s="192" t="str">
        <f t="shared" ref="L24:L28" si="8">LEFT(DEC2HEX(V24,4),2)</f>
        <v>03</v>
      </c>
      <c r="M24" s="192" t="str">
        <f t="shared" ref="M24:M28" si="9">RIGHT(DEC2HEX(V24,4),2)</f>
        <v>E8</v>
      </c>
      <c r="N24" s="192" t="s">
        <v>4</v>
      </c>
      <c r="O24" s="192"/>
      <c r="P24" s="192"/>
      <c r="Q24" s="192"/>
      <c r="R24" s="84" t="str">
        <f t="shared" ref="R24:R28" si="10">DEC2HEX(MOD(HEX2DEC(C24)+HEX2DEC(D24)+HEX2DEC(E24)+HEX2DEC(F24)+HEX2DEC(G24)+HEX2DEC(H24)+HEX2DEC(I24)+HEX2DEC(J24)+HEX2DEC(K24)+HEX2DEC(L24)+HEX2DEC(M24)+HEX2DEC(N24)+HEX2DEC(Q24),256),2)</f>
        <v>7A</v>
      </c>
      <c r="S24" s="84" t="s">
        <v>5</v>
      </c>
      <c r="T24" s="55" t="str">
        <f t="shared" ref="T24:T28" si="11">IF(ISBLANK(B24),,B24&amp;" ")&amp;IF(ISBLANK(C24),,C24&amp;" ")&amp;IF(ISBLANK(D24),,D24&amp;" ")&amp;IF(ISBLANK(E24),,E24&amp;" ")&amp;IF(ISBLANK(F24),,F24&amp;" ")&amp;IF(ISBLANK(G24),,G24&amp;" ")&amp;IF(ISBLANK(H24),,H24&amp;" ")&amp;IF(ISBLANK(I24),,I24&amp;" ")&amp;IF(ISBLANK(J24),,J24&amp;" ")&amp;IF(ISBLANK(K24),,K24&amp;" ")&amp;IF(ISBLANK(L24),,L24&amp;" ")&amp;IF(ISBLANK(M24),,M24&amp;" ")&amp;IF(ISBLANK(N24),,N24&amp;" ")&amp;IF(ISBLANK(Q24),,Q24&amp;" ")&amp;IF(ISBLANK(R24),,R24&amp;" ")&amp;IF(ISBLANK(S24),,S24)</f>
        <v>aa 00 08 61 00 15 02 0E 03 E8 01 7A 55</v>
      </c>
      <c r="U24" s="205">
        <v>14</v>
      </c>
      <c r="V24" s="116">
        <v>1000</v>
      </c>
      <c r="W24" s="477" t="s">
        <v>537</v>
      </c>
      <c r="X24" s="472"/>
      <c r="Y24" s="472"/>
      <c r="Z24" s="472"/>
      <c r="AA24" s="472"/>
      <c r="AB24" s="484"/>
    </row>
    <row r="25" spans="2:28" ht="16.2" thickBot="1" x14ac:dyDescent="0.3">
      <c r="B25" s="206" t="s">
        <v>0</v>
      </c>
      <c r="C25" s="75" t="s">
        <v>1</v>
      </c>
      <c r="D25" s="75" t="str">
        <f t="shared" si="6"/>
        <v>08</v>
      </c>
      <c r="E25" s="76" t="s">
        <v>522</v>
      </c>
      <c r="F25" s="76" t="s">
        <v>1</v>
      </c>
      <c r="G25" s="76" t="s">
        <v>534</v>
      </c>
      <c r="H25" s="408" t="s">
        <v>13</v>
      </c>
      <c r="I25" s="409"/>
      <c r="J25" s="410"/>
      <c r="K25" s="192" t="str">
        <f t="shared" si="7"/>
        <v>0E</v>
      </c>
      <c r="L25" s="192" t="str">
        <f t="shared" si="8"/>
        <v>03</v>
      </c>
      <c r="M25" s="192" t="str">
        <f t="shared" si="9"/>
        <v>E8</v>
      </c>
      <c r="N25" s="192" t="s">
        <v>4</v>
      </c>
      <c r="O25" s="192"/>
      <c r="P25" s="192"/>
      <c r="Q25" s="192"/>
      <c r="R25" s="84" t="str">
        <f t="shared" si="10"/>
        <v>7B</v>
      </c>
      <c r="S25" s="84" t="s">
        <v>5</v>
      </c>
      <c r="T25" s="55" t="str">
        <f t="shared" si="11"/>
        <v>aa 00 08 61 00 15 03 0E 03 E8 01 7B 55</v>
      </c>
      <c r="U25" s="205">
        <v>14</v>
      </c>
      <c r="V25" s="116">
        <v>1000</v>
      </c>
      <c r="W25" s="477" t="s">
        <v>537</v>
      </c>
      <c r="X25" s="472"/>
      <c r="Y25" s="472"/>
      <c r="Z25" s="472"/>
      <c r="AA25" s="472"/>
      <c r="AB25" s="484"/>
    </row>
    <row r="26" spans="2:28" ht="16.2" thickBot="1" x14ac:dyDescent="0.3">
      <c r="B26" s="206" t="s">
        <v>0</v>
      </c>
      <c r="C26" s="75" t="s">
        <v>1</v>
      </c>
      <c r="D26" s="75" t="str">
        <f t="shared" si="6"/>
        <v>08</v>
      </c>
      <c r="E26" s="76" t="s">
        <v>522</v>
      </c>
      <c r="F26" s="76" t="s">
        <v>1</v>
      </c>
      <c r="G26" s="76" t="s">
        <v>534</v>
      </c>
      <c r="H26" s="408" t="s">
        <v>18</v>
      </c>
      <c r="I26" s="409"/>
      <c r="J26" s="410"/>
      <c r="K26" s="192" t="str">
        <f t="shared" si="7"/>
        <v>0E</v>
      </c>
      <c r="L26" s="192" t="str">
        <f t="shared" si="8"/>
        <v>03</v>
      </c>
      <c r="M26" s="192" t="str">
        <f t="shared" si="9"/>
        <v>E8</v>
      </c>
      <c r="N26" s="192" t="s">
        <v>4</v>
      </c>
      <c r="O26" s="192"/>
      <c r="P26" s="192"/>
      <c r="Q26" s="192"/>
      <c r="R26" s="84" t="str">
        <f t="shared" si="10"/>
        <v>7C</v>
      </c>
      <c r="S26" s="84" t="s">
        <v>5</v>
      </c>
      <c r="T26" s="55" t="str">
        <f t="shared" si="11"/>
        <v>aa 00 08 61 00 15 04 0E 03 E8 01 7C 55</v>
      </c>
      <c r="U26" s="205">
        <v>14</v>
      </c>
      <c r="V26" s="116">
        <v>1000</v>
      </c>
      <c r="W26" s="477" t="s">
        <v>537</v>
      </c>
      <c r="X26" s="472"/>
      <c r="Y26" s="472"/>
      <c r="Z26" s="472"/>
      <c r="AA26" s="472"/>
      <c r="AB26" s="484"/>
    </row>
    <row r="27" spans="2:28" ht="16.2" thickBot="1" x14ac:dyDescent="0.3">
      <c r="B27" s="206" t="s">
        <v>0</v>
      </c>
      <c r="C27" s="75" t="s">
        <v>1</v>
      </c>
      <c r="D27" s="75" t="str">
        <f t="shared" si="6"/>
        <v>08</v>
      </c>
      <c r="E27" s="76" t="s">
        <v>522</v>
      </c>
      <c r="F27" s="76" t="s">
        <v>1</v>
      </c>
      <c r="G27" s="76" t="s">
        <v>534</v>
      </c>
      <c r="H27" s="408" t="s">
        <v>122</v>
      </c>
      <c r="I27" s="409"/>
      <c r="J27" s="410"/>
      <c r="K27" s="192" t="str">
        <f t="shared" si="7"/>
        <v>0E</v>
      </c>
      <c r="L27" s="192" t="str">
        <f t="shared" si="8"/>
        <v>03</v>
      </c>
      <c r="M27" s="192" t="str">
        <f t="shared" si="9"/>
        <v>E8</v>
      </c>
      <c r="N27" s="192" t="s">
        <v>4</v>
      </c>
      <c r="O27" s="192"/>
      <c r="P27" s="192"/>
      <c r="Q27" s="192"/>
      <c r="R27" s="84" t="str">
        <f t="shared" si="10"/>
        <v>7D</v>
      </c>
      <c r="S27" s="84" t="s">
        <v>5</v>
      </c>
      <c r="T27" s="55" t="str">
        <f t="shared" si="11"/>
        <v>aa 00 08 61 00 15 05 0E 03 E8 01 7D 55</v>
      </c>
      <c r="U27" s="205">
        <v>14</v>
      </c>
      <c r="V27" s="116">
        <v>1000</v>
      </c>
      <c r="W27" s="477" t="s">
        <v>537</v>
      </c>
      <c r="X27" s="472"/>
      <c r="Y27" s="472"/>
      <c r="Z27" s="472"/>
      <c r="AA27" s="472"/>
      <c r="AB27" s="484"/>
    </row>
    <row r="28" spans="2:28" ht="15.6" x14ac:dyDescent="0.25">
      <c r="B28" s="206" t="s">
        <v>0</v>
      </c>
      <c r="C28" s="75" t="s">
        <v>1</v>
      </c>
      <c r="D28" s="75" t="str">
        <f t="shared" si="6"/>
        <v>08</v>
      </c>
      <c r="E28" s="76" t="s">
        <v>522</v>
      </c>
      <c r="F28" s="76" t="s">
        <v>1</v>
      </c>
      <c r="G28" s="76" t="s">
        <v>534</v>
      </c>
      <c r="H28" s="408" t="s">
        <v>123</v>
      </c>
      <c r="I28" s="409"/>
      <c r="J28" s="410"/>
      <c r="K28" s="192" t="str">
        <f t="shared" si="7"/>
        <v>0E</v>
      </c>
      <c r="L28" s="192" t="str">
        <f t="shared" si="8"/>
        <v>03</v>
      </c>
      <c r="M28" s="192" t="str">
        <f t="shared" si="9"/>
        <v>E8</v>
      </c>
      <c r="N28" s="192" t="s">
        <v>4</v>
      </c>
      <c r="O28" s="192"/>
      <c r="P28" s="192"/>
      <c r="Q28" s="192"/>
      <c r="R28" s="84" t="str">
        <f t="shared" si="10"/>
        <v>7E</v>
      </c>
      <c r="S28" s="84" t="s">
        <v>5</v>
      </c>
      <c r="T28" s="118" t="str">
        <f t="shared" si="11"/>
        <v>aa 00 08 61 00 15 06 0E 03 E8 01 7E 55</v>
      </c>
      <c r="U28" s="205">
        <v>14</v>
      </c>
      <c r="V28" s="116">
        <v>1000</v>
      </c>
      <c r="W28" s="477" t="s">
        <v>537</v>
      </c>
      <c r="X28" s="472"/>
      <c r="Y28" s="472"/>
      <c r="Z28" s="472"/>
      <c r="AA28" s="472"/>
      <c r="AB28" s="484"/>
    </row>
    <row r="29" spans="2:28" ht="15.6" x14ac:dyDescent="0.25">
      <c r="B29" s="206"/>
      <c r="C29" s="75"/>
      <c r="D29" s="75"/>
      <c r="E29" s="76"/>
      <c r="F29" s="76"/>
      <c r="G29" s="76"/>
      <c r="H29" s="408"/>
      <c r="I29" s="409"/>
      <c r="J29" s="410"/>
      <c r="K29" s="192"/>
      <c r="L29" s="192"/>
      <c r="M29" s="192"/>
      <c r="N29" s="192"/>
      <c r="O29" s="192"/>
      <c r="P29" s="192"/>
      <c r="Q29" s="192"/>
      <c r="R29" s="84"/>
      <c r="S29" s="84"/>
      <c r="T29" s="55"/>
      <c r="U29" s="116"/>
      <c r="V29" s="116"/>
      <c r="W29" s="477"/>
      <c r="X29" s="472"/>
      <c r="Y29" s="472"/>
      <c r="Z29" s="472"/>
      <c r="AA29" s="472"/>
      <c r="AB29" s="484"/>
    </row>
    <row r="30" spans="2:28" ht="16.2" thickBot="1" x14ac:dyDescent="0.3">
      <c r="B30" s="88"/>
      <c r="C30" s="46"/>
      <c r="D30" s="46"/>
      <c r="E30" s="47"/>
      <c r="F30" s="47"/>
      <c r="G30" s="47"/>
      <c r="H30" s="413"/>
      <c r="I30" s="414"/>
      <c r="J30" s="415"/>
      <c r="K30" s="207"/>
      <c r="L30" s="207"/>
      <c r="M30" s="207"/>
      <c r="N30" s="207"/>
      <c r="O30" s="207"/>
      <c r="P30" s="207"/>
      <c r="Q30" s="207"/>
      <c r="R30" s="85"/>
      <c r="S30" s="85"/>
      <c r="T30" s="49"/>
      <c r="U30" s="208"/>
      <c r="V30" s="208"/>
      <c r="W30" s="485"/>
      <c r="X30" s="486"/>
      <c r="Y30" s="486"/>
      <c r="Z30" s="486"/>
      <c r="AA30" s="486"/>
      <c r="AB30" s="487"/>
    </row>
    <row r="32" spans="2:28" ht="16.8" x14ac:dyDescent="0.25">
      <c r="B32" s="86" t="s">
        <v>77</v>
      </c>
      <c r="C32" s="269" t="s">
        <v>78</v>
      </c>
      <c r="D32" s="269" t="s">
        <v>10</v>
      </c>
      <c r="E32" s="269" t="s">
        <v>79</v>
      </c>
      <c r="F32" s="269" t="s">
        <v>80</v>
      </c>
      <c r="G32" s="269" t="s">
        <v>11</v>
      </c>
      <c r="H32" s="193"/>
      <c r="I32" s="193"/>
      <c r="J32" s="193"/>
      <c r="K32" s="193" t="s">
        <v>647</v>
      </c>
      <c r="L32" s="193" t="s">
        <v>645</v>
      </c>
      <c r="M32" s="193" t="s">
        <v>646</v>
      </c>
      <c r="N32" s="193" t="s">
        <v>529</v>
      </c>
      <c r="O32" s="404" t="s">
        <v>395</v>
      </c>
      <c r="P32" s="406"/>
      <c r="Q32" s="269" t="s">
        <v>75</v>
      </c>
      <c r="R32" s="83" t="s">
        <v>81</v>
      </c>
      <c r="S32" s="83" t="s">
        <v>82</v>
      </c>
      <c r="T32" s="51"/>
      <c r="U32" s="23" t="s">
        <v>647</v>
      </c>
      <c r="V32" s="23" t="s">
        <v>645</v>
      </c>
      <c r="W32" s="23" t="s">
        <v>649</v>
      </c>
      <c r="X32" s="23" t="s">
        <v>526</v>
      </c>
      <c r="Y32" s="23" t="s">
        <v>527</v>
      </c>
      <c r="Z32" s="272"/>
      <c r="AA32" s="272"/>
      <c r="AB32" s="271" t="s">
        <v>6</v>
      </c>
    </row>
    <row r="33" spans="2:28" ht="15" thickBot="1" x14ac:dyDescent="0.3">
      <c r="B33" s="84" t="s">
        <v>0</v>
      </c>
      <c r="C33" s="75" t="s">
        <v>1</v>
      </c>
      <c r="D33" s="75" t="str">
        <f>DEC2HEX(COUNTA(E33:Q33),2)</f>
        <v>0A</v>
      </c>
      <c r="E33" s="76" t="s">
        <v>410</v>
      </c>
      <c r="F33" s="76" t="s">
        <v>1</v>
      </c>
      <c r="G33" s="76" t="s">
        <v>644</v>
      </c>
      <c r="H33" s="192"/>
      <c r="I33" s="192"/>
      <c r="J33" s="192"/>
      <c r="K33" s="192" t="str">
        <f t="shared" ref="K33:M33" si="12">DEC2HEX(U33,2)</f>
        <v>14</v>
      </c>
      <c r="L33" s="192" t="str">
        <f t="shared" si="12"/>
        <v>14</v>
      </c>
      <c r="M33" s="192" t="str">
        <f t="shared" si="12"/>
        <v>14</v>
      </c>
      <c r="N33" s="192" t="str">
        <f>DEC2HEX(X33,2)</f>
        <v>13</v>
      </c>
      <c r="O33" s="192" t="str">
        <f>LEFT(DEC2HEX(Y33,4),2)</f>
        <v>03</v>
      </c>
      <c r="P33" s="192" t="str">
        <f>RIGHT(DEC2HEX(Y33,4),2)</f>
        <v>E8</v>
      </c>
      <c r="Q33" s="192" t="s">
        <v>4</v>
      </c>
      <c r="R33" s="85" t="str">
        <f>DEC2HEX(MOD(HEX2DEC(C33)+HEX2DEC(D33)+HEX2DEC(E33)+HEX2DEC(F33)+HEX2DEC(G33)+HEX2DEC(H33)+HEX2DEC(I33)+HEX2DEC(J33)+HEX2DEC(K33)+HEX2DEC(L33)+HEX2DEC(M33)+HEX2DEC(N33)+HEX2DEC(O33)+HEX2DEC(P33)+HEX2DEC(Q33),256),2)</f>
        <v>B7</v>
      </c>
      <c r="S33" s="84" t="s">
        <v>5</v>
      </c>
      <c r="T33" s="49" t="str">
        <f>IF(ISBLANK(B33),,B33&amp;" ")&amp;IF(ISBLANK(C33),,C33&amp;" ")&amp;IF(ISBLANK(D33),,D33&amp;" ")&amp;IF(ISBLANK(E33),,E33&amp;" ")&amp;IF(ISBLANK(F33),,F33&amp;" ")&amp;IF(ISBLANK(G33),,G33&amp;" ")&amp;IF(ISBLANK(H33),,H33&amp;" ")&amp;IF(ISBLANK(I33),,I33&amp;" ")&amp;IF(ISBLANK(J33),,J33&amp;" ")&amp;IF(ISBLANK(K33),,K33&amp;" ")&amp;IF(ISBLANK(L33),,L33&amp;" ")&amp;IF(ISBLANK(M33),,M33&amp;" ")&amp;IF(ISBLANK(N33),,N33&amp;" ")&amp;IF(ISBLANK(O33),,O33&amp;" ")&amp;IF(ISBLANK(P33),,P33&amp;" ")&amp;IF(ISBLANK(Q33),,Q33&amp;" ")&amp;IF(ISBLANK(R33),,R33&amp;" ")&amp;IF(ISBLANK(S33),,S33)</f>
        <v>aa 00 0A 61 00 11 14 14 14 13 03 E8 01 B7 55</v>
      </c>
      <c r="U33" s="116">
        <v>20</v>
      </c>
      <c r="V33" s="116">
        <v>20</v>
      </c>
      <c r="W33" s="116">
        <v>20</v>
      </c>
      <c r="X33" s="116">
        <v>19</v>
      </c>
      <c r="Y33" s="116">
        <v>1000</v>
      </c>
      <c r="Z33" s="274"/>
      <c r="AA33" s="274"/>
      <c r="AB33" s="273" t="s">
        <v>648</v>
      </c>
    </row>
  </sheetData>
  <mergeCells count="60">
    <mergeCell ref="O32:P32"/>
    <mergeCell ref="H28:J28"/>
    <mergeCell ref="W28:AB28"/>
    <mergeCell ref="H29:J29"/>
    <mergeCell ref="W29:AB29"/>
    <mergeCell ref="H30:J30"/>
    <mergeCell ref="W30:AB30"/>
    <mergeCell ref="H25:J25"/>
    <mergeCell ref="W25:AB25"/>
    <mergeCell ref="H26:J26"/>
    <mergeCell ref="W26:AB26"/>
    <mergeCell ref="H27:J27"/>
    <mergeCell ref="W27:AB27"/>
    <mergeCell ref="H21:J21"/>
    <mergeCell ref="W21:AB21"/>
    <mergeCell ref="H22:J22"/>
    <mergeCell ref="W22:AB22"/>
    <mergeCell ref="H24:J24"/>
    <mergeCell ref="W24:AB24"/>
    <mergeCell ref="H18:J18"/>
    <mergeCell ref="W18:AB18"/>
    <mergeCell ref="H19:J19"/>
    <mergeCell ref="W19:AB19"/>
    <mergeCell ref="H20:J20"/>
    <mergeCell ref="W20:AB20"/>
    <mergeCell ref="H9:J9"/>
    <mergeCell ref="H10:J10"/>
    <mergeCell ref="H23:J23"/>
    <mergeCell ref="H11:J11"/>
    <mergeCell ref="W11:AB11"/>
    <mergeCell ref="H12:J12"/>
    <mergeCell ref="W12:AB12"/>
    <mergeCell ref="H13:J13"/>
    <mergeCell ref="W13:AB13"/>
    <mergeCell ref="H14:J14"/>
    <mergeCell ref="H15:J15"/>
    <mergeCell ref="W15:AB15"/>
    <mergeCell ref="H16:J16"/>
    <mergeCell ref="W16:AB16"/>
    <mergeCell ref="H17:J17"/>
    <mergeCell ref="W17:AB17"/>
    <mergeCell ref="W8:AB8"/>
    <mergeCell ref="L6:M6"/>
    <mergeCell ref="W10:AB10"/>
    <mergeCell ref="W23:AB23"/>
    <mergeCell ref="L9:M9"/>
    <mergeCell ref="W9:AB9"/>
    <mergeCell ref="W14:AB14"/>
    <mergeCell ref="W6:AB6"/>
    <mergeCell ref="W7:AB7"/>
    <mergeCell ref="H4:L4"/>
    <mergeCell ref="M4:Q4"/>
    <mergeCell ref="M5:Q5"/>
    <mergeCell ref="H5:L5"/>
    <mergeCell ref="B2:AB2"/>
    <mergeCell ref="B3:S3"/>
    <mergeCell ref="U3:X3"/>
    <mergeCell ref="Y3:AB3"/>
    <mergeCell ref="W5:AB5"/>
    <mergeCell ref="W4:AB4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/>
  <dimension ref="B2:AB107"/>
  <sheetViews>
    <sheetView zoomScale="85" zoomScaleNormal="85" workbookViewId="0">
      <selection activeCell="B26" sqref="B26:AB27"/>
    </sheetView>
  </sheetViews>
  <sheetFormatPr defaultRowHeight="14.4" x14ac:dyDescent="0.25"/>
  <cols>
    <col min="2" max="7" width="3.6640625" customWidth="1"/>
    <col min="8" max="8" width="5.6640625" customWidth="1"/>
    <col min="9" max="19" width="3.6640625" customWidth="1"/>
    <col min="20" max="20" width="43.109375" customWidth="1"/>
    <col min="21" max="24" width="5.6640625" customWidth="1"/>
    <col min="25" max="28" width="10.6640625" customWidth="1"/>
  </cols>
  <sheetData>
    <row r="2" spans="2:28" x14ac:dyDescent="0.25">
      <c r="B2" s="431" t="s">
        <v>414</v>
      </c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431"/>
      <c r="R2" s="431"/>
      <c r="S2" s="431"/>
      <c r="T2" s="431"/>
      <c r="U2" s="431"/>
      <c r="V2" s="431"/>
      <c r="W2" s="431"/>
      <c r="X2" s="431"/>
      <c r="Y2" s="431"/>
      <c r="Z2" s="431"/>
      <c r="AA2" s="431"/>
      <c r="AB2" s="431"/>
    </row>
    <row r="3" spans="2:28" x14ac:dyDescent="0.25">
      <c r="B3" s="431"/>
      <c r="C3" s="431"/>
      <c r="D3" s="431"/>
      <c r="E3" s="431"/>
      <c r="F3" s="431"/>
      <c r="G3" s="431"/>
      <c r="H3" s="431"/>
      <c r="I3" s="431"/>
      <c r="J3" s="431"/>
      <c r="K3" s="431"/>
      <c r="L3" s="431"/>
      <c r="M3" s="431"/>
      <c r="N3" s="431"/>
      <c r="O3" s="431"/>
      <c r="P3" s="431"/>
      <c r="Q3" s="431"/>
      <c r="R3" s="431"/>
      <c r="S3" s="431"/>
      <c r="T3" s="431"/>
      <c r="U3" s="431"/>
      <c r="V3" s="431"/>
      <c r="W3" s="431"/>
      <c r="X3" s="431"/>
      <c r="Y3" s="431"/>
      <c r="Z3" s="431"/>
      <c r="AA3" s="431"/>
      <c r="AB3" s="431"/>
    </row>
    <row r="4" spans="2:28" x14ac:dyDescent="0.25">
      <c r="B4" s="388" t="s">
        <v>275</v>
      </c>
      <c r="C4" s="388"/>
      <c r="D4" s="388"/>
      <c r="E4" s="388"/>
      <c r="F4" s="388"/>
      <c r="G4" s="388"/>
      <c r="H4" s="388"/>
      <c r="I4" s="388"/>
      <c r="J4" s="388"/>
      <c r="K4" s="388"/>
      <c r="L4" s="388"/>
      <c r="M4" s="388"/>
      <c r="N4" s="388"/>
      <c r="O4" s="388"/>
      <c r="P4" s="388"/>
      <c r="Q4" s="388"/>
      <c r="R4" s="388"/>
      <c r="S4" s="388"/>
      <c r="T4" s="238" t="s">
        <v>266</v>
      </c>
      <c r="U4" s="388" t="s">
        <v>267</v>
      </c>
      <c r="V4" s="388"/>
      <c r="W4" s="388"/>
      <c r="X4" s="388"/>
      <c r="Y4" s="388" t="s">
        <v>268</v>
      </c>
      <c r="Z4" s="388"/>
      <c r="AA4" s="388"/>
      <c r="AB4" s="388"/>
    </row>
    <row r="5" spans="2:28" ht="16.8" x14ac:dyDescent="0.25">
      <c r="B5" s="86" t="s">
        <v>77</v>
      </c>
      <c r="C5" s="239" t="s">
        <v>78</v>
      </c>
      <c r="D5" s="239" t="s">
        <v>10</v>
      </c>
      <c r="E5" s="239" t="s">
        <v>79</v>
      </c>
      <c r="F5" s="239" t="s">
        <v>80</v>
      </c>
      <c r="G5" s="239" t="s">
        <v>11</v>
      </c>
      <c r="H5" s="424" t="s">
        <v>83</v>
      </c>
      <c r="I5" s="424"/>
      <c r="J5" s="424"/>
      <c r="K5" s="424"/>
      <c r="L5" s="424"/>
      <c r="M5" s="424"/>
      <c r="N5" s="424"/>
      <c r="O5" s="424"/>
      <c r="P5" s="424"/>
      <c r="Q5" s="424"/>
      <c r="R5" s="83" t="s">
        <v>81</v>
      </c>
      <c r="S5" s="83" t="s">
        <v>82</v>
      </c>
      <c r="T5" s="51" t="s">
        <v>276</v>
      </c>
      <c r="U5" s="45" t="s">
        <v>418</v>
      </c>
      <c r="V5" s="45" t="s">
        <v>419</v>
      </c>
      <c r="W5" s="435" t="s">
        <v>6</v>
      </c>
      <c r="X5" s="435"/>
      <c r="Y5" s="435"/>
      <c r="Z5" s="435"/>
      <c r="AA5" s="435"/>
      <c r="AB5" s="435"/>
    </row>
    <row r="6" spans="2:28" x14ac:dyDescent="0.25">
      <c r="B6" s="84" t="s">
        <v>0</v>
      </c>
      <c r="C6" s="75" t="s">
        <v>1</v>
      </c>
      <c r="D6" s="75" t="s">
        <v>9</v>
      </c>
      <c r="E6" s="76" t="s">
        <v>420</v>
      </c>
      <c r="F6" s="76" t="s">
        <v>1</v>
      </c>
      <c r="G6" s="76" t="s">
        <v>1</v>
      </c>
      <c r="H6" s="54" t="str">
        <f>DEC2HEX(U6,2)</f>
        <v>01</v>
      </c>
      <c r="I6" s="54" t="str">
        <f>DEC2HEX(V6,2)</f>
        <v>0A</v>
      </c>
      <c r="J6" s="57"/>
      <c r="K6" s="57"/>
      <c r="L6" s="57"/>
      <c r="M6" s="57"/>
      <c r="N6" s="57"/>
      <c r="O6" s="57"/>
      <c r="P6" s="57"/>
      <c r="Q6" s="57"/>
      <c r="R6" s="84" t="str">
        <f>DEC2HEX(MOD(HEX2DEC(C6)+HEX2DEC(D6)+HEX2DEC(E6)+HEX2DEC(F6)+HEX2DEC(G6)+HEX2DEC(H6)+HEX2DEC(I6)+HEX2DEC(J6)+HEX2DEC(K6)+HEX2DEC(L6)+HEX2DEC(M6)+HEX2DEC(N6)+HEX2DEC(Q6),256),2)</f>
        <v>80</v>
      </c>
      <c r="S6" s="84" t="s">
        <v>5</v>
      </c>
      <c r="T6" s="55" t="str">
        <f>IF(ISBLANK(B6),,B6&amp;" ")&amp;IF(ISBLANK(C6),,C6&amp;" ")&amp;IF(ISBLANK(D6),,D6&amp;" ")&amp;IF(ISBLANK(E6),,E6&amp;" ")&amp;IF(ISBLANK(F6),,F6&amp;" ")&amp;IF(ISBLANK(G6),,G6&amp;" ")&amp;IF(ISBLANK(H6),,H6&amp;" ")&amp;IF(ISBLANK(I6),,I6&amp;" ")&amp;IF(ISBLANK(J6),,J6&amp;" ")&amp;IF(ISBLANK(K6),,K6&amp;" ")&amp;IF(ISBLANK(L6),,L6&amp;" ")&amp;IF(ISBLANK(M6),,M6&amp;" ")&amp;IF(ISBLANK(N6),,N6&amp;" ")&amp;IF(ISBLANK(Q6),,Q6&amp;" ")&amp;IF(ISBLANK(R6),,R6&amp;" ")&amp;IF(ISBLANK(S6),,S6)</f>
        <v>aa 00 05 70 00 00 01 0A 80 55</v>
      </c>
      <c r="U6" s="116">
        <v>1</v>
      </c>
      <c r="V6" s="116">
        <v>10</v>
      </c>
      <c r="W6" s="492" t="s">
        <v>416</v>
      </c>
      <c r="X6" s="492"/>
      <c r="Y6" s="492"/>
      <c r="Z6" s="492"/>
      <c r="AA6" s="492"/>
      <c r="AB6" s="492"/>
    </row>
    <row r="7" spans="2:28" x14ac:dyDescent="0.25">
      <c r="B7" s="84" t="s">
        <v>0</v>
      </c>
      <c r="C7" s="75" t="s">
        <v>1</v>
      </c>
      <c r="D7" s="75" t="s">
        <v>8</v>
      </c>
      <c r="E7" s="76" t="s">
        <v>420</v>
      </c>
      <c r="F7" s="76" t="s">
        <v>1</v>
      </c>
      <c r="G7" s="76" t="s">
        <v>70</v>
      </c>
      <c r="H7" s="57"/>
      <c r="I7" s="57"/>
      <c r="J7" s="57"/>
      <c r="K7" s="57"/>
      <c r="L7" s="57"/>
      <c r="M7" s="57"/>
      <c r="N7" s="57"/>
      <c r="O7" s="57"/>
      <c r="P7" s="57"/>
      <c r="Q7" s="57"/>
      <c r="R7" s="84" t="str">
        <f>DEC2HEX(MOD(HEX2DEC(C7)+HEX2DEC(D7)+HEX2DEC(E7)+HEX2DEC(F7)+HEX2DEC(G7)+HEX2DEC(H7)+HEX2DEC(I7)+HEX2DEC(J7)+HEX2DEC(K7)+HEX2DEC(L7)+HEX2DEC(M7)+HEX2DEC(N7)+HEX2DEC(Q7),256),2)</f>
        <v>83</v>
      </c>
      <c r="S7" s="84" t="s">
        <v>5</v>
      </c>
      <c r="T7" s="55" t="str">
        <f>IF(ISBLANK(B7),,B7&amp;" ")&amp;IF(ISBLANK(C7),,C7&amp;" ")&amp;IF(ISBLANK(D7),,D7&amp;" ")&amp;IF(ISBLANK(E7),,E7&amp;" ")&amp;IF(ISBLANK(F7),,F7&amp;" ")&amp;IF(ISBLANK(G7),,G7&amp;" ")&amp;IF(ISBLANK(H7),,H7&amp;" ")&amp;IF(ISBLANK(I7),,I7&amp;" ")&amp;IF(ISBLANK(J7),,J7&amp;" ")&amp;IF(ISBLANK(K7),,K7&amp;" ")&amp;IF(ISBLANK(L7),,L7&amp;" ")&amp;IF(ISBLANK(M7),,M7&amp;" ")&amp;IF(ISBLANK(N7),,N7&amp;" ")&amp;IF(ISBLANK(Q7),,Q7&amp;" ")&amp;IF(ISBLANK(R7),,R7&amp;" ")&amp;IF(ISBLANK(S7),,S7)</f>
        <v>aa 00 03 70 00 10 83 55</v>
      </c>
      <c r="U7" s="492" t="s">
        <v>415</v>
      </c>
      <c r="V7" s="492"/>
      <c r="W7" s="492"/>
      <c r="X7" s="492"/>
      <c r="Y7" s="492"/>
      <c r="Z7" s="492"/>
      <c r="AA7" s="492"/>
      <c r="AB7" s="492"/>
    </row>
    <row r="8" spans="2:28" x14ac:dyDescent="0.25">
      <c r="B8" s="84" t="s">
        <v>0</v>
      </c>
      <c r="C8" s="75" t="s">
        <v>1</v>
      </c>
      <c r="D8" s="75" t="s">
        <v>8</v>
      </c>
      <c r="E8" s="76" t="s">
        <v>420</v>
      </c>
      <c r="F8" s="76" t="s">
        <v>1</v>
      </c>
      <c r="G8" s="76" t="s">
        <v>28</v>
      </c>
      <c r="H8" s="57"/>
      <c r="I8" s="57"/>
      <c r="J8" s="57"/>
      <c r="K8" s="57"/>
      <c r="L8" s="57"/>
      <c r="M8" s="57"/>
      <c r="N8" s="57"/>
      <c r="O8" s="57"/>
      <c r="P8" s="57"/>
      <c r="Q8" s="57"/>
      <c r="R8" s="84" t="str">
        <f>DEC2HEX(MOD(HEX2DEC(C8)+HEX2DEC(D8)+HEX2DEC(E8)+HEX2DEC(F8)+HEX2DEC(G8)+HEX2DEC(H8)+HEX2DEC(I8)+HEX2DEC(J8)+HEX2DEC(K8)+HEX2DEC(L8)+HEX2DEC(M8)+HEX2DEC(N8)+HEX2DEC(Q8),256),2)</f>
        <v>84</v>
      </c>
      <c r="S8" s="84" t="s">
        <v>5</v>
      </c>
      <c r="T8" s="55" t="str">
        <f>IF(ISBLANK(B8),,B8&amp;" ")&amp;IF(ISBLANK(C8),,C8&amp;" ")&amp;IF(ISBLANK(D8),,D8&amp;" ")&amp;IF(ISBLANK(E8),,E8&amp;" ")&amp;IF(ISBLANK(F8),,F8&amp;" ")&amp;IF(ISBLANK(G8),,G8&amp;" ")&amp;IF(ISBLANK(H8),,H8&amp;" ")&amp;IF(ISBLANK(I8),,I8&amp;" ")&amp;IF(ISBLANK(J8),,J8&amp;" ")&amp;IF(ISBLANK(K8),,K8&amp;" ")&amp;IF(ISBLANK(L8),,L8&amp;" ")&amp;IF(ISBLANK(M8),,M8&amp;" ")&amp;IF(ISBLANK(N8),,N8&amp;" ")&amp;IF(ISBLANK(Q8),,Q8&amp;" ")&amp;IF(ISBLANK(R8),,R8&amp;" ")&amp;IF(ISBLANK(S8),,S8)</f>
        <v>aa 00 03 70 00 11 84 55</v>
      </c>
      <c r="U8" s="492" t="s">
        <v>782</v>
      </c>
      <c r="V8" s="492"/>
      <c r="W8" s="492"/>
      <c r="X8" s="492"/>
      <c r="Y8" s="492"/>
      <c r="Z8" s="492"/>
      <c r="AA8" s="492"/>
      <c r="AB8" s="492"/>
    </row>
    <row r="10" spans="2:28" x14ac:dyDescent="0.25">
      <c r="B10" s="431" t="s">
        <v>421</v>
      </c>
      <c r="C10" s="431"/>
      <c r="D10" s="431"/>
      <c r="E10" s="431"/>
      <c r="F10" s="431"/>
      <c r="G10" s="431"/>
      <c r="H10" s="431"/>
      <c r="I10" s="431"/>
      <c r="J10" s="431"/>
      <c r="K10" s="431"/>
      <c r="L10" s="431"/>
      <c r="M10" s="431"/>
      <c r="N10" s="431"/>
      <c r="O10" s="431"/>
      <c r="P10" s="431"/>
      <c r="Q10" s="431"/>
      <c r="R10" s="431"/>
      <c r="S10" s="431"/>
      <c r="T10" s="431"/>
      <c r="U10" s="431"/>
      <c r="V10" s="431"/>
      <c r="W10" s="431"/>
      <c r="X10" s="431"/>
      <c r="Y10" s="431"/>
      <c r="Z10" s="431"/>
      <c r="AA10" s="431"/>
      <c r="AB10" s="431"/>
    </row>
    <row r="11" spans="2:28" x14ac:dyDescent="0.25">
      <c r="B11" s="431"/>
      <c r="C11" s="431"/>
      <c r="D11" s="431"/>
      <c r="E11" s="431"/>
      <c r="F11" s="431"/>
      <c r="G11" s="431"/>
      <c r="H11" s="431"/>
      <c r="I11" s="431"/>
      <c r="J11" s="431"/>
      <c r="K11" s="431"/>
      <c r="L11" s="431"/>
      <c r="M11" s="431"/>
      <c r="N11" s="431"/>
      <c r="O11" s="431"/>
      <c r="P11" s="431"/>
      <c r="Q11" s="431"/>
      <c r="R11" s="431"/>
      <c r="S11" s="431"/>
      <c r="T11" s="431"/>
      <c r="U11" s="431"/>
      <c r="V11" s="431"/>
      <c r="W11" s="431"/>
      <c r="X11" s="431"/>
      <c r="Y11" s="431"/>
      <c r="Z11" s="431"/>
      <c r="AA11" s="431"/>
      <c r="AB11" s="431"/>
    </row>
    <row r="12" spans="2:28" x14ac:dyDescent="0.25">
      <c r="B12" s="388" t="s">
        <v>275</v>
      </c>
      <c r="C12" s="388"/>
      <c r="D12" s="388"/>
      <c r="E12" s="388"/>
      <c r="F12" s="388"/>
      <c r="G12" s="388"/>
      <c r="H12" s="388"/>
      <c r="I12" s="388"/>
      <c r="J12" s="388"/>
      <c r="K12" s="388"/>
      <c r="L12" s="388"/>
      <c r="M12" s="388"/>
      <c r="N12" s="388"/>
      <c r="O12" s="388"/>
      <c r="P12" s="388"/>
      <c r="Q12" s="388"/>
      <c r="R12" s="388"/>
      <c r="S12" s="388"/>
      <c r="T12" s="238" t="s">
        <v>266</v>
      </c>
      <c r="U12" s="388" t="s">
        <v>267</v>
      </c>
      <c r="V12" s="388"/>
      <c r="W12" s="388"/>
      <c r="X12" s="388"/>
      <c r="Y12" s="388" t="s">
        <v>268</v>
      </c>
      <c r="Z12" s="388"/>
      <c r="AA12" s="388"/>
      <c r="AB12" s="388"/>
    </row>
    <row r="13" spans="2:28" ht="16.8" x14ac:dyDescent="0.25">
      <c r="B13" s="86" t="s">
        <v>77</v>
      </c>
      <c r="C13" s="239" t="s">
        <v>78</v>
      </c>
      <c r="D13" s="239" t="s">
        <v>10</v>
      </c>
      <c r="E13" s="239" t="s">
        <v>79</v>
      </c>
      <c r="F13" s="239" t="s">
        <v>80</v>
      </c>
      <c r="G13" s="239" t="s">
        <v>11</v>
      </c>
      <c r="H13" s="424" t="s">
        <v>83</v>
      </c>
      <c r="I13" s="424"/>
      <c r="J13" s="424"/>
      <c r="K13" s="424"/>
      <c r="L13" s="424"/>
      <c r="M13" s="424"/>
      <c r="N13" s="424"/>
      <c r="O13" s="424"/>
      <c r="P13" s="424"/>
      <c r="Q13" s="424"/>
      <c r="R13" s="83" t="s">
        <v>81</v>
      </c>
      <c r="S13" s="83" t="s">
        <v>82</v>
      </c>
      <c r="T13" s="51" t="s">
        <v>276</v>
      </c>
      <c r="U13" s="45" t="s">
        <v>418</v>
      </c>
      <c r="V13" s="45" t="s">
        <v>419</v>
      </c>
      <c r="W13" s="435" t="s">
        <v>6</v>
      </c>
      <c r="X13" s="435"/>
      <c r="Y13" s="435"/>
      <c r="Z13" s="435"/>
      <c r="AA13" s="435"/>
      <c r="AB13" s="435"/>
    </row>
    <row r="14" spans="2:28" x14ac:dyDescent="0.25">
      <c r="B14" s="84" t="s">
        <v>0</v>
      </c>
      <c r="C14" s="75" t="s">
        <v>1</v>
      </c>
      <c r="D14" s="75" t="s">
        <v>9</v>
      </c>
      <c r="E14" s="76" t="s">
        <v>429</v>
      </c>
      <c r="F14" s="76" t="s">
        <v>1</v>
      </c>
      <c r="G14" s="76" t="s">
        <v>1</v>
      </c>
      <c r="H14" s="54" t="str">
        <f>DEC2HEX(U14,2)</f>
        <v>02</v>
      </c>
      <c r="I14" s="54" t="str">
        <f>DEC2HEX(V14,2)</f>
        <v>0A</v>
      </c>
      <c r="J14" s="57"/>
      <c r="K14" s="57"/>
      <c r="L14" s="57"/>
      <c r="M14" s="57"/>
      <c r="N14" s="57"/>
      <c r="O14" s="57"/>
      <c r="P14" s="57"/>
      <c r="Q14" s="57"/>
      <c r="R14" s="84" t="str">
        <f>DEC2HEX(MOD(HEX2DEC(C14)+HEX2DEC(D14)+HEX2DEC(E14)+HEX2DEC(F14)+HEX2DEC(G14)+HEX2DEC(H14)+HEX2DEC(I14)+HEX2DEC(J14)+HEX2DEC(K14)+HEX2DEC(L14)+HEX2DEC(M14)+HEX2DEC(N14)+HEX2DEC(Q14),256),2)</f>
        <v>82</v>
      </c>
      <c r="S14" s="84" t="s">
        <v>5</v>
      </c>
      <c r="T14" s="55" t="str">
        <f>IF(ISBLANK(B14),,B14&amp;" ")&amp;IF(ISBLANK(C14),,C14&amp;" ")&amp;IF(ISBLANK(D14),,D14&amp;" ")&amp;IF(ISBLANK(E14),,E14&amp;" ")&amp;IF(ISBLANK(F14),,F14&amp;" ")&amp;IF(ISBLANK(G14),,G14&amp;" ")&amp;IF(ISBLANK(H14),,H14&amp;" ")&amp;IF(ISBLANK(I14),,I14&amp;" ")&amp;IF(ISBLANK(J14),,J14&amp;" ")&amp;IF(ISBLANK(K14),,K14&amp;" ")&amp;IF(ISBLANK(L14),,L14&amp;" ")&amp;IF(ISBLANK(M14),,M14&amp;" ")&amp;IF(ISBLANK(N14),,N14&amp;" ")&amp;IF(ISBLANK(Q14),,Q14&amp;" ")&amp;IF(ISBLANK(R14),,R14&amp;" ")&amp;IF(ISBLANK(S14),,S14)</f>
        <v>aa 00 05 71 00 00 02 0A 82 55</v>
      </c>
      <c r="U14" s="116">
        <v>2</v>
      </c>
      <c r="V14" s="116">
        <v>10</v>
      </c>
      <c r="W14" s="492" t="s">
        <v>422</v>
      </c>
      <c r="X14" s="492"/>
      <c r="Y14" s="492"/>
      <c r="Z14" s="492"/>
      <c r="AA14" s="492"/>
      <c r="AB14" s="492"/>
    </row>
    <row r="15" spans="2:28" x14ac:dyDescent="0.25">
      <c r="B15" s="84" t="s">
        <v>0</v>
      </c>
      <c r="C15" s="75" t="s">
        <v>1</v>
      </c>
      <c r="D15" s="75" t="s">
        <v>8</v>
      </c>
      <c r="E15" s="76" t="s">
        <v>429</v>
      </c>
      <c r="F15" s="76" t="s">
        <v>1</v>
      </c>
      <c r="G15" s="76" t="s">
        <v>70</v>
      </c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84" t="str">
        <f>DEC2HEX(MOD(HEX2DEC(C15)+HEX2DEC(D15)+HEX2DEC(E15)+HEX2DEC(F15)+HEX2DEC(G15)+HEX2DEC(H15)+HEX2DEC(I15)+HEX2DEC(J15)+HEX2DEC(K15)+HEX2DEC(L15)+HEX2DEC(M15)+HEX2DEC(N15)+HEX2DEC(Q15),256),2)</f>
        <v>84</v>
      </c>
      <c r="S15" s="84" t="s">
        <v>5</v>
      </c>
      <c r="T15" s="55" t="str">
        <f>IF(ISBLANK(B15),,B15&amp;" ")&amp;IF(ISBLANK(C15),,C15&amp;" ")&amp;IF(ISBLANK(D15),,D15&amp;" ")&amp;IF(ISBLANK(E15),,E15&amp;" ")&amp;IF(ISBLANK(F15),,F15&amp;" ")&amp;IF(ISBLANK(G15),,G15&amp;" ")&amp;IF(ISBLANK(H15),,H15&amp;" ")&amp;IF(ISBLANK(I15),,I15&amp;" ")&amp;IF(ISBLANK(J15),,J15&amp;" ")&amp;IF(ISBLANK(K15),,K15&amp;" ")&amp;IF(ISBLANK(L15),,L15&amp;" ")&amp;IF(ISBLANK(M15),,M15&amp;" ")&amp;IF(ISBLANK(N15),,N15&amp;" ")&amp;IF(ISBLANK(Q15),,Q15&amp;" ")&amp;IF(ISBLANK(R15),,R15&amp;" ")&amp;IF(ISBLANK(S15),,S15)</f>
        <v>aa 00 03 71 00 10 84 55</v>
      </c>
      <c r="U15" s="492" t="s">
        <v>423</v>
      </c>
      <c r="V15" s="492"/>
      <c r="W15" s="492"/>
      <c r="X15" s="492"/>
      <c r="Y15" s="492"/>
      <c r="Z15" s="492"/>
      <c r="AA15" s="492"/>
      <c r="AB15" s="492"/>
    </row>
    <row r="16" spans="2:28" x14ac:dyDescent="0.25">
      <c r="B16" s="84" t="s">
        <v>0</v>
      </c>
      <c r="C16" s="75" t="s">
        <v>1</v>
      </c>
      <c r="D16" s="75" t="s">
        <v>8</v>
      </c>
      <c r="E16" s="76" t="s">
        <v>429</v>
      </c>
      <c r="F16" s="76" t="s">
        <v>1</v>
      </c>
      <c r="G16" s="76" t="s">
        <v>28</v>
      </c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84" t="str">
        <f>DEC2HEX(MOD(HEX2DEC(C16)+HEX2DEC(D16)+HEX2DEC(E16)+HEX2DEC(F16)+HEX2DEC(G16)+HEX2DEC(H16)+HEX2DEC(I16)+HEX2DEC(J16)+HEX2DEC(K16)+HEX2DEC(L16)+HEX2DEC(M16)+HEX2DEC(N16)+HEX2DEC(Q16),256),2)</f>
        <v>85</v>
      </c>
      <c r="S16" s="84" t="s">
        <v>5</v>
      </c>
      <c r="T16" s="55" t="str">
        <f>IF(ISBLANK(B16),,B16&amp;" ")&amp;IF(ISBLANK(C16),,C16&amp;" ")&amp;IF(ISBLANK(D16),,D16&amp;" ")&amp;IF(ISBLANK(E16),,E16&amp;" ")&amp;IF(ISBLANK(F16),,F16&amp;" ")&amp;IF(ISBLANK(G16),,G16&amp;" ")&amp;IF(ISBLANK(H16),,H16&amp;" ")&amp;IF(ISBLANK(I16),,I16&amp;" ")&amp;IF(ISBLANK(J16),,J16&amp;" ")&amp;IF(ISBLANK(K16),,K16&amp;" ")&amp;IF(ISBLANK(L16),,L16&amp;" ")&amp;IF(ISBLANK(M16),,M16&amp;" ")&amp;IF(ISBLANK(N16),,N16&amp;" ")&amp;IF(ISBLANK(Q16),,Q16&amp;" ")&amp;IF(ISBLANK(R16),,R16&amp;" ")&amp;IF(ISBLANK(S16),,S16)</f>
        <v>aa 00 03 71 00 11 85 55</v>
      </c>
      <c r="U16" s="492" t="s">
        <v>424</v>
      </c>
      <c r="V16" s="492"/>
      <c r="W16" s="492"/>
      <c r="X16" s="492"/>
      <c r="Y16" s="492"/>
      <c r="Z16" s="492"/>
      <c r="AA16" s="492"/>
      <c r="AB16" s="492"/>
    </row>
    <row r="18" spans="2:28" x14ac:dyDescent="0.25">
      <c r="B18" s="431" t="s">
        <v>425</v>
      </c>
      <c r="C18" s="431"/>
      <c r="D18" s="431"/>
      <c r="E18" s="431"/>
      <c r="F18" s="431"/>
      <c r="G18" s="431"/>
      <c r="H18" s="431"/>
      <c r="I18" s="431"/>
      <c r="J18" s="431"/>
      <c r="K18" s="431"/>
      <c r="L18" s="431"/>
      <c r="M18" s="431"/>
      <c r="N18" s="431"/>
      <c r="O18" s="431"/>
      <c r="P18" s="431"/>
      <c r="Q18" s="431"/>
      <c r="R18" s="431"/>
      <c r="S18" s="431"/>
      <c r="T18" s="431"/>
      <c r="U18" s="431"/>
      <c r="V18" s="431"/>
      <c r="W18" s="431"/>
      <c r="X18" s="431"/>
      <c r="Y18" s="431"/>
      <c r="Z18" s="431"/>
      <c r="AA18" s="431"/>
      <c r="AB18" s="431"/>
    </row>
    <row r="19" spans="2:28" x14ac:dyDescent="0.25">
      <c r="B19" s="431"/>
      <c r="C19" s="431"/>
      <c r="D19" s="431"/>
      <c r="E19" s="431"/>
      <c r="F19" s="431"/>
      <c r="G19" s="431"/>
      <c r="H19" s="431"/>
      <c r="I19" s="431"/>
      <c r="J19" s="431"/>
      <c r="K19" s="431"/>
      <c r="L19" s="431"/>
      <c r="M19" s="431"/>
      <c r="N19" s="431"/>
      <c r="O19" s="431"/>
      <c r="P19" s="431"/>
      <c r="Q19" s="431"/>
      <c r="R19" s="431"/>
      <c r="S19" s="431"/>
      <c r="T19" s="431"/>
      <c r="U19" s="431"/>
      <c r="V19" s="431"/>
      <c r="W19" s="431"/>
      <c r="X19" s="431"/>
      <c r="Y19" s="431"/>
      <c r="Z19" s="431"/>
      <c r="AA19" s="431"/>
      <c r="AB19" s="431"/>
    </row>
    <row r="20" spans="2:28" x14ac:dyDescent="0.25">
      <c r="B20" s="388" t="s">
        <v>275</v>
      </c>
      <c r="C20" s="388"/>
      <c r="D20" s="388"/>
      <c r="E20" s="388"/>
      <c r="F20" s="388"/>
      <c r="G20" s="388"/>
      <c r="H20" s="388"/>
      <c r="I20" s="388"/>
      <c r="J20" s="388"/>
      <c r="K20" s="388"/>
      <c r="L20" s="388"/>
      <c r="M20" s="388"/>
      <c r="N20" s="388"/>
      <c r="O20" s="388"/>
      <c r="P20" s="388"/>
      <c r="Q20" s="388"/>
      <c r="R20" s="388"/>
      <c r="S20" s="388"/>
      <c r="T20" s="238" t="s">
        <v>266</v>
      </c>
      <c r="U20" s="388" t="s">
        <v>267</v>
      </c>
      <c r="V20" s="388"/>
      <c r="W20" s="388"/>
      <c r="X20" s="388"/>
      <c r="Y20" s="388" t="s">
        <v>268</v>
      </c>
      <c r="Z20" s="388"/>
      <c r="AA20" s="388"/>
      <c r="AB20" s="388"/>
    </row>
    <row r="21" spans="2:28" ht="16.8" x14ac:dyDescent="0.25">
      <c r="B21" s="86" t="s">
        <v>77</v>
      </c>
      <c r="C21" s="239" t="s">
        <v>78</v>
      </c>
      <c r="D21" s="239" t="s">
        <v>10</v>
      </c>
      <c r="E21" s="239" t="s">
        <v>79</v>
      </c>
      <c r="F21" s="239" t="s">
        <v>80</v>
      </c>
      <c r="G21" s="239" t="s">
        <v>11</v>
      </c>
      <c r="H21" s="424" t="s">
        <v>83</v>
      </c>
      <c r="I21" s="424"/>
      <c r="J21" s="424"/>
      <c r="K21" s="424"/>
      <c r="L21" s="424"/>
      <c r="M21" s="424"/>
      <c r="N21" s="424"/>
      <c r="O21" s="424"/>
      <c r="P21" s="424"/>
      <c r="Q21" s="424"/>
      <c r="R21" s="83" t="s">
        <v>81</v>
      </c>
      <c r="S21" s="83" t="s">
        <v>82</v>
      </c>
      <c r="T21" s="51" t="s">
        <v>276</v>
      </c>
      <c r="U21" s="45" t="s">
        <v>418</v>
      </c>
      <c r="V21" s="45" t="s">
        <v>419</v>
      </c>
      <c r="W21" s="435" t="s">
        <v>6</v>
      </c>
      <c r="X21" s="435"/>
      <c r="Y21" s="435"/>
      <c r="Z21" s="435"/>
      <c r="AA21" s="435"/>
      <c r="AB21" s="435"/>
    </row>
    <row r="22" spans="2:28" x14ac:dyDescent="0.25">
      <c r="B22" s="84" t="s">
        <v>0</v>
      </c>
      <c r="C22" s="75" t="s">
        <v>1</v>
      </c>
      <c r="D22" s="75" t="s">
        <v>9</v>
      </c>
      <c r="E22" s="76" t="s">
        <v>430</v>
      </c>
      <c r="F22" s="76" t="s">
        <v>1</v>
      </c>
      <c r="G22" s="76" t="s">
        <v>1</v>
      </c>
      <c r="H22" s="54" t="str">
        <f>DEC2HEX(U22,2)</f>
        <v>03</v>
      </c>
      <c r="I22" s="54" t="str">
        <f>DEC2HEX(V22,2)</f>
        <v>0A</v>
      </c>
      <c r="J22" s="57"/>
      <c r="K22" s="57"/>
      <c r="L22" s="57"/>
      <c r="M22" s="57"/>
      <c r="N22" s="57"/>
      <c r="O22" s="57"/>
      <c r="P22" s="57"/>
      <c r="Q22" s="57"/>
      <c r="R22" s="84" t="str">
        <f>DEC2HEX(MOD(HEX2DEC(C22)+HEX2DEC(D22)+HEX2DEC(E22)+HEX2DEC(F22)+HEX2DEC(G22)+HEX2DEC(H22)+HEX2DEC(I22)+HEX2DEC(J22)+HEX2DEC(K22)+HEX2DEC(L22)+HEX2DEC(M22)+HEX2DEC(N22)+HEX2DEC(Q22),256),2)</f>
        <v>84</v>
      </c>
      <c r="S22" s="84" t="s">
        <v>5</v>
      </c>
      <c r="T22" s="55" t="str">
        <f>IF(ISBLANK(B22),,B22&amp;" ")&amp;IF(ISBLANK(C22),,C22&amp;" ")&amp;IF(ISBLANK(D22),,D22&amp;" ")&amp;IF(ISBLANK(E22),,E22&amp;" ")&amp;IF(ISBLANK(F22),,F22&amp;" ")&amp;IF(ISBLANK(G22),,G22&amp;" ")&amp;IF(ISBLANK(H22),,H22&amp;" ")&amp;IF(ISBLANK(I22),,I22&amp;" ")&amp;IF(ISBLANK(J22),,J22&amp;" ")&amp;IF(ISBLANK(K22),,K22&amp;" ")&amp;IF(ISBLANK(L22),,L22&amp;" ")&amp;IF(ISBLANK(M22),,M22&amp;" ")&amp;IF(ISBLANK(N22),,N22&amp;" ")&amp;IF(ISBLANK(Q22),,Q22&amp;" ")&amp;IF(ISBLANK(R22),,R22&amp;" ")&amp;IF(ISBLANK(S22),,S22)</f>
        <v>aa 00 05 72 00 00 03 0A 84 55</v>
      </c>
      <c r="U22" s="116">
        <v>3</v>
      </c>
      <c r="V22" s="116">
        <v>10</v>
      </c>
      <c r="W22" s="492" t="s">
        <v>426</v>
      </c>
      <c r="X22" s="492"/>
      <c r="Y22" s="492"/>
      <c r="Z22" s="492"/>
      <c r="AA22" s="492"/>
      <c r="AB22" s="492"/>
    </row>
    <row r="23" spans="2:28" x14ac:dyDescent="0.25">
      <c r="B23" s="84" t="s">
        <v>0</v>
      </c>
      <c r="C23" s="75" t="s">
        <v>1</v>
      </c>
      <c r="D23" s="75" t="s">
        <v>8</v>
      </c>
      <c r="E23" s="76" t="s">
        <v>430</v>
      </c>
      <c r="F23" s="76" t="s">
        <v>1</v>
      </c>
      <c r="G23" s="76" t="s">
        <v>70</v>
      </c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84" t="str">
        <f>DEC2HEX(MOD(HEX2DEC(C23)+HEX2DEC(D23)+HEX2DEC(E23)+HEX2DEC(F23)+HEX2DEC(G23)+HEX2DEC(H23)+HEX2DEC(I23)+HEX2DEC(J23)+HEX2DEC(K23)+HEX2DEC(L23)+HEX2DEC(M23)+HEX2DEC(N23)+HEX2DEC(Q23),256),2)</f>
        <v>85</v>
      </c>
      <c r="S23" s="84" t="s">
        <v>5</v>
      </c>
      <c r="T23" s="55" t="str">
        <f>IF(ISBLANK(B23),,B23&amp;" ")&amp;IF(ISBLANK(C23),,C23&amp;" ")&amp;IF(ISBLANK(D23),,D23&amp;" ")&amp;IF(ISBLANK(E23),,E23&amp;" ")&amp;IF(ISBLANK(F23),,F23&amp;" ")&amp;IF(ISBLANK(G23),,G23&amp;" ")&amp;IF(ISBLANK(H23),,H23&amp;" ")&amp;IF(ISBLANK(I23),,I23&amp;" ")&amp;IF(ISBLANK(J23),,J23&amp;" ")&amp;IF(ISBLANK(K23),,K23&amp;" ")&amp;IF(ISBLANK(L23),,L23&amp;" ")&amp;IF(ISBLANK(M23),,M23&amp;" ")&amp;IF(ISBLANK(N23),,N23&amp;" ")&amp;IF(ISBLANK(Q23),,Q23&amp;" ")&amp;IF(ISBLANK(R23),,R23&amp;" ")&amp;IF(ISBLANK(S23),,S23)</f>
        <v>aa 00 03 72 00 10 85 55</v>
      </c>
      <c r="U23" s="492" t="s">
        <v>427</v>
      </c>
      <c r="V23" s="492"/>
      <c r="W23" s="492"/>
      <c r="X23" s="492"/>
      <c r="Y23" s="492"/>
      <c r="Z23" s="492"/>
      <c r="AA23" s="492"/>
      <c r="AB23" s="492"/>
    </row>
    <row r="24" spans="2:28" x14ac:dyDescent="0.25">
      <c r="B24" s="84" t="s">
        <v>0</v>
      </c>
      <c r="C24" s="75" t="s">
        <v>1</v>
      </c>
      <c r="D24" s="75" t="s">
        <v>8</v>
      </c>
      <c r="E24" s="76" t="s">
        <v>430</v>
      </c>
      <c r="F24" s="76" t="s">
        <v>1</v>
      </c>
      <c r="G24" s="76" t="s">
        <v>28</v>
      </c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84" t="str">
        <f>DEC2HEX(MOD(HEX2DEC(C24)+HEX2DEC(D24)+HEX2DEC(E24)+HEX2DEC(F24)+HEX2DEC(G24)+HEX2DEC(H24)+HEX2DEC(I24)+HEX2DEC(J24)+HEX2DEC(K24)+HEX2DEC(L24)+HEX2DEC(M24)+HEX2DEC(N24)+HEX2DEC(Q24),256),2)</f>
        <v>86</v>
      </c>
      <c r="S24" s="84" t="s">
        <v>5</v>
      </c>
      <c r="T24" s="55" t="str">
        <f>IF(ISBLANK(B24),,B24&amp;" ")&amp;IF(ISBLANK(C24),,C24&amp;" ")&amp;IF(ISBLANK(D24),,D24&amp;" ")&amp;IF(ISBLANK(E24),,E24&amp;" ")&amp;IF(ISBLANK(F24),,F24&amp;" ")&amp;IF(ISBLANK(G24),,G24&amp;" ")&amp;IF(ISBLANK(H24),,H24&amp;" ")&amp;IF(ISBLANK(I24),,I24&amp;" ")&amp;IF(ISBLANK(J24),,J24&amp;" ")&amp;IF(ISBLANK(K24),,K24&amp;" ")&amp;IF(ISBLANK(L24),,L24&amp;" ")&amp;IF(ISBLANK(M24),,M24&amp;" ")&amp;IF(ISBLANK(N24),,N24&amp;" ")&amp;IF(ISBLANK(Q24),,Q24&amp;" ")&amp;IF(ISBLANK(R24),,R24&amp;" ")&amp;IF(ISBLANK(S24),,S24)</f>
        <v>aa 00 03 72 00 11 86 55</v>
      </c>
      <c r="U24" s="492" t="s">
        <v>783</v>
      </c>
      <c r="V24" s="492"/>
      <c r="W24" s="492"/>
      <c r="X24" s="492"/>
      <c r="Y24" s="492"/>
      <c r="Z24" s="492"/>
      <c r="AA24" s="492"/>
      <c r="AB24" s="492"/>
    </row>
    <row r="26" spans="2:28" ht="14.4" customHeight="1" x14ac:dyDescent="0.25">
      <c r="B26" s="431" t="s">
        <v>775</v>
      </c>
      <c r="C26" s="431"/>
      <c r="D26" s="431"/>
      <c r="E26" s="431"/>
      <c r="F26" s="431"/>
      <c r="G26" s="431"/>
      <c r="H26" s="431"/>
      <c r="I26" s="431"/>
      <c r="J26" s="431"/>
      <c r="K26" s="431"/>
      <c r="L26" s="431"/>
      <c r="M26" s="431"/>
      <c r="N26" s="431"/>
      <c r="O26" s="431"/>
      <c r="P26" s="431"/>
      <c r="Q26" s="431"/>
      <c r="R26" s="431"/>
      <c r="S26" s="431"/>
      <c r="T26" s="431"/>
      <c r="U26" s="431"/>
      <c r="V26" s="431"/>
      <c r="W26" s="431"/>
      <c r="X26" s="431"/>
      <c r="Y26" s="431"/>
      <c r="Z26" s="431"/>
      <c r="AA26" s="431"/>
      <c r="AB26" s="431"/>
    </row>
    <row r="27" spans="2:28" ht="14.4" customHeight="1" x14ac:dyDescent="0.25">
      <c r="B27" s="431"/>
      <c r="C27" s="431"/>
      <c r="D27" s="431"/>
      <c r="E27" s="431"/>
      <c r="F27" s="431"/>
      <c r="G27" s="431"/>
      <c r="H27" s="431"/>
      <c r="I27" s="431"/>
      <c r="J27" s="431"/>
      <c r="K27" s="431"/>
      <c r="L27" s="431"/>
      <c r="M27" s="431"/>
      <c r="N27" s="431"/>
      <c r="O27" s="431"/>
      <c r="P27" s="431"/>
      <c r="Q27" s="431"/>
      <c r="R27" s="431"/>
      <c r="S27" s="431"/>
      <c r="T27" s="431"/>
      <c r="U27" s="431"/>
      <c r="V27" s="431"/>
      <c r="W27" s="431"/>
      <c r="X27" s="431"/>
      <c r="Y27" s="431"/>
      <c r="Z27" s="431"/>
      <c r="AA27" s="431"/>
      <c r="AB27" s="431"/>
    </row>
    <row r="28" spans="2:28" x14ac:dyDescent="0.25">
      <c r="B28" s="388" t="s">
        <v>275</v>
      </c>
      <c r="C28" s="388"/>
      <c r="D28" s="388"/>
      <c r="E28" s="388"/>
      <c r="F28" s="388"/>
      <c r="G28" s="388"/>
      <c r="H28" s="388"/>
      <c r="I28" s="388"/>
      <c r="J28" s="388"/>
      <c r="K28" s="388"/>
      <c r="L28" s="388"/>
      <c r="M28" s="388"/>
      <c r="N28" s="388"/>
      <c r="O28" s="388"/>
      <c r="P28" s="388"/>
      <c r="Q28" s="388"/>
      <c r="R28" s="388"/>
      <c r="S28" s="388"/>
      <c r="T28" s="314" t="s">
        <v>266</v>
      </c>
      <c r="U28" s="388" t="s">
        <v>267</v>
      </c>
      <c r="V28" s="388"/>
      <c r="W28" s="388"/>
      <c r="X28" s="388"/>
      <c r="Y28" s="388" t="s">
        <v>268</v>
      </c>
      <c r="Z28" s="388"/>
      <c r="AA28" s="388"/>
      <c r="AB28" s="388"/>
    </row>
    <row r="29" spans="2:28" ht="14.4" customHeight="1" x14ac:dyDescent="0.25">
      <c r="B29" s="86" t="s">
        <v>77</v>
      </c>
      <c r="C29" s="315" t="s">
        <v>78</v>
      </c>
      <c r="D29" s="315" t="s">
        <v>10</v>
      </c>
      <c r="E29" s="315" t="s">
        <v>79</v>
      </c>
      <c r="F29" s="315" t="s">
        <v>80</v>
      </c>
      <c r="G29" s="315" t="s">
        <v>11</v>
      </c>
      <c r="H29" s="424" t="s">
        <v>83</v>
      </c>
      <c r="I29" s="424"/>
      <c r="J29" s="424"/>
      <c r="K29" s="424"/>
      <c r="L29" s="424"/>
      <c r="M29" s="424"/>
      <c r="N29" s="424"/>
      <c r="O29" s="424"/>
      <c r="P29" s="424"/>
      <c r="Q29" s="424"/>
      <c r="R29" s="83" t="s">
        <v>81</v>
      </c>
      <c r="S29" s="83" t="s">
        <v>82</v>
      </c>
      <c r="T29" s="51" t="s">
        <v>276</v>
      </c>
      <c r="U29" s="45" t="s">
        <v>418</v>
      </c>
      <c r="V29" s="45" t="s">
        <v>419</v>
      </c>
      <c r="W29" s="435" t="s">
        <v>6</v>
      </c>
      <c r="X29" s="435"/>
      <c r="Y29" s="435"/>
      <c r="Z29" s="435"/>
      <c r="AA29" s="435"/>
      <c r="AB29" s="435"/>
    </row>
    <row r="30" spans="2:28" ht="14.4" customHeight="1" x14ac:dyDescent="0.25">
      <c r="B30" s="84" t="s">
        <v>0</v>
      </c>
      <c r="C30" s="75" t="s">
        <v>1</v>
      </c>
      <c r="D30" s="75" t="s">
        <v>9</v>
      </c>
      <c r="E30" s="76" t="s">
        <v>430</v>
      </c>
      <c r="F30" s="76" t="s">
        <v>1</v>
      </c>
      <c r="G30" s="76" t="s">
        <v>1</v>
      </c>
      <c r="H30" s="316" t="str">
        <f>DEC2HEX(U30,2)</f>
        <v>03</v>
      </c>
      <c r="I30" s="316" t="str">
        <f>DEC2HEX(V30,2)</f>
        <v>0A</v>
      </c>
      <c r="J30" s="57"/>
      <c r="K30" s="57"/>
      <c r="L30" s="57"/>
      <c r="M30" s="57"/>
      <c r="N30" s="57"/>
      <c r="O30" s="57"/>
      <c r="P30" s="57"/>
      <c r="Q30" s="57"/>
      <c r="R30" s="84" t="str">
        <f>DEC2HEX(MOD(HEX2DEC(C30)+HEX2DEC(D30)+HEX2DEC(E30)+HEX2DEC(F30)+HEX2DEC(G30)+HEX2DEC(H30)+HEX2DEC(I30)+HEX2DEC(J30)+HEX2DEC(K30)+HEX2DEC(L30)+HEX2DEC(M30)+HEX2DEC(N30)+HEX2DEC(Q30),256),2)</f>
        <v>84</v>
      </c>
      <c r="S30" s="84" t="s">
        <v>5</v>
      </c>
      <c r="T30" s="55" t="str">
        <f>IF(ISBLANK(B30),,B30&amp;" ")&amp;IF(ISBLANK(C30),,C30&amp;" ")&amp;IF(ISBLANK(D30),,D30&amp;" ")&amp;IF(ISBLANK(E30),,E30&amp;" ")&amp;IF(ISBLANK(F30),,F30&amp;" ")&amp;IF(ISBLANK(G30),,G30&amp;" ")&amp;IF(ISBLANK(H30),,H30&amp;" ")&amp;IF(ISBLANK(I30),,I30&amp;" ")&amp;IF(ISBLANK(J30),,J30&amp;" ")&amp;IF(ISBLANK(K30),,K30&amp;" ")&amp;IF(ISBLANK(L30),,L30&amp;" ")&amp;IF(ISBLANK(M30),,M30&amp;" ")&amp;IF(ISBLANK(N30),,N30&amp;" ")&amp;IF(ISBLANK(Q30),,Q30&amp;" ")&amp;IF(ISBLANK(R30),,R30&amp;" ")&amp;IF(ISBLANK(S30),,S30)</f>
        <v>aa 00 05 72 00 00 03 0A 84 55</v>
      </c>
      <c r="U30" s="116">
        <v>3</v>
      </c>
      <c r="V30" s="116">
        <v>10</v>
      </c>
      <c r="W30" s="492" t="s">
        <v>426</v>
      </c>
      <c r="X30" s="492"/>
      <c r="Y30" s="492"/>
      <c r="Z30" s="492"/>
      <c r="AA30" s="492"/>
      <c r="AB30" s="492"/>
    </row>
    <row r="31" spans="2:28" x14ac:dyDescent="0.25">
      <c r="B31" s="84" t="s">
        <v>0</v>
      </c>
      <c r="C31" s="75" t="s">
        <v>1</v>
      </c>
      <c r="D31" s="75" t="s">
        <v>8</v>
      </c>
      <c r="E31" s="76" t="s">
        <v>430</v>
      </c>
      <c r="F31" s="76" t="s">
        <v>1</v>
      </c>
      <c r="G31" s="76" t="s">
        <v>777</v>
      </c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84" t="str">
        <f>DEC2HEX(MOD(HEX2DEC(C31)+HEX2DEC(D31)+HEX2DEC(E31)+HEX2DEC(F31)+HEX2DEC(G31)+HEX2DEC(H31)+HEX2DEC(I31)+HEX2DEC(J31)+HEX2DEC(K31)+HEX2DEC(L31)+HEX2DEC(M31)+HEX2DEC(N31)+HEX2DEC(Q31),256),2)</f>
        <v>A0</v>
      </c>
      <c r="S31" s="84" t="s">
        <v>5</v>
      </c>
      <c r="T31" s="55" t="str">
        <f>IF(ISBLANK(B31),,B31&amp;" ")&amp;IF(ISBLANK(C31),,C31&amp;" ")&amp;IF(ISBLANK(D31),,D31&amp;" ")&amp;IF(ISBLANK(E31),,E31&amp;" ")&amp;IF(ISBLANK(F31),,F31&amp;" ")&amp;IF(ISBLANK(G31),,G31&amp;" ")&amp;IF(ISBLANK(H31),,H31&amp;" ")&amp;IF(ISBLANK(I31),,I31&amp;" ")&amp;IF(ISBLANK(J31),,J31&amp;" ")&amp;IF(ISBLANK(K31),,K31&amp;" ")&amp;IF(ISBLANK(L31),,L31&amp;" ")&amp;IF(ISBLANK(M31),,M31&amp;" ")&amp;IF(ISBLANK(N31),,N31&amp;" ")&amp;IF(ISBLANK(Q31),,Q31&amp;" ")&amp;IF(ISBLANK(R31),,R31&amp;" ")&amp;IF(ISBLANK(S31),,S31)</f>
        <v>aa 00 03 72 00 2b A0 55</v>
      </c>
      <c r="U31" s="492" t="s">
        <v>779</v>
      </c>
      <c r="V31" s="492"/>
      <c r="W31" s="492"/>
      <c r="X31" s="492"/>
      <c r="Y31" s="492"/>
      <c r="Z31" s="492"/>
      <c r="AA31" s="492"/>
      <c r="AB31" s="492"/>
    </row>
    <row r="32" spans="2:28" ht="16.8" customHeight="1" x14ac:dyDescent="0.25">
      <c r="B32" s="84" t="s">
        <v>0</v>
      </c>
      <c r="C32" s="75" t="s">
        <v>1</v>
      </c>
      <c r="D32" s="75" t="s">
        <v>8</v>
      </c>
      <c r="E32" s="76" t="s">
        <v>430</v>
      </c>
      <c r="F32" s="76" t="s">
        <v>1</v>
      </c>
      <c r="G32" s="76" t="s">
        <v>778</v>
      </c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84" t="str">
        <f>DEC2HEX(MOD(HEX2DEC(C32)+HEX2DEC(D32)+HEX2DEC(E32)+HEX2DEC(F32)+HEX2DEC(G32)+HEX2DEC(H32)+HEX2DEC(I32)+HEX2DEC(J32)+HEX2DEC(K32)+HEX2DEC(L32)+HEX2DEC(M32)+HEX2DEC(N32)+HEX2DEC(Q32),256),2)</f>
        <v>A1</v>
      </c>
      <c r="S32" s="84" t="s">
        <v>5</v>
      </c>
      <c r="T32" s="55" t="str">
        <f>IF(ISBLANK(B32),,B32&amp;" ")&amp;IF(ISBLANK(C32),,C32&amp;" ")&amp;IF(ISBLANK(D32),,D32&amp;" ")&amp;IF(ISBLANK(E32),,E32&amp;" ")&amp;IF(ISBLANK(F32),,F32&amp;" ")&amp;IF(ISBLANK(G32),,G32&amp;" ")&amp;IF(ISBLANK(H32),,H32&amp;" ")&amp;IF(ISBLANK(I32),,I32&amp;" ")&amp;IF(ISBLANK(J32),,J32&amp;" ")&amp;IF(ISBLANK(K32),,K32&amp;" ")&amp;IF(ISBLANK(L32),,L32&amp;" ")&amp;IF(ISBLANK(M32),,M32&amp;" ")&amp;IF(ISBLANK(N32),,N32&amp;" ")&amp;IF(ISBLANK(Q32),,Q32&amp;" ")&amp;IF(ISBLANK(R32),,R32&amp;" ")&amp;IF(ISBLANK(S32),,S32)</f>
        <v>aa 00 03 72 00 2c A1 55</v>
      </c>
      <c r="U32" s="492" t="s">
        <v>428</v>
      </c>
      <c r="V32" s="492"/>
      <c r="W32" s="492"/>
      <c r="X32" s="492"/>
      <c r="Y32" s="492"/>
      <c r="Z32" s="492"/>
      <c r="AA32" s="492"/>
      <c r="AB32" s="492"/>
    </row>
    <row r="34" spans="2:28" x14ac:dyDescent="0.25">
      <c r="B34" s="494" t="s">
        <v>478</v>
      </c>
      <c r="C34" s="495"/>
      <c r="D34" s="495"/>
      <c r="E34" s="495"/>
      <c r="F34" s="495"/>
      <c r="G34" s="495"/>
      <c r="H34" s="495"/>
      <c r="I34" s="495"/>
      <c r="J34" s="495"/>
      <c r="K34" s="495"/>
      <c r="L34" s="495"/>
      <c r="M34" s="495"/>
      <c r="N34" s="495"/>
      <c r="O34" s="495"/>
      <c r="P34" s="495"/>
      <c r="Q34" s="495"/>
      <c r="R34" s="495"/>
      <c r="S34" s="495"/>
      <c r="T34" s="495"/>
      <c r="U34" s="495"/>
      <c r="V34" s="495"/>
      <c r="W34" s="495"/>
      <c r="X34" s="495"/>
      <c r="Y34" s="495"/>
      <c r="Z34" s="495"/>
      <c r="AA34" s="495"/>
      <c r="AB34" s="496"/>
    </row>
    <row r="35" spans="2:28" x14ac:dyDescent="0.25">
      <c r="B35" s="497"/>
      <c r="C35" s="498"/>
      <c r="D35" s="498"/>
      <c r="E35" s="498"/>
      <c r="F35" s="498"/>
      <c r="G35" s="498"/>
      <c r="H35" s="498"/>
      <c r="I35" s="498"/>
      <c r="J35" s="498"/>
      <c r="K35" s="498"/>
      <c r="L35" s="498"/>
      <c r="M35" s="498"/>
      <c r="N35" s="498"/>
      <c r="O35" s="498"/>
      <c r="P35" s="498"/>
      <c r="Q35" s="498"/>
      <c r="R35" s="498"/>
      <c r="S35" s="498"/>
      <c r="T35" s="498"/>
      <c r="U35" s="498"/>
      <c r="V35" s="498"/>
      <c r="W35" s="498"/>
      <c r="X35" s="498"/>
      <c r="Y35" s="498"/>
      <c r="Z35" s="498"/>
      <c r="AA35" s="498"/>
      <c r="AB35" s="499"/>
    </row>
    <row r="36" spans="2:28" x14ac:dyDescent="0.25">
      <c r="B36" s="389" t="s">
        <v>275</v>
      </c>
      <c r="C36" s="390"/>
      <c r="D36" s="390"/>
      <c r="E36" s="390"/>
      <c r="F36" s="390"/>
      <c r="G36" s="390"/>
      <c r="H36" s="390"/>
      <c r="I36" s="390"/>
      <c r="J36" s="390"/>
      <c r="K36" s="390"/>
      <c r="L36" s="390"/>
      <c r="M36" s="390"/>
      <c r="N36" s="390"/>
      <c r="O36" s="390"/>
      <c r="P36" s="390"/>
      <c r="Q36" s="390"/>
      <c r="R36" s="390"/>
      <c r="S36" s="391"/>
      <c r="T36" s="314" t="s">
        <v>266</v>
      </c>
      <c r="U36" s="389" t="s">
        <v>268</v>
      </c>
      <c r="V36" s="390"/>
      <c r="W36" s="390"/>
      <c r="X36" s="390"/>
      <c r="Y36" s="390"/>
      <c r="Z36" s="390"/>
      <c r="AA36" s="390"/>
      <c r="AB36" s="391"/>
    </row>
    <row r="37" spans="2:28" ht="16.8" x14ac:dyDescent="0.25">
      <c r="B37" s="86" t="s">
        <v>77</v>
      </c>
      <c r="C37" s="315" t="s">
        <v>78</v>
      </c>
      <c r="D37" s="315" t="s">
        <v>10</v>
      </c>
      <c r="E37" s="315" t="s">
        <v>79</v>
      </c>
      <c r="F37" s="315" t="s">
        <v>80</v>
      </c>
      <c r="G37" s="315" t="s">
        <v>11</v>
      </c>
      <c r="H37" s="404" t="s">
        <v>83</v>
      </c>
      <c r="I37" s="405"/>
      <c r="J37" s="405"/>
      <c r="K37" s="405"/>
      <c r="L37" s="405"/>
      <c r="M37" s="405"/>
      <c r="N37" s="405"/>
      <c r="O37" s="405"/>
      <c r="P37" s="405"/>
      <c r="Q37" s="406"/>
      <c r="R37" s="83" t="s">
        <v>81</v>
      </c>
      <c r="S37" s="83" t="s">
        <v>82</v>
      </c>
      <c r="T37" s="51" t="s">
        <v>276</v>
      </c>
      <c r="U37" s="474" t="s">
        <v>6</v>
      </c>
      <c r="V37" s="475"/>
      <c r="W37" s="475"/>
      <c r="X37" s="475"/>
      <c r="Y37" s="475"/>
      <c r="Z37" s="475"/>
      <c r="AA37" s="475"/>
      <c r="AB37" s="476"/>
    </row>
    <row r="38" spans="2:28" x14ac:dyDescent="0.25">
      <c r="B38" s="84" t="s">
        <v>0</v>
      </c>
      <c r="C38" s="75" t="s">
        <v>1</v>
      </c>
      <c r="D38" s="75" t="s">
        <v>8</v>
      </c>
      <c r="E38" s="76" t="s">
        <v>479</v>
      </c>
      <c r="F38" s="76" t="s">
        <v>725</v>
      </c>
      <c r="G38" s="76" t="s">
        <v>70</v>
      </c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84" t="str">
        <f t="shared" ref="R38:R47" si="0">DEC2HEX(MOD(HEX2DEC(C38)+HEX2DEC(D38)+HEX2DEC(E38)+HEX2DEC(F38)+HEX2DEC(G38)+HEX2DEC(H38)+HEX2DEC(I38)+HEX2DEC(J38)+HEX2DEC(K38)+HEX2DEC(L38)+HEX2DEC(M38)+HEX2DEC(N38)+HEX2DEC(O38)+HEX2DEC(P38)+HEX2DEC(Q38),256),2)</f>
        <v>AE</v>
      </c>
      <c r="S38" s="84" t="s">
        <v>5</v>
      </c>
      <c r="T38" s="55" t="str">
        <f t="shared" ref="T38:T47" si="1">IF(ISBLANK(B38),,B38&amp;" ")&amp;IF(ISBLANK(C38),,C38&amp;" ")&amp;IF(ISBLANK(D38),,D38&amp;" ")&amp;IF(ISBLANK(E38),,E38&amp;" ")&amp;IF(ISBLANK(F38),,F38&amp;" ")&amp;IF(ISBLANK(G38),,G38&amp;" ")&amp;IF(ISBLANK(H38),,H38&amp;" ")&amp;IF(ISBLANK(I38),,I38&amp;" ")&amp;IF(ISBLANK(J38),,J38&amp;" ")&amp;IF(ISBLANK(K38),,K38&amp;" ")&amp;IF(ISBLANK(L38),,L38&amp;" ")&amp;IF(ISBLANK(M38),,M38&amp;" ")&amp;IF(ISBLANK(N38),,N38&amp;" ")&amp;IF(ISBLANK(O38),,O38&amp;" ")&amp;IF(ISBLANK(P38),,P38&amp;" ")&amp;IF(ISBLANK(Q38),,Q38&amp;" ")&amp;IF(ISBLANK(R38),,R38&amp;" ")&amp;IF(ISBLANK(S38),,S38)</f>
        <v>aa 00 03 73 28 10 AE 55</v>
      </c>
      <c r="U38" s="489" t="s">
        <v>481</v>
      </c>
      <c r="V38" s="490"/>
      <c r="W38" s="490"/>
      <c r="X38" s="490"/>
      <c r="Y38" s="490"/>
      <c r="Z38" s="490"/>
      <c r="AA38" s="490"/>
      <c r="AB38" s="491"/>
    </row>
    <row r="39" spans="2:28" x14ac:dyDescent="0.25">
      <c r="B39" s="84" t="s">
        <v>0</v>
      </c>
      <c r="C39" s="75" t="s">
        <v>1</v>
      </c>
      <c r="D39" s="75" t="s">
        <v>8</v>
      </c>
      <c r="E39" s="76" t="s">
        <v>479</v>
      </c>
      <c r="F39" s="76" t="s">
        <v>1</v>
      </c>
      <c r="G39" s="76" t="s">
        <v>158</v>
      </c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84" t="str">
        <f t="shared" si="0"/>
        <v>87</v>
      </c>
      <c r="S39" s="84" t="s">
        <v>5</v>
      </c>
      <c r="T39" s="55" t="str">
        <f t="shared" si="1"/>
        <v>aa 00 03 73 00 11 87 55</v>
      </c>
      <c r="U39" s="489" t="s">
        <v>482</v>
      </c>
      <c r="V39" s="490"/>
      <c r="W39" s="490"/>
      <c r="X39" s="490"/>
      <c r="Y39" s="490"/>
      <c r="Z39" s="490"/>
      <c r="AA39" s="490"/>
      <c r="AB39" s="491"/>
    </row>
    <row r="40" spans="2:28" x14ac:dyDescent="0.25">
      <c r="B40" s="84" t="s">
        <v>0</v>
      </c>
      <c r="C40" s="75" t="s">
        <v>1</v>
      </c>
      <c r="D40" s="75" t="s">
        <v>8</v>
      </c>
      <c r="E40" s="76" t="s">
        <v>479</v>
      </c>
      <c r="F40" s="76" t="s">
        <v>1</v>
      </c>
      <c r="G40" s="76" t="s">
        <v>159</v>
      </c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84" t="str">
        <f t="shared" si="0"/>
        <v>88</v>
      </c>
      <c r="S40" s="84" t="s">
        <v>5</v>
      </c>
      <c r="T40" s="55" t="str">
        <f t="shared" si="1"/>
        <v>aa 00 03 73 00 12 88 55</v>
      </c>
      <c r="U40" s="489" t="s">
        <v>672</v>
      </c>
      <c r="V40" s="490"/>
      <c r="W40" s="490"/>
      <c r="X40" s="490"/>
      <c r="Y40" s="490"/>
      <c r="Z40" s="490"/>
      <c r="AA40" s="490"/>
      <c r="AB40" s="491"/>
    </row>
    <row r="41" spans="2:28" x14ac:dyDescent="0.25">
      <c r="B41" s="84" t="s">
        <v>0</v>
      </c>
      <c r="C41" s="75" t="s">
        <v>1</v>
      </c>
      <c r="D41" s="75" t="s">
        <v>8</v>
      </c>
      <c r="E41" s="76" t="s">
        <v>479</v>
      </c>
      <c r="F41" s="76" t="s">
        <v>744</v>
      </c>
      <c r="G41" s="76" t="s">
        <v>160</v>
      </c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84" t="str">
        <f t="shared" si="0"/>
        <v>89</v>
      </c>
      <c r="S41" s="84" t="s">
        <v>5</v>
      </c>
      <c r="T41" s="55" t="str">
        <f t="shared" si="1"/>
        <v>aa 00 03 73 00 13 89 55</v>
      </c>
      <c r="U41" s="489" t="s">
        <v>489</v>
      </c>
      <c r="V41" s="490"/>
      <c r="W41" s="490"/>
      <c r="X41" s="490"/>
      <c r="Y41" s="490"/>
      <c r="Z41" s="490"/>
      <c r="AA41" s="490"/>
      <c r="AB41" s="491"/>
    </row>
    <row r="42" spans="2:28" x14ac:dyDescent="0.25">
      <c r="B42" s="84" t="s">
        <v>0</v>
      </c>
      <c r="C42" s="75" t="s">
        <v>1</v>
      </c>
      <c r="D42" s="75" t="s">
        <v>8</v>
      </c>
      <c r="E42" s="76" t="s">
        <v>479</v>
      </c>
      <c r="F42" s="76" t="s">
        <v>1</v>
      </c>
      <c r="G42" s="76" t="s">
        <v>53</v>
      </c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84" t="str">
        <f t="shared" si="0"/>
        <v>96</v>
      </c>
      <c r="S42" s="84" t="s">
        <v>5</v>
      </c>
      <c r="T42" s="55" t="str">
        <f t="shared" si="1"/>
        <v>aa 00 03 73 00 20 96 55</v>
      </c>
      <c r="U42" s="489" t="s">
        <v>483</v>
      </c>
      <c r="V42" s="490"/>
      <c r="W42" s="490"/>
      <c r="X42" s="490"/>
      <c r="Y42" s="490"/>
      <c r="Z42" s="490"/>
      <c r="AA42" s="490"/>
      <c r="AB42" s="491"/>
    </row>
    <row r="43" spans="2:28" x14ac:dyDescent="0.25">
      <c r="B43" s="84" t="s">
        <v>0</v>
      </c>
      <c r="C43" s="75" t="s">
        <v>1</v>
      </c>
      <c r="D43" s="75" t="s">
        <v>8</v>
      </c>
      <c r="E43" s="76" t="s">
        <v>479</v>
      </c>
      <c r="F43" s="76" t="s">
        <v>1</v>
      </c>
      <c r="G43" s="76" t="s">
        <v>168</v>
      </c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84" t="str">
        <f t="shared" si="0"/>
        <v>97</v>
      </c>
      <c r="S43" s="84" t="s">
        <v>5</v>
      </c>
      <c r="T43" s="55" t="str">
        <f t="shared" si="1"/>
        <v>aa 00 03 73 00 21 97 55</v>
      </c>
      <c r="U43" s="489" t="s">
        <v>784</v>
      </c>
      <c r="V43" s="490"/>
      <c r="W43" s="490"/>
      <c r="X43" s="490"/>
      <c r="Y43" s="490"/>
      <c r="Z43" s="490"/>
      <c r="AA43" s="490"/>
      <c r="AB43" s="491"/>
    </row>
    <row r="44" spans="2:28" x14ac:dyDescent="0.25">
      <c r="B44" s="84" t="s">
        <v>0</v>
      </c>
      <c r="C44" s="75" t="s">
        <v>1</v>
      </c>
      <c r="D44" s="75" t="s">
        <v>8</v>
      </c>
      <c r="E44" s="76" t="s">
        <v>479</v>
      </c>
      <c r="F44" s="76" t="s">
        <v>1</v>
      </c>
      <c r="G44" s="76" t="s">
        <v>169</v>
      </c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84" t="str">
        <f t="shared" si="0"/>
        <v>98</v>
      </c>
      <c r="S44" s="84" t="s">
        <v>5</v>
      </c>
      <c r="T44" s="55" t="str">
        <f t="shared" si="1"/>
        <v>aa 00 03 73 00 22 98 55</v>
      </c>
      <c r="U44" s="489" t="s">
        <v>785</v>
      </c>
      <c r="V44" s="490"/>
      <c r="W44" s="490"/>
      <c r="X44" s="490"/>
      <c r="Y44" s="490"/>
      <c r="Z44" s="490"/>
      <c r="AA44" s="490"/>
      <c r="AB44" s="491"/>
    </row>
    <row r="45" spans="2:28" x14ac:dyDescent="0.25">
      <c r="B45" s="84" t="s">
        <v>0</v>
      </c>
      <c r="C45" s="75" t="s">
        <v>1</v>
      </c>
      <c r="D45" s="75" t="s">
        <v>8</v>
      </c>
      <c r="E45" s="76" t="s">
        <v>479</v>
      </c>
      <c r="F45" s="76" t="s">
        <v>1</v>
      </c>
      <c r="G45" s="76" t="s">
        <v>792</v>
      </c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84" t="str">
        <f t="shared" ref="R45" si="2">DEC2HEX(MOD(HEX2DEC(C45)+HEX2DEC(D45)+HEX2DEC(E45)+HEX2DEC(F45)+HEX2DEC(G45)+HEX2DEC(H45)+HEX2DEC(I45)+HEX2DEC(J45)+HEX2DEC(K45)+HEX2DEC(L45)+HEX2DEC(M45)+HEX2DEC(N45)+HEX2DEC(O45)+HEX2DEC(P45)+HEX2DEC(Q45),256),2)</f>
        <v>9C</v>
      </c>
      <c r="S45" s="84" t="s">
        <v>5</v>
      </c>
      <c r="T45" s="55" t="str">
        <f t="shared" ref="T45" si="3">IF(ISBLANK(B45),,B45&amp;" ")&amp;IF(ISBLANK(C45),,C45&amp;" ")&amp;IF(ISBLANK(D45),,D45&amp;" ")&amp;IF(ISBLANK(E45),,E45&amp;" ")&amp;IF(ISBLANK(F45),,F45&amp;" ")&amp;IF(ISBLANK(G45),,G45&amp;" ")&amp;IF(ISBLANK(H45),,H45&amp;" ")&amp;IF(ISBLANK(I45),,I45&amp;" ")&amp;IF(ISBLANK(J45),,J45&amp;" ")&amp;IF(ISBLANK(K45),,K45&amp;" ")&amp;IF(ISBLANK(L45),,L45&amp;" ")&amp;IF(ISBLANK(M45),,M45&amp;" ")&amp;IF(ISBLANK(N45),,N45&amp;" ")&amp;IF(ISBLANK(O45),,O45&amp;" ")&amp;IF(ISBLANK(P45),,P45&amp;" ")&amp;IF(ISBLANK(Q45),,Q45&amp;" ")&amp;IF(ISBLANK(R45),,R45&amp;" ")&amp;IF(ISBLANK(S45),,S45)</f>
        <v>aa 00 03 73 00 26 9C 55</v>
      </c>
      <c r="U45" s="489" t="s">
        <v>793</v>
      </c>
      <c r="V45" s="490"/>
      <c r="W45" s="490"/>
      <c r="X45" s="490"/>
      <c r="Y45" s="490"/>
      <c r="Z45" s="490"/>
      <c r="AA45" s="490"/>
      <c r="AB45" s="491"/>
    </row>
    <row r="46" spans="2:28" x14ac:dyDescent="0.25">
      <c r="B46" s="84" t="s">
        <v>0</v>
      </c>
      <c r="C46" s="75" t="s">
        <v>1</v>
      </c>
      <c r="D46" s="75" t="s">
        <v>8</v>
      </c>
      <c r="E46" s="76" t="s">
        <v>479</v>
      </c>
      <c r="F46" s="76" t="s">
        <v>1</v>
      </c>
      <c r="G46" s="76" t="s">
        <v>170</v>
      </c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84" t="str">
        <f t="shared" si="0"/>
        <v>99</v>
      </c>
      <c r="S46" s="84" t="s">
        <v>5</v>
      </c>
      <c r="T46" s="55" t="str">
        <f t="shared" si="1"/>
        <v>aa 00 03 73 00 23 99 55</v>
      </c>
      <c r="U46" s="489" t="s">
        <v>786</v>
      </c>
      <c r="V46" s="490"/>
      <c r="W46" s="490"/>
      <c r="X46" s="490"/>
      <c r="Y46" s="490"/>
      <c r="Z46" s="490"/>
      <c r="AA46" s="490"/>
      <c r="AB46" s="491"/>
    </row>
    <row r="47" spans="2:28" x14ac:dyDescent="0.25">
      <c r="B47" s="84" t="s">
        <v>0</v>
      </c>
      <c r="C47" s="75" t="s">
        <v>1</v>
      </c>
      <c r="D47" s="75" t="s">
        <v>8</v>
      </c>
      <c r="E47" s="76" t="s">
        <v>479</v>
      </c>
      <c r="F47" s="76" t="s">
        <v>1</v>
      </c>
      <c r="G47" s="76" t="s">
        <v>171</v>
      </c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84" t="str">
        <f t="shared" si="0"/>
        <v>9A</v>
      </c>
      <c r="S47" s="84" t="s">
        <v>5</v>
      </c>
      <c r="T47" s="55" t="str">
        <f t="shared" si="1"/>
        <v>aa 00 03 73 00 24 9A 55</v>
      </c>
      <c r="U47" s="489" t="s">
        <v>787</v>
      </c>
      <c r="V47" s="490"/>
      <c r="W47" s="490"/>
      <c r="X47" s="490"/>
      <c r="Y47" s="490"/>
      <c r="Z47" s="490"/>
      <c r="AA47" s="490"/>
      <c r="AB47" s="491"/>
    </row>
    <row r="48" spans="2:28" x14ac:dyDescent="0.25">
      <c r="B48" s="84" t="s">
        <v>0</v>
      </c>
      <c r="C48" s="75" t="s">
        <v>1</v>
      </c>
      <c r="D48" s="75" t="s">
        <v>8</v>
      </c>
      <c r="E48" s="76" t="s">
        <v>479</v>
      </c>
      <c r="F48" s="76" t="s">
        <v>1</v>
      </c>
      <c r="G48" s="76" t="s">
        <v>172</v>
      </c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84" t="str">
        <f t="shared" ref="R48" si="4">DEC2HEX(MOD(HEX2DEC(C48)+HEX2DEC(D48)+HEX2DEC(E48)+HEX2DEC(F48)+HEX2DEC(G48)+HEX2DEC(H48)+HEX2DEC(I48)+HEX2DEC(J48)+HEX2DEC(K48)+HEX2DEC(L48)+HEX2DEC(M48)+HEX2DEC(N48)+HEX2DEC(O48)+HEX2DEC(P48)+HEX2DEC(Q48),256),2)</f>
        <v>9B</v>
      </c>
      <c r="S48" s="84" t="s">
        <v>5</v>
      </c>
      <c r="T48" s="55" t="str">
        <f t="shared" ref="T48" si="5">IF(ISBLANK(B48),,B48&amp;" ")&amp;IF(ISBLANK(C48),,C48&amp;" ")&amp;IF(ISBLANK(D48),,D48&amp;" ")&amp;IF(ISBLANK(E48),,E48&amp;" ")&amp;IF(ISBLANK(F48),,F48&amp;" ")&amp;IF(ISBLANK(G48),,G48&amp;" ")&amp;IF(ISBLANK(H48),,H48&amp;" ")&amp;IF(ISBLANK(I48),,I48&amp;" ")&amp;IF(ISBLANK(J48),,J48&amp;" ")&amp;IF(ISBLANK(K48),,K48&amp;" ")&amp;IF(ISBLANK(L48),,L48&amp;" ")&amp;IF(ISBLANK(M48),,M48&amp;" ")&amp;IF(ISBLANK(N48),,N48&amp;" ")&amp;IF(ISBLANK(O48),,O48&amp;" ")&amp;IF(ISBLANK(P48),,P48&amp;" ")&amp;IF(ISBLANK(Q48),,Q48&amp;" ")&amp;IF(ISBLANK(R48),,R48&amp;" ")&amp;IF(ISBLANK(S48),,S48)</f>
        <v>aa 00 03 73 00 25 9B 55</v>
      </c>
      <c r="U48" s="489" t="s">
        <v>788</v>
      </c>
      <c r="V48" s="490"/>
      <c r="W48" s="490"/>
      <c r="X48" s="490"/>
      <c r="Y48" s="490"/>
      <c r="Z48" s="490"/>
      <c r="AA48" s="490"/>
      <c r="AB48" s="491"/>
    </row>
    <row r="49" spans="2:28" x14ac:dyDescent="0.25">
      <c r="B49" s="431" t="s">
        <v>775</v>
      </c>
      <c r="C49" s="431"/>
      <c r="D49" s="431"/>
      <c r="E49" s="431"/>
      <c r="F49" s="431"/>
      <c r="G49" s="431"/>
      <c r="H49" s="431"/>
      <c r="I49" s="431"/>
      <c r="J49" s="431"/>
      <c r="K49" s="431"/>
      <c r="L49" s="431"/>
      <c r="M49" s="431"/>
      <c r="N49" s="431"/>
      <c r="O49" s="431"/>
      <c r="P49" s="431"/>
      <c r="Q49" s="431"/>
      <c r="R49" s="431"/>
      <c r="S49" s="431"/>
      <c r="T49" s="431"/>
      <c r="U49" s="431"/>
      <c r="V49" s="431"/>
      <c r="W49" s="431"/>
      <c r="X49" s="431"/>
      <c r="Y49" s="431"/>
      <c r="Z49" s="431"/>
      <c r="AA49" s="431"/>
      <c r="AB49" s="431"/>
    </row>
    <row r="50" spans="2:28" x14ac:dyDescent="0.25">
      <c r="B50" s="431"/>
      <c r="C50" s="431"/>
      <c r="D50" s="431"/>
      <c r="E50" s="431"/>
      <c r="F50" s="431"/>
      <c r="G50" s="431"/>
      <c r="H50" s="431"/>
      <c r="I50" s="431"/>
      <c r="J50" s="431"/>
      <c r="K50" s="431"/>
      <c r="L50" s="431"/>
      <c r="M50" s="431"/>
      <c r="N50" s="431"/>
      <c r="O50" s="431"/>
      <c r="P50" s="431"/>
      <c r="Q50" s="431"/>
      <c r="R50" s="431"/>
      <c r="S50" s="431"/>
      <c r="T50" s="431"/>
      <c r="U50" s="431"/>
      <c r="V50" s="431"/>
      <c r="W50" s="431"/>
      <c r="X50" s="431"/>
      <c r="Y50" s="431"/>
      <c r="Z50" s="431"/>
      <c r="AA50" s="431"/>
      <c r="AB50" s="431"/>
    </row>
    <row r="51" spans="2:28" x14ac:dyDescent="0.25">
      <c r="B51" s="388" t="s">
        <v>275</v>
      </c>
      <c r="C51" s="388"/>
      <c r="D51" s="388"/>
      <c r="E51" s="388"/>
      <c r="F51" s="388"/>
      <c r="G51" s="388"/>
      <c r="H51" s="388"/>
      <c r="I51" s="388"/>
      <c r="J51" s="388"/>
      <c r="K51" s="388"/>
      <c r="L51" s="388"/>
      <c r="M51" s="388"/>
      <c r="N51" s="388"/>
      <c r="O51" s="388"/>
      <c r="P51" s="388"/>
      <c r="Q51" s="388"/>
      <c r="R51" s="388"/>
      <c r="S51" s="388"/>
      <c r="T51" s="314" t="s">
        <v>266</v>
      </c>
      <c r="U51" s="388" t="s">
        <v>267</v>
      </c>
      <c r="V51" s="388"/>
      <c r="W51" s="388"/>
      <c r="X51" s="388"/>
      <c r="Y51" s="388" t="s">
        <v>268</v>
      </c>
      <c r="Z51" s="388"/>
      <c r="AA51" s="388"/>
      <c r="AB51" s="388"/>
    </row>
    <row r="52" spans="2:28" ht="16.8" x14ac:dyDescent="0.25">
      <c r="B52" s="86" t="s">
        <v>77</v>
      </c>
      <c r="C52" s="315" t="s">
        <v>78</v>
      </c>
      <c r="D52" s="315" t="s">
        <v>10</v>
      </c>
      <c r="E52" s="315" t="s">
        <v>79</v>
      </c>
      <c r="F52" s="315" t="s">
        <v>80</v>
      </c>
      <c r="G52" s="315" t="s">
        <v>11</v>
      </c>
      <c r="H52" s="424" t="s">
        <v>83</v>
      </c>
      <c r="I52" s="424"/>
      <c r="J52" s="424"/>
      <c r="K52" s="424"/>
      <c r="L52" s="424"/>
      <c r="M52" s="424"/>
      <c r="N52" s="424"/>
      <c r="O52" s="424"/>
      <c r="P52" s="424"/>
      <c r="Q52" s="424"/>
      <c r="R52" s="83" t="s">
        <v>81</v>
      </c>
      <c r="S52" s="83" t="s">
        <v>82</v>
      </c>
      <c r="T52" s="51" t="s">
        <v>276</v>
      </c>
      <c r="U52" s="45" t="s">
        <v>418</v>
      </c>
      <c r="V52" s="45" t="s">
        <v>419</v>
      </c>
      <c r="W52" s="435" t="s">
        <v>6</v>
      </c>
      <c r="X52" s="435"/>
      <c r="Y52" s="435"/>
      <c r="Z52" s="435"/>
      <c r="AA52" s="435"/>
      <c r="AB52" s="435"/>
    </row>
    <row r="53" spans="2:28" x14ac:dyDescent="0.25">
      <c r="B53" s="84" t="s">
        <v>0</v>
      </c>
      <c r="C53" s="75" t="s">
        <v>1</v>
      </c>
      <c r="D53" s="75" t="s">
        <v>8</v>
      </c>
      <c r="E53" s="76" t="s">
        <v>479</v>
      </c>
      <c r="F53" s="76" t="s">
        <v>1</v>
      </c>
      <c r="G53" s="76" t="s">
        <v>777</v>
      </c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84" t="str">
        <f>DEC2HEX(MOD(HEX2DEC(C53)+HEX2DEC(D53)+HEX2DEC(E53)+HEX2DEC(F53)+HEX2DEC(G53)+HEX2DEC(H53)+HEX2DEC(I53)+HEX2DEC(J53)+HEX2DEC(K53)+HEX2DEC(L53)+HEX2DEC(M53)+HEX2DEC(N53)+HEX2DEC(Q53),256),2)</f>
        <v>A1</v>
      </c>
      <c r="S53" s="84" t="s">
        <v>5</v>
      </c>
      <c r="T53" s="55" t="str">
        <f>IF(ISBLANK(B53),,B53&amp;" ")&amp;IF(ISBLANK(C53),,C53&amp;" ")&amp;IF(ISBLANK(D53),,D53&amp;" ")&amp;IF(ISBLANK(E53),,E53&amp;" ")&amp;IF(ISBLANK(F53),,F53&amp;" ")&amp;IF(ISBLANK(G53),,G53&amp;" ")&amp;IF(ISBLANK(H53),,H53&amp;" ")&amp;IF(ISBLANK(I53),,I53&amp;" ")&amp;IF(ISBLANK(J53),,J53&amp;" ")&amp;IF(ISBLANK(K53),,K53&amp;" ")&amp;IF(ISBLANK(L53),,L53&amp;" ")&amp;IF(ISBLANK(M53),,M53&amp;" ")&amp;IF(ISBLANK(N53),,N53&amp;" ")&amp;IF(ISBLANK(Q53),,Q53&amp;" ")&amp;IF(ISBLANK(R53),,R53&amp;" ")&amp;IF(ISBLANK(S53),,S53)</f>
        <v>aa 00 03 73 00 2b A1 55</v>
      </c>
      <c r="U53" s="492" t="s">
        <v>779</v>
      </c>
      <c r="V53" s="492"/>
      <c r="W53" s="492"/>
      <c r="X53" s="492"/>
      <c r="Y53" s="492"/>
      <c r="Z53" s="492"/>
      <c r="AA53" s="492"/>
      <c r="AB53" s="492"/>
    </row>
    <row r="54" spans="2:28" x14ac:dyDescent="0.25">
      <c r="B54" s="84" t="s">
        <v>0</v>
      </c>
      <c r="C54" s="75" t="s">
        <v>1</v>
      </c>
      <c r="D54" s="75" t="s">
        <v>8</v>
      </c>
      <c r="E54" s="76" t="s">
        <v>479</v>
      </c>
      <c r="F54" s="76" t="s">
        <v>1</v>
      </c>
      <c r="G54" s="76" t="s">
        <v>778</v>
      </c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84" t="str">
        <f>DEC2HEX(MOD(HEX2DEC(C54)+HEX2DEC(D54)+HEX2DEC(E54)+HEX2DEC(F54)+HEX2DEC(G54)+HEX2DEC(H54)+HEX2DEC(I54)+HEX2DEC(J54)+HEX2DEC(K54)+HEX2DEC(L54)+HEX2DEC(M54)+HEX2DEC(N54)+HEX2DEC(Q54),256),2)</f>
        <v>A2</v>
      </c>
      <c r="S54" s="84" t="s">
        <v>5</v>
      </c>
      <c r="T54" s="55" t="str">
        <f>IF(ISBLANK(B54),,B54&amp;" ")&amp;IF(ISBLANK(C54),,C54&amp;" ")&amp;IF(ISBLANK(D54),,D54&amp;" ")&amp;IF(ISBLANK(E54),,E54&amp;" ")&amp;IF(ISBLANK(F54),,F54&amp;" ")&amp;IF(ISBLANK(G54),,G54&amp;" ")&amp;IF(ISBLANK(H54),,H54&amp;" ")&amp;IF(ISBLANK(I54),,I54&amp;" ")&amp;IF(ISBLANK(J54),,J54&amp;" ")&amp;IF(ISBLANK(K54),,K54&amp;" ")&amp;IF(ISBLANK(L54),,L54&amp;" ")&amp;IF(ISBLANK(M54),,M54&amp;" ")&amp;IF(ISBLANK(N54),,N54&amp;" ")&amp;IF(ISBLANK(Q54),,Q54&amp;" ")&amp;IF(ISBLANK(R54),,R54&amp;" ")&amp;IF(ISBLANK(S54),,S54)</f>
        <v>aa 00 03 73 00 2c A2 55</v>
      </c>
      <c r="U54" s="492" t="s">
        <v>789</v>
      </c>
      <c r="V54" s="492"/>
      <c r="W54" s="492"/>
      <c r="X54" s="492"/>
      <c r="Y54" s="492"/>
      <c r="Z54" s="492"/>
      <c r="AA54" s="492"/>
      <c r="AB54" s="492"/>
    </row>
    <row r="55" spans="2:28" x14ac:dyDescent="0.25">
      <c r="B55" s="84" t="s">
        <v>0</v>
      </c>
      <c r="C55" s="75" t="s">
        <v>1</v>
      </c>
      <c r="D55" s="75" t="s">
        <v>8</v>
      </c>
      <c r="E55" s="76" t="s">
        <v>479</v>
      </c>
      <c r="F55" s="76" t="s">
        <v>1</v>
      </c>
      <c r="G55" s="76" t="s">
        <v>781</v>
      </c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84" t="str">
        <f t="shared" ref="R55" si="6">DEC2HEX(MOD(HEX2DEC(C55)+HEX2DEC(D55)+HEX2DEC(E55)+HEX2DEC(F55)+HEX2DEC(G55)+HEX2DEC(H55)+HEX2DEC(I55)+HEX2DEC(J55)+HEX2DEC(K55)+HEX2DEC(L55)+HEX2DEC(M55)+HEX2DEC(N55)+HEX2DEC(O55)+HEX2DEC(P55)+HEX2DEC(Q55),256),2)</f>
        <v>8E</v>
      </c>
      <c r="S55" s="84" t="s">
        <v>5</v>
      </c>
      <c r="T55" s="55" t="str">
        <f t="shared" ref="T55" si="7">IF(ISBLANK(B55),,B55&amp;" ")&amp;IF(ISBLANK(C55),,C55&amp;" ")&amp;IF(ISBLANK(D55),,D55&amp;" ")&amp;IF(ISBLANK(E55),,E55&amp;" ")&amp;IF(ISBLANK(F55),,F55&amp;" ")&amp;IF(ISBLANK(G55),,G55&amp;" ")&amp;IF(ISBLANK(H55),,H55&amp;" ")&amp;IF(ISBLANK(I55),,I55&amp;" ")&amp;IF(ISBLANK(J55),,J55&amp;" ")&amp;IF(ISBLANK(K55),,K55&amp;" ")&amp;IF(ISBLANK(L55),,L55&amp;" ")&amp;IF(ISBLANK(M55),,M55&amp;" ")&amp;IF(ISBLANK(N55),,N55&amp;" ")&amp;IF(ISBLANK(O55),,O55&amp;" ")&amp;IF(ISBLANK(P55),,P55&amp;" ")&amp;IF(ISBLANK(Q55),,Q55&amp;" ")&amp;IF(ISBLANK(R55),,R55&amp;" ")&amp;IF(ISBLANK(S55),,S55)</f>
        <v>aa 00 03 73 00 18 8E 55</v>
      </c>
      <c r="U55" s="489" t="s">
        <v>780</v>
      </c>
      <c r="V55" s="490"/>
      <c r="W55" s="490"/>
      <c r="X55" s="490"/>
      <c r="Y55" s="490"/>
      <c r="Z55" s="490"/>
      <c r="AA55" s="490"/>
      <c r="AB55" s="491"/>
    </row>
    <row r="57" spans="2:28" x14ac:dyDescent="0.25">
      <c r="B57" s="431" t="s">
        <v>490</v>
      </c>
      <c r="C57" s="431"/>
      <c r="D57" s="431"/>
      <c r="E57" s="431"/>
      <c r="F57" s="431"/>
      <c r="G57" s="431"/>
      <c r="H57" s="431"/>
      <c r="I57" s="431"/>
      <c r="J57" s="431"/>
      <c r="K57" s="431"/>
      <c r="L57" s="431"/>
      <c r="M57" s="431"/>
      <c r="N57" s="431"/>
      <c r="O57" s="431"/>
      <c r="P57" s="431"/>
      <c r="Q57" s="431"/>
      <c r="R57" s="431"/>
      <c r="S57" s="431"/>
      <c r="T57" s="431"/>
      <c r="U57" s="431"/>
      <c r="V57" s="431"/>
      <c r="W57" s="431"/>
      <c r="X57" s="431"/>
      <c r="Y57" s="431"/>
      <c r="Z57" s="431"/>
      <c r="AA57" s="431"/>
      <c r="AB57" s="431"/>
    </row>
    <row r="58" spans="2:28" x14ac:dyDescent="0.25">
      <c r="B58" s="431"/>
      <c r="C58" s="431"/>
      <c r="D58" s="431"/>
      <c r="E58" s="431"/>
      <c r="F58" s="431"/>
      <c r="G58" s="431"/>
      <c r="H58" s="431"/>
      <c r="I58" s="431"/>
      <c r="J58" s="431"/>
      <c r="K58" s="431"/>
      <c r="L58" s="431"/>
      <c r="M58" s="431"/>
      <c r="N58" s="431"/>
      <c r="O58" s="431"/>
      <c r="P58" s="431"/>
      <c r="Q58" s="431"/>
      <c r="R58" s="431"/>
      <c r="S58" s="431"/>
      <c r="T58" s="431"/>
      <c r="U58" s="431"/>
      <c r="V58" s="431"/>
      <c r="W58" s="431"/>
      <c r="X58" s="431"/>
      <c r="Y58" s="431"/>
      <c r="Z58" s="431"/>
      <c r="AA58" s="431"/>
      <c r="AB58" s="431"/>
    </row>
    <row r="59" spans="2:28" x14ac:dyDescent="0.25">
      <c r="B59" s="388" t="s">
        <v>275</v>
      </c>
      <c r="C59" s="388"/>
      <c r="D59" s="388"/>
      <c r="E59" s="388"/>
      <c r="F59" s="388"/>
      <c r="G59" s="388"/>
      <c r="H59" s="388"/>
      <c r="I59" s="388"/>
      <c r="J59" s="388"/>
      <c r="K59" s="388"/>
      <c r="L59" s="388"/>
      <c r="M59" s="388"/>
      <c r="N59" s="388"/>
      <c r="O59" s="388"/>
      <c r="P59" s="388"/>
      <c r="Q59" s="388"/>
      <c r="R59" s="388"/>
      <c r="S59" s="388"/>
      <c r="T59" s="238" t="s">
        <v>266</v>
      </c>
      <c r="U59" s="389" t="s">
        <v>268</v>
      </c>
      <c r="V59" s="390"/>
      <c r="W59" s="390"/>
      <c r="X59" s="390"/>
      <c r="Y59" s="390"/>
      <c r="Z59" s="390"/>
      <c r="AA59" s="390"/>
      <c r="AB59" s="391"/>
    </row>
    <row r="60" spans="2:28" ht="16.8" x14ac:dyDescent="0.25">
      <c r="B60" s="86" t="s">
        <v>77</v>
      </c>
      <c r="C60" s="239" t="s">
        <v>78</v>
      </c>
      <c r="D60" s="239" t="s">
        <v>10</v>
      </c>
      <c r="E60" s="239" t="s">
        <v>79</v>
      </c>
      <c r="F60" s="239" t="s">
        <v>80</v>
      </c>
      <c r="G60" s="239" t="s">
        <v>11</v>
      </c>
      <c r="H60" s="424" t="s">
        <v>83</v>
      </c>
      <c r="I60" s="424"/>
      <c r="J60" s="424"/>
      <c r="K60" s="424"/>
      <c r="L60" s="424"/>
      <c r="M60" s="424"/>
      <c r="N60" s="424"/>
      <c r="O60" s="424"/>
      <c r="P60" s="424"/>
      <c r="Q60" s="424"/>
      <c r="R60" s="83" t="s">
        <v>81</v>
      </c>
      <c r="S60" s="83" t="s">
        <v>82</v>
      </c>
      <c r="T60" s="51" t="s">
        <v>276</v>
      </c>
      <c r="U60" s="500" t="s">
        <v>6</v>
      </c>
      <c r="V60" s="500"/>
      <c r="W60" s="500"/>
      <c r="X60" s="500"/>
      <c r="Y60" s="500"/>
      <c r="Z60" s="500"/>
      <c r="AA60" s="500"/>
      <c r="AB60" s="500"/>
    </row>
    <row r="61" spans="2:28" x14ac:dyDescent="0.25">
      <c r="B61" s="84" t="s">
        <v>0</v>
      </c>
      <c r="C61" s="75" t="s">
        <v>1</v>
      </c>
      <c r="D61" s="75" t="s">
        <v>8</v>
      </c>
      <c r="E61" s="76" t="s">
        <v>28</v>
      </c>
      <c r="F61" s="76" t="s">
        <v>1</v>
      </c>
      <c r="G61" s="76" t="s">
        <v>3</v>
      </c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84" t="str">
        <f t="shared" ref="R61" si="8">DEC2HEX(MOD(HEX2DEC(C61)+HEX2DEC(D61)+HEX2DEC(E61)+HEX2DEC(F61)+HEX2DEC(G61)+HEX2DEC(H61)+HEX2DEC(I61)+HEX2DEC(J61)+HEX2DEC(K61)+HEX2DEC(L61)+HEX2DEC(M61)+HEX2DEC(N61)+HEX2DEC(O61)+HEX2DEC(P61)+HEX2DEC(Q61),256),2)</f>
        <v>35</v>
      </c>
      <c r="S61" s="84" t="s">
        <v>5</v>
      </c>
      <c r="T61" s="55" t="str">
        <f t="shared" ref="T61:T71" si="9">IF(ISBLANK(B61),,B61&amp;" ")&amp;IF(ISBLANK(C61),,C61&amp;" ")&amp;IF(ISBLANK(D61),,D61&amp;" ")&amp;IF(ISBLANK(E61),,E61&amp;" ")&amp;IF(ISBLANK(F61),,F61&amp;" ")&amp;IF(ISBLANK(G61),,G61&amp;" ")&amp;IF(ISBLANK(H61),,H61&amp;" ")&amp;IF(ISBLANK(I61),,I61&amp;" ")&amp;IF(ISBLANK(J61),,J61&amp;" ")&amp;IF(ISBLANK(K61),,K61&amp;" ")&amp;IF(ISBLANK(L61),,L61&amp;" ")&amp;IF(ISBLANK(M61),,M61&amp;" ")&amp;IF(ISBLANK(N61),,N61&amp;" ")&amp;IF(ISBLANK(O61),,O61&amp;" ")&amp;IF(ISBLANK(P61),,P61&amp;" ")&amp;IF(ISBLANK(Q61),,Q61&amp;" ")&amp;IF(ISBLANK(R61),,R61&amp;" ")&amp;IF(ISBLANK(S61),,S61)</f>
        <v>aa 00 03 11 00 21 35 55</v>
      </c>
      <c r="U61" s="493" t="s">
        <v>663</v>
      </c>
      <c r="V61" s="493"/>
      <c r="W61" s="493"/>
      <c r="X61" s="493"/>
      <c r="Y61" s="493"/>
      <c r="Z61" s="493"/>
      <c r="AA61" s="493"/>
      <c r="AB61" s="493"/>
    </row>
    <row r="62" spans="2:28" x14ac:dyDescent="0.25">
      <c r="B62" s="84" t="s">
        <v>0</v>
      </c>
      <c r="C62" s="75" t="s">
        <v>1</v>
      </c>
      <c r="D62" s="75" t="s">
        <v>8</v>
      </c>
      <c r="E62" s="76" t="s">
        <v>28</v>
      </c>
      <c r="F62" s="76" t="s">
        <v>1</v>
      </c>
      <c r="G62" s="76" t="s">
        <v>56</v>
      </c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84" t="str">
        <f t="shared" ref="R62:R71" si="10">DEC2HEX(MOD(HEX2DEC(C62)+HEX2DEC(D62)+HEX2DEC(E62)+HEX2DEC(F62)+HEX2DEC(G62)+HEX2DEC(H62)+HEX2DEC(I62)+HEX2DEC(J62)+HEX2DEC(K62)+HEX2DEC(L62)+HEX2DEC(M62)+HEX2DEC(N62)+HEX2DEC(O62)+HEX2DEC(P62)+HEX2DEC(Q62),256),2)</f>
        <v>36</v>
      </c>
      <c r="S62" s="84" t="s">
        <v>5</v>
      </c>
      <c r="T62" s="55" t="str">
        <f t="shared" si="9"/>
        <v>aa 00 03 11 00 22 36 55</v>
      </c>
      <c r="U62" s="493" t="s">
        <v>650</v>
      </c>
      <c r="V62" s="493"/>
      <c r="W62" s="493"/>
      <c r="X62" s="493"/>
      <c r="Y62" s="493"/>
      <c r="Z62" s="493"/>
      <c r="AA62" s="493"/>
      <c r="AB62" s="493"/>
    </row>
    <row r="64" spans="2:28" x14ac:dyDescent="0.25">
      <c r="B64" s="84" t="s">
        <v>0</v>
      </c>
      <c r="C64" s="75" t="s">
        <v>1</v>
      </c>
      <c r="D64" s="75" t="str">
        <f>DEC2HEX( COUNTA(E64:Q64),2)</f>
        <v>06</v>
      </c>
      <c r="E64" s="76" t="s">
        <v>28</v>
      </c>
      <c r="F64" s="76" t="s">
        <v>1</v>
      </c>
      <c r="G64" s="113" t="s">
        <v>1</v>
      </c>
      <c r="H64" s="310" t="s">
        <v>4</v>
      </c>
      <c r="I64" s="310" t="s">
        <v>4</v>
      </c>
      <c r="J64" s="310" t="s">
        <v>1</v>
      </c>
      <c r="K64" s="310"/>
      <c r="L64" s="310"/>
      <c r="M64" s="310"/>
      <c r="N64" s="310"/>
      <c r="O64" s="310"/>
      <c r="P64" s="310"/>
      <c r="Q64" s="310"/>
      <c r="R64" s="84" t="str">
        <f t="shared" ref="R64" si="11">DEC2HEX(MOD(HEX2DEC(C64)+HEX2DEC(D64)+HEX2DEC(E64)+HEX2DEC(F64)+HEX2DEC(G64)+HEX2DEC(H64)+HEX2DEC(I64)+HEX2DEC(J64)+HEX2DEC(K64)+HEX2DEC(L64)+HEX2DEC(M64)+HEX2DEC(N64)+HEX2DEC(O64)+HEX2DEC(P64)+HEX2DEC(Q64),256),2)</f>
        <v>19</v>
      </c>
      <c r="S64" s="84" t="s">
        <v>5</v>
      </c>
      <c r="T64" s="55" t="str">
        <f t="shared" ref="T64" si="12">IF(ISBLANK(B64),,B64&amp;" ")&amp;IF(ISBLANK(C64),,C64&amp;" ")&amp;IF(ISBLANK(D64),,D64&amp;" ")&amp;IF(ISBLANK(E64),,E64&amp;" ")&amp;IF(ISBLANK(F64),,F64&amp;" ")&amp;IF(ISBLANK(G64),,G64&amp;" ")&amp;IF(ISBLANK(H64),,H64&amp;" ")&amp;IF(ISBLANK(I64),,I64&amp;" ")&amp;IF(ISBLANK(J64),,J64&amp;" ")&amp;IF(ISBLANK(K64),,K64&amp;" ")&amp;IF(ISBLANK(L64),,L64&amp;" ")&amp;IF(ISBLANK(M64),,M64&amp;" ")&amp;IF(ISBLANK(N64),,N64&amp;" ")&amp;IF(ISBLANK(O64),,O64&amp;" ")&amp;IF(ISBLANK(P64),,P64&amp;" ")&amp;IF(ISBLANK(Q64),,Q64&amp;" ")&amp;IF(ISBLANK(R64),,R64&amp;" ")&amp;IF(ISBLANK(S64),,S64)</f>
        <v>aa 00 06 11 00 00 01 01 00 19 55</v>
      </c>
      <c r="U64" s="170"/>
      <c r="V64" s="171"/>
      <c r="W64" s="501" t="s">
        <v>770</v>
      </c>
      <c r="X64" s="502"/>
      <c r="Y64" s="502"/>
      <c r="Z64" s="502"/>
      <c r="AA64" s="502"/>
      <c r="AB64" s="502"/>
    </row>
    <row r="65" spans="2:28" x14ac:dyDescent="0.25">
      <c r="B65" s="84" t="s">
        <v>0</v>
      </c>
      <c r="C65" s="75" t="s">
        <v>1</v>
      </c>
      <c r="D65" s="75" t="str">
        <f>DEC2HEX( COUNTA(E65:Q65),2)</f>
        <v>06</v>
      </c>
      <c r="E65" s="76" t="s">
        <v>28</v>
      </c>
      <c r="F65" s="76" t="s">
        <v>1</v>
      </c>
      <c r="G65" s="113" t="s">
        <v>23</v>
      </c>
      <c r="H65" s="241" t="s">
        <v>612</v>
      </c>
      <c r="I65" s="241" t="s">
        <v>612</v>
      </c>
      <c r="J65" s="311" t="s">
        <v>772</v>
      </c>
      <c r="K65" s="241"/>
      <c r="L65" s="241"/>
      <c r="M65" s="241"/>
      <c r="N65" s="241"/>
      <c r="O65" s="241"/>
      <c r="P65" s="241"/>
      <c r="Q65" s="241"/>
      <c r="R65" s="84" t="str">
        <f t="shared" si="10"/>
        <v>1C</v>
      </c>
      <c r="S65" s="84" t="s">
        <v>5</v>
      </c>
      <c r="T65" s="55" t="str">
        <f t="shared" si="9"/>
        <v>aa 00 06 11 00 00 01 01 03 1C 55</v>
      </c>
      <c r="U65" s="170"/>
      <c r="V65" s="171"/>
      <c r="W65" s="501" t="s">
        <v>771</v>
      </c>
      <c r="X65" s="502"/>
      <c r="Y65" s="502"/>
      <c r="Z65" s="502"/>
      <c r="AA65" s="502"/>
      <c r="AB65" s="502"/>
    </row>
    <row r="66" spans="2:28" x14ac:dyDescent="0.25">
      <c r="B66" s="84" t="s">
        <v>0</v>
      </c>
      <c r="C66" s="75" t="s">
        <v>1</v>
      </c>
      <c r="D66" s="75" t="str">
        <f>DEC2HEX( COUNTA(E66:Q66),2)</f>
        <v>07</v>
      </c>
      <c r="E66" s="76" t="s">
        <v>28</v>
      </c>
      <c r="F66" s="76" t="s">
        <v>1</v>
      </c>
      <c r="G66" s="113" t="s">
        <v>1</v>
      </c>
      <c r="H66" s="316" t="s">
        <v>4</v>
      </c>
      <c r="I66" s="316" t="s">
        <v>4</v>
      </c>
      <c r="J66" s="316" t="s">
        <v>8</v>
      </c>
      <c r="K66" s="316" t="s">
        <v>774</v>
      </c>
      <c r="L66" s="316"/>
      <c r="M66" s="316"/>
      <c r="N66" s="316"/>
      <c r="O66" s="316"/>
      <c r="P66" s="316"/>
      <c r="Q66" s="316"/>
      <c r="R66" s="84" t="str">
        <f t="shared" ref="R66" si="13">DEC2HEX(MOD(HEX2DEC(C66)+HEX2DEC(D66)+HEX2DEC(E66)+HEX2DEC(F66)+HEX2DEC(G66)+HEX2DEC(H66)+HEX2DEC(I66)+HEX2DEC(J66)+HEX2DEC(K66)+HEX2DEC(L66)+HEX2DEC(M66)+HEX2DEC(N66)+HEX2DEC(O66)+HEX2DEC(P66)+HEX2DEC(Q66),256),2)</f>
        <v>1D</v>
      </c>
      <c r="S66" s="84" t="s">
        <v>5</v>
      </c>
      <c r="T66" s="55" t="str">
        <f t="shared" si="9"/>
        <v>aa 00 07 11 00 00 01 01 03 00 1D 55</v>
      </c>
      <c r="U66" s="317"/>
      <c r="V66" s="318"/>
      <c r="W66" s="503" t="s">
        <v>773</v>
      </c>
      <c r="X66" s="503"/>
      <c r="Y66" s="503"/>
      <c r="Z66" s="503"/>
      <c r="AA66" s="503"/>
      <c r="AB66" s="504"/>
    </row>
    <row r="67" spans="2:28" x14ac:dyDescent="0.25">
      <c r="B67" s="84" t="s">
        <v>0</v>
      </c>
      <c r="C67" s="75" t="s">
        <v>1</v>
      </c>
      <c r="D67" s="75" t="s">
        <v>8</v>
      </c>
      <c r="E67" s="76" t="s">
        <v>28</v>
      </c>
      <c r="F67" s="76" t="s">
        <v>1</v>
      </c>
      <c r="G67" s="76" t="s">
        <v>4</v>
      </c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84" t="str">
        <f t="shared" si="10"/>
        <v>15</v>
      </c>
      <c r="S67" s="84" t="s">
        <v>5</v>
      </c>
      <c r="T67" s="55" t="str">
        <f t="shared" si="9"/>
        <v>aa 00 03 11 00 01 15 55</v>
      </c>
      <c r="U67" s="506" t="s">
        <v>622</v>
      </c>
      <c r="V67" s="507"/>
      <c r="W67" s="507"/>
      <c r="X67" s="507"/>
      <c r="Y67" s="507"/>
      <c r="Z67" s="507"/>
      <c r="AA67" s="507"/>
      <c r="AB67" s="508"/>
    </row>
    <row r="68" spans="2:28" x14ac:dyDescent="0.25">
      <c r="B68" s="84" t="s">
        <v>0</v>
      </c>
      <c r="C68" s="75" t="s">
        <v>1</v>
      </c>
      <c r="D68" s="75" t="s">
        <v>8</v>
      </c>
      <c r="E68" s="76" t="s">
        <v>28</v>
      </c>
      <c r="F68" s="76" t="s">
        <v>1</v>
      </c>
      <c r="G68" s="76" t="s">
        <v>7</v>
      </c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84" t="str">
        <f t="shared" si="10"/>
        <v>16</v>
      </c>
      <c r="S68" s="84" t="s">
        <v>5</v>
      </c>
      <c r="T68" s="55" t="str">
        <f t="shared" si="9"/>
        <v>aa 00 03 11 00 02 16 55</v>
      </c>
      <c r="U68" s="489" t="s">
        <v>499</v>
      </c>
      <c r="V68" s="490"/>
      <c r="W68" s="490"/>
      <c r="X68" s="490"/>
      <c r="Y68" s="490"/>
      <c r="Z68" s="490"/>
      <c r="AA68" s="490"/>
      <c r="AB68" s="491"/>
    </row>
    <row r="69" spans="2:28" x14ac:dyDescent="0.25">
      <c r="B69" s="84" t="s">
        <v>0</v>
      </c>
      <c r="C69" s="75" t="s">
        <v>1</v>
      </c>
      <c r="D69" s="75" t="s">
        <v>8</v>
      </c>
      <c r="E69" s="76" t="s">
        <v>28</v>
      </c>
      <c r="F69" s="76" t="s">
        <v>1</v>
      </c>
      <c r="G69" s="76" t="s">
        <v>631</v>
      </c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84" t="str">
        <f t="shared" si="10"/>
        <v>17</v>
      </c>
      <c r="S69" s="84" t="s">
        <v>5</v>
      </c>
      <c r="T69" s="55" t="str">
        <f t="shared" si="9"/>
        <v>aa 00 03 11 00 03 17 55</v>
      </c>
      <c r="U69" s="489" t="s">
        <v>492</v>
      </c>
      <c r="V69" s="490"/>
      <c r="W69" s="490"/>
      <c r="X69" s="490"/>
      <c r="Y69" s="490"/>
      <c r="Z69" s="490"/>
      <c r="AA69" s="490"/>
      <c r="AB69" s="491"/>
    </row>
    <row r="70" spans="2:28" x14ac:dyDescent="0.25">
      <c r="B70" s="84" t="s">
        <v>0</v>
      </c>
      <c r="C70" s="75" t="s">
        <v>1</v>
      </c>
      <c r="D70" s="75" t="s">
        <v>8</v>
      </c>
      <c r="E70" s="76" t="s">
        <v>28</v>
      </c>
      <c r="F70" s="76" t="s">
        <v>1</v>
      </c>
      <c r="G70" s="76" t="s">
        <v>377</v>
      </c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84" t="str">
        <f t="shared" si="10"/>
        <v>27</v>
      </c>
      <c r="S70" s="84" t="s">
        <v>5</v>
      </c>
      <c r="T70" s="55" t="str">
        <f t="shared" si="9"/>
        <v>aa 00 03 11 00 13 27 55</v>
      </c>
      <c r="U70" s="489" t="s">
        <v>493</v>
      </c>
      <c r="V70" s="490"/>
      <c r="W70" s="490"/>
      <c r="X70" s="490"/>
      <c r="Y70" s="490"/>
      <c r="Z70" s="490"/>
      <c r="AA70" s="490"/>
      <c r="AB70" s="491"/>
    </row>
    <row r="71" spans="2:28" x14ac:dyDescent="0.25">
      <c r="B71" s="84" t="s">
        <v>254</v>
      </c>
      <c r="C71" s="75" t="s">
        <v>1</v>
      </c>
      <c r="D71" s="75" t="s">
        <v>8</v>
      </c>
      <c r="E71" s="76" t="s">
        <v>28</v>
      </c>
      <c r="F71" s="76" t="s">
        <v>1</v>
      </c>
      <c r="G71" s="76" t="s">
        <v>244</v>
      </c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84" t="str">
        <f t="shared" si="10"/>
        <v>28</v>
      </c>
      <c r="S71" s="84" t="s">
        <v>5</v>
      </c>
      <c r="T71" s="55" t="str">
        <f t="shared" si="9"/>
        <v>aa 00 03 11 00 14 28 55</v>
      </c>
      <c r="U71" s="489" t="s">
        <v>494</v>
      </c>
      <c r="V71" s="490"/>
      <c r="W71" s="490"/>
      <c r="X71" s="490"/>
      <c r="Y71" s="490"/>
      <c r="Z71" s="490"/>
      <c r="AA71" s="490"/>
      <c r="AB71" s="491"/>
    </row>
    <row r="72" spans="2:28" x14ac:dyDescent="0.25">
      <c r="B72" s="84" t="s">
        <v>254</v>
      </c>
      <c r="C72" s="75" t="s">
        <v>1</v>
      </c>
      <c r="D72" s="75" t="s">
        <v>8</v>
      </c>
      <c r="E72" s="76" t="s">
        <v>28</v>
      </c>
      <c r="F72" s="76" t="s">
        <v>1</v>
      </c>
      <c r="G72" s="76" t="s">
        <v>53</v>
      </c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84" t="str">
        <f t="shared" ref="R72" si="14">DEC2HEX(MOD(HEX2DEC(C72)+HEX2DEC(D72)+HEX2DEC(E72)+HEX2DEC(F72)+HEX2DEC(G72)+HEX2DEC(H72)+HEX2DEC(I72)+HEX2DEC(J72)+HEX2DEC(K72)+HEX2DEC(L72)+HEX2DEC(M72)+HEX2DEC(N72)+HEX2DEC(O72)+HEX2DEC(P72)+HEX2DEC(Q72),256),2)</f>
        <v>34</v>
      </c>
      <c r="S72" s="84" t="s">
        <v>5</v>
      </c>
      <c r="T72" s="55" t="str">
        <f>IF(ISBLANK(B72),,B72&amp;" ")&amp;IF(ISBLANK(C72),,C72&amp;" ")&amp;IF(ISBLANK(D72),,D72&amp;" ")&amp;IF(ISBLANK(E72),,E72&amp;" ")&amp;IF(ISBLANK(F72),,F72&amp;" ")&amp;IF(ISBLANK(G72),,G72&amp;" ")&amp;IF(ISBLANK(H72),,H72&amp;" ")&amp;IF(ISBLANK(I72),,I72&amp;" ")&amp;IF(ISBLANK(J72),,J72&amp;" ")&amp;IF(ISBLANK(K72),,K72&amp;" ")&amp;IF(ISBLANK(L72),,L72&amp;" ")&amp;IF(ISBLANK(M72),,M72&amp;" ")&amp;IF(ISBLANK(N72),,N72&amp;" ")&amp;IF(ISBLANK(O72),,O72&amp;" ")&amp;IF(ISBLANK(P72),,P72&amp;" ")&amp;IF(ISBLANK(Q72),,Q72&amp;" ")&amp;IF(ISBLANK(R72),,R72&amp;" ")&amp;IF(ISBLANK(S72),,S72)</f>
        <v>aa 00 03 11 00 20 34 55</v>
      </c>
      <c r="U72" s="489" t="s">
        <v>495</v>
      </c>
      <c r="V72" s="490"/>
      <c r="W72" s="490"/>
      <c r="X72" s="490"/>
      <c r="Y72" s="490"/>
      <c r="Z72" s="490"/>
      <c r="AA72" s="490"/>
      <c r="AB72" s="491"/>
    </row>
    <row r="73" spans="2:28" x14ac:dyDescent="0.25">
      <c r="B73" s="84"/>
      <c r="C73" s="75"/>
      <c r="D73" s="75"/>
      <c r="E73" s="76"/>
      <c r="F73" s="76"/>
      <c r="G73" s="76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84"/>
      <c r="S73" s="84"/>
      <c r="T73" s="55"/>
      <c r="U73" s="240"/>
      <c r="V73" s="240"/>
      <c r="W73" s="240"/>
      <c r="X73" s="240"/>
      <c r="Y73" s="240"/>
      <c r="Z73" s="240"/>
      <c r="AA73" s="240"/>
      <c r="AB73" s="240"/>
    </row>
    <row r="75" spans="2:28" x14ac:dyDescent="0.25">
      <c r="B75" s="84" t="s">
        <v>0</v>
      </c>
      <c r="C75" s="75" t="s">
        <v>1</v>
      </c>
      <c r="D75" s="75" t="str">
        <f t="shared" ref="D75" si="15">DEC2HEX( COUNTA(E75:Q75),2)</f>
        <v>03</v>
      </c>
      <c r="E75" s="76" t="s">
        <v>28</v>
      </c>
      <c r="F75" s="76" t="s">
        <v>1</v>
      </c>
      <c r="G75" s="76" t="s">
        <v>20</v>
      </c>
      <c r="H75" s="57"/>
      <c r="I75" s="57"/>
      <c r="J75" s="57"/>
      <c r="K75" s="57"/>
      <c r="L75" s="57"/>
      <c r="M75" s="57"/>
      <c r="N75" s="57"/>
      <c r="O75" s="57"/>
      <c r="P75" s="57"/>
      <c r="Q75" s="57"/>
      <c r="R75" s="84" t="str">
        <f t="shared" ref="R75" si="16">DEC2HEX(MOD(HEX2DEC(C75)+HEX2DEC(D75)+HEX2DEC(E75)+HEX2DEC(F75)+HEX2DEC(G75)+HEX2DEC(H75)+HEX2DEC(I75)+HEX2DEC(J75)+HEX2DEC(K75)+HEX2DEC(L75)+HEX2DEC(M75)+HEX2DEC(N75)+HEX2DEC(O75)+HEX2DEC(P75)+HEX2DEC(Q75),256),2)</f>
        <v>44</v>
      </c>
      <c r="S75" s="84" t="s">
        <v>5</v>
      </c>
      <c r="T75" s="55" t="str">
        <f t="shared" ref="T75:T86" si="17">IF(ISBLANK(B75),,B75&amp;" ")&amp;IF(ISBLANK(C75),,C75&amp;" ")&amp;IF(ISBLANK(D75),,D75&amp;" ")&amp;IF(ISBLANK(E75),,E75&amp;" ")&amp;IF(ISBLANK(F75),,F75&amp;" ")&amp;IF(ISBLANK(G75),,G75&amp;" ")&amp;IF(ISBLANK(H75),,H75&amp;" ")&amp;IF(ISBLANK(I75),,I75&amp;" ")&amp;IF(ISBLANK(J75),,J75&amp;" ")&amp;IF(ISBLANK(K75),,K75&amp;" ")&amp;IF(ISBLANK(L75),,L75&amp;" ")&amp;IF(ISBLANK(M75),,M75&amp;" ")&amp;IF(ISBLANK(N75),,N75&amp;" ")&amp;IF(ISBLANK(O75),,O75&amp;" ")&amp;IF(ISBLANK(P75),,P75&amp;" ")&amp;IF(ISBLANK(Q75),,Q75&amp;" ")&amp;IF(ISBLANK(R75),,R75&amp;" ")&amp;IF(ISBLANK(S75),,S75)</f>
        <v>aa 00 03 11 00 30 44 55</v>
      </c>
      <c r="U75" s="488" t="s">
        <v>502</v>
      </c>
      <c r="V75" s="488"/>
      <c r="W75" s="488"/>
      <c r="X75" s="488"/>
      <c r="Y75" s="488"/>
      <c r="Z75" s="488"/>
      <c r="AA75" s="488"/>
      <c r="AB75" s="488"/>
    </row>
    <row r="76" spans="2:28" x14ac:dyDescent="0.25">
      <c r="B76" s="84"/>
      <c r="C76" s="75"/>
      <c r="D76" s="75"/>
      <c r="E76" s="76"/>
      <c r="F76" s="76"/>
      <c r="G76" s="76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84"/>
      <c r="S76" s="84"/>
      <c r="T76" s="55"/>
      <c r="U76" s="488"/>
      <c r="V76" s="488"/>
      <c r="W76" s="488"/>
      <c r="X76" s="488"/>
      <c r="Y76" s="488"/>
      <c r="Z76" s="488"/>
      <c r="AA76" s="488"/>
      <c r="AB76" s="488"/>
    </row>
    <row r="77" spans="2:28" x14ac:dyDescent="0.25">
      <c r="B77" s="84"/>
      <c r="C77" s="75"/>
      <c r="D77" s="75"/>
      <c r="E77" s="76"/>
      <c r="F77" s="76"/>
      <c r="G77" s="76"/>
      <c r="H77" s="505"/>
      <c r="I77" s="505"/>
      <c r="J77" s="505"/>
      <c r="K77" s="505"/>
      <c r="L77" s="505"/>
      <c r="M77" s="505"/>
      <c r="N77" s="505"/>
      <c r="O77" s="505"/>
      <c r="P77" s="505"/>
      <c r="Q77" s="505"/>
      <c r="R77" s="84"/>
      <c r="S77" s="84"/>
      <c r="T77" s="55"/>
      <c r="U77" s="492"/>
      <c r="V77" s="492"/>
      <c r="W77" s="492"/>
      <c r="X77" s="492"/>
      <c r="Y77" s="492"/>
      <c r="Z77" s="492"/>
      <c r="AA77" s="492"/>
      <c r="AB77" s="492"/>
    </row>
    <row r="78" spans="2:28" x14ac:dyDescent="0.25">
      <c r="B78" s="84" t="s">
        <v>0</v>
      </c>
      <c r="C78" s="75" t="s">
        <v>1</v>
      </c>
      <c r="D78" s="75" t="str">
        <f t="shared" ref="D78:D79" si="18">DEC2HEX( COUNTA(E78:Q78),2)</f>
        <v>03</v>
      </c>
      <c r="E78" s="76" t="s">
        <v>28</v>
      </c>
      <c r="F78" s="76" t="s">
        <v>1</v>
      </c>
      <c r="G78" s="76" t="s">
        <v>615</v>
      </c>
      <c r="H78" s="57"/>
      <c r="I78" s="57"/>
      <c r="J78" s="57"/>
      <c r="K78" s="57"/>
      <c r="L78" s="57"/>
      <c r="M78" s="57"/>
      <c r="N78" s="57"/>
      <c r="O78" s="57"/>
      <c r="P78" s="57"/>
      <c r="Q78" s="57"/>
      <c r="R78" s="84" t="str">
        <f t="shared" ref="R78:R85" si="19">DEC2HEX(MOD(HEX2DEC(C78)+HEX2DEC(D78)+HEX2DEC(E78)+HEX2DEC(F78)+HEX2DEC(G78)+HEX2DEC(H78)+HEX2DEC(I78)+HEX2DEC(J78)+HEX2DEC(K78)+HEX2DEC(L78)+HEX2DEC(M78)+HEX2DEC(N78)+HEX2DEC(O78)+HEX2DEC(P78)+HEX2DEC(Q78),256),2)</f>
        <v>49</v>
      </c>
      <c r="S78" s="84" t="s">
        <v>5</v>
      </c>
      <c r="T78" s="55" t="str">
        <f t="shared" si="17"/>
        <v>aa 00 03 11 00 35 49 55</v>
      </c>
      <c r="U78" s="492" t="s">
        <v>614</v>
      </c>
      <c r="V78" s="492"/>
      <c r="W78" s="492"/>
      <c r="X78" s="492"/>
      <c r="Y78" s="492"/>
      <c r="Z78" s="492"/>
      <c r="AA78" s="492"/>
      <c r="AB78" s="492"/>
    </row>
    <row r="79" spans="2:28" x14ac:dyDescent="0.25">
      <c r="B79" s="84" t="s">
        <v>0</v>
      </c>
      <c r="C79" s="75" t="s">
        <v>1</v>
      </c>
      <c r="D79" s="75" t="str">
        <f t="shared" si="18"/>
        <v>03</v>
      </c>
      <c r="E79" s="76" t="s">
        <v>28</v>
      </c>
      <c r="F79" s="76" t="s">
        <v>1</v>
      </c>
      <c r="G79" s="76" t="s">
        <v>618</v>
      </c>
      <c r="H79" s="320"/>
      <c r="I79" s="57"/>
      <c r="J79" s="57"/>
      <c r="K79" s="57"/>
      <c r="L79" s="57"/>
      <c r="M79" s="57"/>
      <c r="N79" s="57"/>
      <c r="O79" s="57"/>
      <c r="P79" s="57"/>
      <c r="Q79" s="57"/>
      <c r="R79" s="84" t="str">
        <f t="shared" ref="R79" si="20">DEC2HEX(MOD(HEX2DEC(C79)+HEX2DEC(D79)+HEX2DEC(E79)+HEX2DEC(F79)+HEX2DEC(G79)+HEX2DEC(H79)+HEX2DEC(I79)+HEX2DEC(J79)+HEX2DEC(K79)+HEX2DEC(L79)+HEX2DEC(M79)+HEX2DEC(N79)+HEX2DEC(O79)+HEX2DEC(P79)+HEX2DEC(Q79),256),2)</f>
        <v>4A</v>
      </c>
      <c r="S79" s="84" t="s">
        <v>5</v>
      </c>
      <c r="T79" s="55" t="str">
        <f t="shared" ref="T79" si="21">IF(ISBLANK(B79),,B79&amp;" ")&amp;IF(ISBLANK(C79),,C79&amp;" ")&amp;IF(ISBLANK(D79),,D79&amp;" ")&amp;IF(ISBLANK(E79),,E79&amp;" ")&amp;IF(ISBLANK(F79),,F79&amp;" ")&amp;IF(ISBLANK(G79),,G79&amp;" ")&amp;IF(ISBLANK(H79),,H79&amp;" ")&amp;IF(ISBLANK(I79),,I79&amp;" ")&amp;IF(ISBLANK(J79),,J79&amp;" ")&amp;IF(ISBLANK(K79),,K79&amp;" ")&amp;IF(ISBLANK(L79),,L79&amp;" ")&amp;IF(ISBLANK(M79),,M79&amp;" ")&amp;IF(ISBLANK(N79),,N79&amp;" ")&amp;IF(ISBLANK(O79),,O79&amp;" ")&amp;IF(ISBLANK(P79),,P79&amp;" ")&amp;IF(ISBLANK(Q79),,Q79&amp;" ")&amp;IF(ISBLANK(R79),,R79&amp;" ")&amp;IF(ISBLANK(S79),,S79)</f>
        <v>aa 00 03 11 00 36 4A 55</v>
      </c>
      <c r="U79" s="488" t="s">
        <v>651</v>
      </c>
      <c r="V79" s="488"/>
      <c r="W79" s="488"/>
      <c r="X79" s="488"/>
      <c r="Y79" s="488"/>
      <c r="Z79" s="488"/>
      <c r="AA79" s="488"/>
      <c r="AB79" s="488"/>
    </row>
    <row r="80" spans="2:28" x14ac:dyDescent="0.25">
      <c r="B80" s="84" t="s">
        <v>0</v>
      </c>
      <c r="C80" s="75" t="s">
        <v>1</v>
      </c>
      <c r="D80" s="75" t="str">
        <f t="shared" ref="D80:D86" si="22">DEC2HEX( COUNTA(E80:Q80),2)</f>
        <v>04</v>
      </c>
      <c r="E80" s="76" t="s">
        <v>28</v>
      </c>
      <c r="F80" s="76" t="s">
        <v>1</v>
      </c>
      <c r="G80" s="76" t="s">
        <v>618</v>
      </c>
      <c r="H80" s="267" t="s">
        <v>619</v>
      </c>
      <c r="I80" s="57"/>
      <c r="J80" s="57"/>
      <c r="K80" s="57"/>
      <c r="L80" s="57"/>
      <c r="M80" s="57"/>
      <c r="N80" s="57"/>
      <c r="O80" s="57"/>
      <c r="P80" s="57"/>
      <c r="Q80" s="57"/>
      <c r="R80" s="84" t="str">
        <f t="shared" si="19"/>
        <v>4C</v>
      </c>
      <c r="S80" s="84" t="s">
        <v>5</v>
      </c>
      <c r="T80" s="55" t="str">
        <f t="shared" si="17"/>
        <v>aa 00 04 11 00 36 01 4C 55</v>
      </c>
      <c r="U80" s="488" t="s">
        <v>651</v>
      </c>
      <c r="V80" s="488"/>
      <c r="W80" s="488"/>
      <c r="X80" s="488"/>
      <c r="Y80" s="488"/>
      <c r="Z80" s="488"/>
      <c r="AA80" s="488"/>
      <c r="AB80" s="488"/>
    </row>
    <row r="81" spans="2:28" x14ac:dyDescent="0.25">
      <c r="B81" s="84" t="s">
        <v>0</v>
      </c>
      <c r="C81" s="75" t="s">
        <v>1</v>
      </c>
      <c r="D81" s="75" t="str">
        <f t="shared" si="22"/>
        <v>04</v>
      </c>
      <c r="E81" s="76" t="s">
        <v>28</v>
      </c>
      <c r="F81" s="76" t="s">
        <v>1</v>
      </c>
      <c r="G81" s="76" t="s">
        <v>618</v>
      </c>
      <c r="H81" s="267" t="s">
        <v>15</v>
      </c>
      <c r="I81" s="57"/>
      <c r="J81" s="57"/>
      <c r="K81" s="57"/>
      <c r="L81" s="57"/>
      <c r="M81" s="57"/>
      <c r="N81" s="57"/>
      <c r="O81" s="57"/>
      <c r="P81" s="57"/>
      <c r="Q81" s="57"/>
      <c r="R81" s="84" t="str">
        <f t="shared" si="19"/>
        <v>4D</v>
      </c>
      <c r="S81" s="84" t="s">
        <v>5</v>
      </c>
      <c r="T81" s="55" t="str">
        <f t="shared" si="17"/>
        <v>aa 00 04 11 00 36 02 4D 55</v>
      </c>
      <c r="U81" s="488" t="s">
        <v>664</v>
      </c>
      <c r="V81" s="488"/>
      <c r="W81" s="488"/>
      <c r="X81" s="488"/>
      <c r="Y81" s="488"/>
      <c r="Z81" s="488"/>
      <c r="AA81" s="488"/>
      <c r="AB81" s="488"/>
    </row>
    <row r="82" spans="2:28" x14ac:dyDescent="0.25">
      <c r="B82" s="84" t="s">
        <v>0</v>
      </c>
      <c r="C82" s="75" t="s">
        <v>1</v>
      </c>
      <c r="D82" s="75" t="str">
        <f t="shared" si="22"/>
        <v>04</v>
      </c>
      <c r="E82" s="76" t="s">
        <v>28</v>
      </c>
      <c r="F82" s="76" t="s">
        <v>1</v>
      </c>
      <c r="G82" s="76" t="s">
        <v>618</v>
      </c>
      <c r="H82" s="267" t="s">
        <v>13</v>
      </c>
      <c r="I82" s="57"/>
      <c r="J82" s="57"/>
      <c r="K82" s="57"/>
      <c r="L82" s="57"/>
      <c r="M82" s="57"/>
      <c r="N82" s="57"/>
      <c r="O82" s="57"/>
      <c r="P82" s="57"/>
      <c r="Q82" s="57"/>
      <c r="R82" s="84" t="str">
        <f t="shared" si="19"/>
        <v>4E</v>
      </c>
      <c r="S82" s="84" t="s">
        <v>5</v>
      </c>
      <c r="T82" s="55" t="str">
        <f t="shared" si="17"/>
        <v>aa 00 04 11 00 36 03 4E 55</v>
      </c>
      <c r="U82" s="488" t="s">
        <v>652</v>
      </c>
      <c r="V82" s="488"/>
      <c r="W82" s="488"/>
      <c r="X82" s="488"/>
      <c r="Y82" s="488"/>
      <c r="Z82" s="488"/>
      <c r="AA82" s="488"/>
      <c r="AB82" s="488"/>
    </row>
    <row r="83" spans="2:28" x14ac:dyDescent="0.25">
      <c r="B83" s="84" t="s">
        <v>0</v>
      </c>
      <c r="C83" s="75" t="s">
        <v>1</v>
      </c>
      <c r="D83" s="75" t="str">
        <f t="shared" si="22"/>
        <v>04</v>
      </c>
      <c r="E83" s="76" t="s">
        <v>28</v>
      </c>
      <c r="F83" s="76" t="s">
        <v>1</v>
      </c>
      <c r="G83" s="76" t="s">
        <v>618</v>
      </c>
      <c r="H83" s="267" t="s">
        <v>18</v>
      </c>
      <c r="I83" s="57"/>
      <c r="J83" s="57"/>
      <c r="K83" s="57"/>
      <c r="L83" s="57"/>
      <c r="M83" s="57"/>
      <c r="N83" s="57"/>
      <c r="O83" s="57"/>
      <c r="P83" s="57"/>
      <c r="Q83" s="57"/>
      <c r="R83" s="84" t="str">
        <f t="shared" si="19"/>
        <v>4F</v>
      </c>
      <c r="S83" s="84" t="s">
        <v>5</v>
      </c>
      <c r="T83" s="55" t="str">
        <f t="shared" si="17"/>
        <v>aa 00 04 11 00 36 04 4F 55</v>
      </c>
      <c r="U83" s="488" t="s">
        <v>653</v>
      </c>
      <c r="V83" s="488"/>
      <c r="W83" s="488"/>
      <c r="X83" s="488"/>
      <c r="Y83" s="488"/>
      <c r="Z83" s="488"/>
      <c r="AA83" s="488"/>
      <c r="AB83" s="488"/>
    </row>
    <row r="84" spans="2:28" x14ac:dyDescent="0.25">
      <c r="B84" s="84" t="s">
        <v>0</v>
      </c>
      <c r="C84" s="75" t="s">
        <v>1</v>
      </c>
      <c r="D84" s="75" t="str">
        <f t="shared" si="22"/>
        <v>04</v>
      </c>
      <c r="E84" s="76" t="s">
        <v>28</v>
      </c>
      <c r="F84" s="76" t="s">
        <v>1</v>
      </c>
      <c r="G84" s="76" t="s">
        <v>618</v>
      </c>
      <c r="H84" s="267" t="s">
        <v>122</v>
      </c>
      <c r="I84" s="57"/>
      <c r="J84" s="57"/>
      <c r="K84" s="57"/>
      <c r="L84" s="57"/>
      <c r="M84" s="57"/>
      <c r="N84" s="57"/>
      <c r="O84" s="57"/>
      <c r="P84" s="57"/>
      <c r="Q84" s="57"/>
      <c r="R84" s="84" t="str">
        <f t="shared" si="19"/>
        <v>50</v>
      </c>
      <c r="S84" s="84" t="s">
        <v>5</v>
      </c>
      <c r="T84" s="55" t="str">
        <f t="shared" si="17"/>
        <v>aa 00 04 11 00 36 05 50 55</v>
      </c>
      <c r="U84" s="488" t="s">
        <v>654</v>
      </c>
      <c r="V84" s="488"/>
      <c r="W84" s="488"/>
      <c r="X84" s="488"/>
      <c r="Y84" s="488"/>
      <c r="Z84" s="488"/>
      <c r="AA84" s="488"/>
      <c r="AB84" s="488"/>
    </row>
    <row r="85" spans="2:28" x14ac:dyDescent="0.25">
      <c r="B85" s="84" t="s">
        <v>0</v>
      </c>
      <c r="C85" s="75" t="s">
        <v>1</v>
      </c>
      <c r="D85" s="75" t="str">
        <f t="shared" si="22"/>
        <v>04</v>
      </c>
      <c r="E85" s="76" t="s">
        <v>28</v>
      </c>
      <c r="F85" s="76" t="s">
        <v>1</v>
      </c>
      <c r="G85" s="76" t="s">
        <v>618</v>
      </c>
      <c r="H85" s="267" t="s">
        <v>123</v>
      </c>
      <c r="I85" s="57"/>
      <c r="J85" s="57"/>
      <c r="K85" s="57"/>
      <c r="L85" s="57"/>
      <c r="M85" s="57"/>
      <c r="N85" s="57"/>
      <c r="O85" s="57"/>
      <c r="P85" s="57"/>
      <c r="Q85" s="57"/>
      <c r="R85" s="84" t="str">
        <f t="shared" si="19"/>
        <v>51</v>
      </c>
      <c r="S85" s="84" t="s">
        <v>5</v>
      </c>
      <c r="T85" s="55" t="str">
        <f t="shared" si="17"/>
        <v>aa 00 04 11 00 36 06 51 55</v>
      </c>
      <c r="U85" s="488" t="s">
        <v>655</v>
      </c>
      <c r="V85" s="488"/>
      <c r="W85" s="488"/>
      <c r="X85" s="488"/>
      <c r="Y85" s="488"/>
      <c r="Z85" s="488"/>
      <c r="AA85" s="488"/>
      <c r="AB85" s="488"/>
    </row>
    <row r="86" spans="2:28" x14ac:dyDescent="0.25">
      <c r="B86" s="84" t="s">
        <v>0</v>
      </c>
      <c r="C86" s="75" t="s">
        <v>1</v>
      </c>
      <c r="D86" s="75" t="str">
        <f t="shared" si="22"/>
        <v>04</v>
      </c>
      <c r="E86" s="76" t="s">
        <v>28</v>
      </c>
      <c r="F86" s="76" t="s">
        <v>1</v>
      </c>
      <c r="G86" s="76" t="s">
        <v>618</v>
      </c>
      <c r="H86" s="267" t="s">
        <v>124</v>
      </c>
      <c r="I86" s="57"/>
      <c r="J86" s="57"/>
      <c r="K86" s="57"/>
      <c r="L86" s="57"/>
      <c r="M86" s="57"/>
      <c r="N86" s="57"/>
      <c r="O86" s="57"/>
      <c r="P86" s="57"/>
      <c r="Q86" s="57"/>
      <c r="R86" s="84" t="str">
        <f>DEC2HEX(MOD(HEX2DEC(C86)+HEX2DEC(D86)+HEX2DEC(E86)+HEX2DEC(F86)+HEX2DEC(G86)+HEX2DEC(H86)+HEX2DEC(I86)+HEX2DEC(J86)+HEX2DEC(K86)+HEX2DEC(L86)+HEX2DEC(M86)+HEX2DEC(N86)+HEX2DEC(O86)+HEX2DEC(P86)+HEX2DEC(Q86),256),2)</f>
        <v>52</v>
      </c>
      <c r="S86" s="84" t="s">
        <v>5</v>
      </c>
      <c r="T86" s="55" t="str">
        <f t="shared" si="17"/>
        <v>aa 00 04 11 00 36 07 52 55</v>
      </c>
      <c r="U86" s="488" t="s">
        <v>656</v>
      </c>
      <c r="V86" s="488"/>
      <c r="W86" s="488"/>
      <c r="X86" s="488"/>
      <c r="Y86" s="488"/>
      <c r="Z86" s="488"/>
      <c r="AA86" s="488"/>
      <c r="AB86" s="488"/>
    </row>
    <row r="87" spans="2:28" x14ac:dyDescent="0.25">
      <c r="B87" s="84"/>
      <c r="C87" s="75"/>
      <c r="D87" s="75"/>
      <c r="E87" s="76"/>
      <c r="F87" s="76"/>
      <c r="G87" s="76"/>
      <c r="H87" s="277"/>
      <c r="I87" s="57"/>
      <c r="J87" s="57"/>
      <c r="K87" s="57"/>
      <c r="L87" s="57"/>
      <c r="M87" s="57"/>
      <c r="N87" s="57"/>
      <c r="O87" s="57"/>
      <c r="P87" s="57"/>
      <c r="Q87" s="57"/>
      <c r="R87" s="84"/>
      <c r="S87" s="84"/>
      <c r="T87" s="55"/>
      <c r="U87" s="276"/>
      <c r="V87" s="276"/>
      <c r="W87" s="276"/>
      <c r="X87" s="276"/>
      <c r="Y87" s="276"/>
      <c r="Z87" s="276"/>
      <c r="AA87" s="276"/>
      <c r="AB87" s="276"/>
    </row>
    <row r="88" spans="2:28" x14ac:dyDescent="0.25">
      <c r="B88" s="84" t="s">
        <v>0</v>
      </c>
      <c r="C88" s="75" t="s">
        <v>1</v>
      </c>
      <c r="D88" s="75" t="str">
        <f t="shared" ref="D88" si="23">DEC2HEX( COUNTA(E88:Q88),2)</f>
        <v>04</v>
      </c>
      <c r="E88" s="76" t="s">
        <v>28</v>
      </c>
      <c r="F88" s="76" t="s">
        <v>1</v>
      </c>
      <c r="G88" s="76" t="s">
        <v>657</v>
      </c>
      <c r="H88" s="277" t="s">
        <v>665</v>
      </c>
      <c r="I88" s="57"/>
      <c r="J88" s="57"/>
      <c r="K88" s="57"/>
      <c r="L88" s="57"/>
      <c r="M88" s="57"/>
      <c r="N88" s="57"/>
      <c r="O88" s="57"/>
      <c r="P88" s="57"/>
      <c r="Q88" s="57"/>
      <c r="R88" s="84" t="str">
        <f t="shared" ref="R88" si="24">DEC2HEX(MOD(HEX2DEC(C88)+HEX2DEC(D88)+HEX2DEC(E88)+HEX2DEC(F88)+HEX2DEC(G88)+HEX2DEC(H88)+HEX2DEC(I88)+HEX2DEC(J88)+HEX2DEC(K88)+HEX2DEC(L88)+HEX2DEC(M88)+HEX2DEC(N88)+HEX2DEC(O88)+HEX2DEC(P88)+HEX2DEC(Q88),256),2)</f>
        <v>4D</v>
      </c>
      <c r="S88" s="84" t="s">
        <v>5</v>
      </c>
      <c r="T88" s="55" t="str">
        <f t="shared" ref="T88" si="25">IF(ISBLANK(B88),,B88&amp;" ")&amp;IF(ISBLANK(C88),,C88&amp;" ")&amp;IF(ISBLANK(D88),,D88&amp;" ")&amp;IF(ISBLANK(E88),,E88&amp;" ")&amp;IF(ISBLANK(F88),,F88&amp;" ")&amp;IF(ISBLANK(G88),,G88&amp;" ")&amp;IF(ISBLANK(H88),,H88&amp;" ")&amp;IF(ISBLANK(I88),,I88&amp;" ")&amp;IF(ISBLANK(J88),,J88&amp;" ")&amp;IF(ISBLANK(K88),,K88&amp;" ")&amp;IF(ISBLANK(L88),,L88&amp;" ")&amp;IF(ISBLANK(M88),,M88&amp;" ")&amp;IF(ISBLANK(N88),,N88&amp;" ")&amp;IF(ISBLANK(O88),,O88&amp;" ")&amp;IF(ISBLANK(P88),,P88&amp;" ")&amp;IF(ISBLANK(Q88),,Q88&amp;" ")&amp;IF(ISBLANK(R88),,R88&amp;" ")&amp;IF(ISBLANK(S88),,S88)</f>
        <v>aa 00 04 11 00 37 01 4D 55</v>
      </c>
      <c r="U88" s="488" t="s">
        <v>666</v>
      </c>
      <c r="V88" s="488"/>
      <c r="W88" s="488"/>
      <c r="X88" s="488"/>
      <c r="Y88" s="488"/>
      <c r="Z88" s="488"/>
      <c r="AA88" s="488"/>
      <c r="AB88" s="488"/>
    </row>
    <row r="89" spans="2:28" x14ac:dyDescent="0.25">
      <c r="B89" s="84" t="s">
        <v>0</v>
      </c>
      <c r="C89" s="75" t="s">
        <v>1</v>
      </c>
      <c r="D89" s="75" t="str">
        <f t="shared" ref="D89:D93" si="26">DEC2HEX( COUNTA(E89:Q89),2)</f>
        <v>04</v>
      </c>
      <c r="E89" s="76" t="s">
        <v>28</v>
      </c>
      <c r="F89" s="76" t="s">
        <v>1</v>
      </c>
      <c r="G89" s="76" t="s">
        <v>657</v>
      </c>
      <c r="H89" s="277" t="s">
        <v>15</v>
      </c>
      <c r="I89" s="57"/>
      <c r="J89" s="57"/>
      <c r="K89" s="57"/>
      <c r="L89" s="57"/>
      <c r="M89" s="57"/>
      <c r="N89" s="57"/>
      <c r="O89" s="57"/>
      <c r="P89" s="57"/>
      <c r="Q89" s="57"/>
      <c r="R89" s="84" t="str">
        <f t="shared" ref="R89:R93" si="27">DEC2HEX(MOD(HEX2DEC(C89)+HEX2DEC(D89)+HEX2DEC(E89)+HEX2DEC(F89)+HEX2DEC(G89)+HEX2DEC(H89)+HEX2DEC(I89)+HEX2DEC(J89)+HEX2DEC(K89)+HEX2DEC(L89)+HEX2DEC(M89)+HEX2DEC(N89)+HEX2DEC(O89)+HEX2DEC(P89)+HEX2DEC(Q89),256),2)</f>
        <v>4E</v>
      </c>
      <c r="S89" s="84" t="s">
        <v>5</v>
      </c>
      <c r="T89" s="55" t="str">
        <f t="shared" ref="T89:T93" si="28">IF(ISBLANK(B89),,B89&amp;" ")&amp;IF(ISBLANK(C89),,C89&amp;" ")&amp;IF(ISBLANK(D89),,D89&amp;" ")&amp;IF(ISBLANK(E89),,E89&amp;" ")&amp;IF(ISBLANK(F89),,F89&amp;" ")&amp;IF(ISBLANK(G89),,G89&amp;" ")&amp;IF(ISBLANK(H89),,H89&amp;" ")&amp;IF(ISBLANK(I89),,I89&amp;" ")&amp;IF(ISBLANK(J89),,J89&amp;" ")&amp;IF(ISBLANK(K89),,K89&amp;" ")&amp;IF(ISBLANK(L89),,L89&amp;" ")&amp;IF(ISBLANK(M89),,M89&amp;" ")&amp;IF(ISBLANK(N89),,N89&amp;" ")&amp;IF(ISBLANK(O89),,O89&amp;" ")&amp;IF(ISBLANK(P89),,P89&amp;" ")&amp;IF(ISBLANK(Q89),,Q89&amp;" ")&amp;IF(ISBLANK(R89),,R89&amp;" ")&amp;IF(ISBLANK(S89),,S89)</f>
        <v>aa 00 04 11 00 37 02 4E 55</v>
      </c>
      <c r="U89" s="488" t="s">
        <v>667</v>
      </c>
      <c r="V89" s="488"/>
      <c r="W89" s="488"/>
      <c r="X89" s="488"/>
      <c r="Y89" s="488"/>
      <c r="Z89" s="488"/>
      <c r="AA89" s="488"/>
      <c r="AB89" s="488"/>
    </row>
    <row r="90" spans="2:28" x14ac:dyDescent="0.25">
      <c r="B90" s="84" t="s">
        <v>0</v>
      </c>
      <c r="C90" s="75" t="s">
        <v>1</v>
      </c>
      <c r="D90" s="75" t="str">
        <f t="shared" si="26"/>
        <v>04</v>
      </c>
      <c r="E90" s="76" t="s">
        <v>28</v>
      </c>
      <c r="F90" s="76" t="s">
        <v>1</v>
      </c>
      <c r="G90" s="76" t="s">
        <v>657</v>
      </c>
      <c r="H90" s="277" t="s">
        <v>13</v>
      </c>
      <c r="I90" s="57"/>
      <c r="J90" s="57"/>
      <c r="K90" s="57"/>
      <c r="L90" s="57"/>
      <c r="M90" s="57"/>
      <c r="N90" s="57"/>
      <c r="O90" s="57"/>
      <c r="P90" s="57"/>
      <c r="Q90" s="57"/>
      <c r="R90" s="84" t="str">
        <f t="shared" si="27"/>
        <v>4F</v>
      </c>
      <c r="S90" s="84" t="s">
        <v>5</v>
      </c>
      <c r="T90" s="55" t="str">
        <f t="shared" si="28"/>
        <v>aa 00 04 11 00 37 03 4F 55</v>
      </c>
      <c r="U90" s="488" t="s">
        <v>668</v>
      </c>
      <c r="V90" s="488"/>
      <c r="W90" s="488"/>
      <c r="X90" s="488"/>
      <c r="Y90" s="488"/>
      <c r="Z90" s="488"/>
      <c r="AA90" s="488"/>
      <c r="AB90" s="488"/>
    </row>
    <row r="91" spans="2:28" x14ac:dyDescent="0.25">
      <c r="B91" s="84" t="s">
        <v>0</v>
      </c>
      <c r="C91" s="75" t="s">
        <v>1</v>
      </c>
      <c r="D91" s="75" t="str">
        <f t="shared" si="26"/>
        <v>04</v>
      </c>
      <c r="E91" s="76" t="s">
        <v>28</v>
      </c>
      <c r="F91" s="76" t="s">
        <v>1</v>
      </c>
      <c r="G91" s="76" t="s">
        <v>657</v>
      </c>
      <c r="H91" s="277" t="s">
        <v>18</v>
      </c>
      <c r="I91" s="57"/>
      <c r="J91" s="57"/>
      <c r="K91" s="57"/>
      <c r="L91" s="57"/>
      <c r="M91" s="57"/>
      <c r="N91" s="57"/>
      <c r="O91" s="57"/>
      <c r="P91" s="57"/>
      <c r="Q91" s="57"/>
      <c r="R91" s="84" t="str">
        <f t="shared" si="27"/>
        <v>50</v>
      </c>
      <c r="S91" s="84" t="s">
        <v>5</v>
      </c>
      <c r="T91" s="55" t="str">
        <f t="shared" si="28"/>
        <v>aa 00 04 11 00 37 04 50 55</v>
      </c>
      <c r="U91" s="488" t="s">
        <v>669</v>
      </c>
      <c r="V91" s="488"/>
      <c r="W91" s="488"/>
      <c r="X91" s="488"/>
      <c r="Y91" s="488"/>
      <c r="Z91" s="488"/>
      <c r="AA91" s="488"/>
      <c r="AB91" s="488"/>
    </row>
    <row r="92" spans="2:28" x14ac:dyDescent="0.25">
      <c r="B92" s="84" t="s">
        <v>0</v>
      </c>
      <c r="C92" s="75" t="s">
        <v>1</v>
      </c>
      <c r="D92" s="75" t="str">
        <f t="shared" si="26"/>
        <v>04</v>
      </c>
      <c r="E92" s="76" t="s">
        <v>28</v>
      </c>
      <c r="F92" s="76" t="s">
        <v>1</v>
      </c>
      <c r="G92" s="76" t="s">
        <v>657</v>
      </c>
      <c r="H92" s="277" t="s">
        <v>122</v>
      </c>
      <c r="I92" s="57"/>
      <c r="J92" s="57"/>
      <c r="K92" s="57"/>
      <c r="L92" s="57"/>
      <c r="M92" s="57"/>
      <c r="N92" s="57"/>
      <c r="O92" s="57"/>
      <c r="P92" s="57"/>
      <c r="Q92" s="57"/>
      <c r="R92" s="84" t="str">
        <f t="shared" si="27"/>
        <v>51</v>
      </c>
      <c r="S92" s="84" t="s">
        <v>5</v>
      </c>
      <c r="T92" s="55" t="str">
        <f t="shared" si="28"/>
        <v>aa 00 04 11 00 37 05 51 55</v>
      </c>
      <c r="U92" s="488" t="s">
        <v>670</v>
      </c>
      <c r="V92" s="488"/>
      <c r="W92" s="488"/>
      <c r="X92" s="488"/>
      <c r="Y92" s="488"/>
      <c r="Z92" s="488"/>
      <c r="AA92" s="488"/>
      <c r="AB92" s="488"/>
    </row>
    <row r="93" spans="2:28" x14ac:dyDescent="0.25">
      <c r="B93" s="84" t="s">
        <v>0</v>
      </c>
      <c r="C93" s="75" t="s">
        <v>1</v>
      </c>
      <c r="D93" s="75" t="str">
        <f t="shared" si="26"/>
        <v>04</v>
      </c>
      <c r="E93" s="76" t="s">
        <v>28</v>
      </c>
      <c r="F93" s="76" t="s">
        <v>1</v>
      </c>
      <c r="G93" s="76" t="s">
        <v>657</v>
      </c>
      <c r="H93" s="277" t="s">
        <v>123</v>
      </c>
      <c r="I93" s="57"/>
      <c r="J93" s="57"/>
      <c r="K93" s="57"/>
      <c r="L93" s="57"/>
      <c r="M93" s="57"/>
      <c r="N93" s="57"/>
      <c r="O93" s="57"/>
      <c r="P93" s="57"/>
      <c r="Q93" s="57"/>
      <c r="R93" s="84" t="str">
        <f t="shared" si="27"/>
        <v>52</v>
      </c>
      <c r="S93" s="84" t="s">
        <v>5</v>
      </c>
      <c r="T93" s="55" t="str">
        <f t="shared" si="28"/>
        <v>aa 00 04 11 00 37 06 52 55</v>
      </c>
      <c r="U93" s="488" t="s">
        <v>671</v>
      </c>
      <c r="V93" s="488"/>
      <c r="W93" s="488"/>
      <c r="X93" s="488"/>
      <c r="Y93" s="488"/>
      <c r="Z93" s="488"/>
      <c r="AA93" s="488"/>
      <c r="AB93" s="488"/>
    </row>
    <row r="94" spans="2:28" x14ac:dyDescent="0.25">
      <c r="B94" s="84"/>
      <c r="C94" s="75"/>
      <c r="D94" s="75"/>
      <c r="E94" s="76"/>
      <c r="F94" s="76"/>
      <c r="G94" s="76"/>
      <c r="H94" s="267"/>
      <c r="I94" s="57"/>
      <c r="J94" s="57"/>
      <c r="K94" s="57"/>
      <c r="L94" s="57"/>
      <c r="M94" s="57"/>
      <c r="N94" s="57"/>
      <c r="O94" s="57"/>
      <c r="P94" s="57"/>
      <c r="Q94" s="57"/>
      <c r="R94" s="84"/>
      <c r="S94" s="84"/>
      <c r="T94" s="55"/>
      <c r="U94" s="268"/>
      <c r="V94" s="268"/>
      <c r="W94" s="268"/>
      <c r="X94" s="268"/>
      <c r="Y94" s="268"/>
      <c r="Z94" s="268"/>
      <c r="AA94" s="268"/>
      <c r="AB94" s="268"/>
    </row>
    <row r="95" spans="2:28" x14ac:dyDescent="0.25">
      <c r="B95" s="84"/>
      <c r="C95" s="75"/>
      <c r="D95" s="75"/>
      <c r="E95" s="76"/>
      <c r="F95" s="76"/>
      <c r="G95" s="76"/>
      <c r="H95" s="319" t="s">
        <v>776</v>
      </c>
      <c r="I95" s="57"/>
      <c r="J95" s="57"/>
      <c r="K95" s="57"/>
      <c r="L95" s="57"/>
      <c r="M95" s="57"/>
      <c r="N95" s="57"/>
      <c r="O95" s="57"/>
      <c r="P95" s="57"/>
      <c r="Q95" s="57"/>
      <c r="R95" s="84"/>
      <c r="S95" s="84"/>
      <c r="T95" s="55"/>
      <c r="U95" s="268" t="s">
        <v>632</v>
      </c>
      <c r="V95" s="308" t="s">
        <v>768</v>
      </c>
      <c r="W95" s="268" t="s">
        <v>769</v>
      </c>
      <c r="X95" s="268" t="s">
        <v>633</v>
      </c>
      <c r="Y95" s="268"/>
      <c r="Z95" s="268"/>
      <c r="AA95" s="268"/>
      <c r="AB95" s="268"/>
    </row>
    <row r="96" spans="2:28" x14ac:dyDescent="0.25">
      <c r="B96" s="84" t="s">
        <v>0</v>
      </c>
      <c r="C96" s="75" t="s">
        <v>1</v>
      </c>
      <c r="D96" s="75" t="str">
        <f t="shared" ref="D96" si="29">DEC2HEX( COUNTA(E96:Q96),2)</f>
        <v>0A</v>
      </c>
      <c r="E96" s="76" t="s">
        <v>28</v>
      </c>
      <c r="F96" s="76" t="s">
        <v>1</v>
      </c>
      <c r="G96" s="76" t="s">
        <v>634</v>
      </c>
      <c r="H96" s="316" t="s">
        <v>7</v>
      </c>
      <c r="I96" s="3" t="str">
        <f>LEFT(RIGHT(DEC2HEX(U96,4),4),2)</f>
        <v>00</v>
      </c>
      <c r="J96" s="3" t="str">
        <f>LEFT(RIGHT(DEC2HEX(U96,4),2),2)</f>
        <v>64</v>
      </c>
      <c r="K96" s="3" t="str">
        <f>LEFT(RIGHT(DEC2HEX(V96,4),4),2)</f>
        <v>00</v>
      </c>
      <c r="L96" s="3" t="str">
        <f>LEFT(RIGHT(DEC2HEX(V96,4),2),2)</f>
        <v>64</v>
      </c>
      <c r="M96" s="3" t="str">
        <f>DEC2HEX(W96,2)</f>
        <v>1E</v>
      </c>
      <c r="N96" s="309" t="str">
        <f>DEC2HEX(X96,2)</f>
        <v>05</v>
      </c>
      <c r="O96" s="267"/>
      <c r="P96" s="57"/>
      <c r="Q96" s="57"/>
      <c r="R96" s="84" t="str">
        <f>DEC2HEX(MOD(HEX2DEC(C96)+HEX2DEC(D96)+HEX2DEC(E96)+HEX2DEC(F96)+HEX2DEC(G96)+HEX2DEC(H96)+HEX2DEC(I96)+HEX2DEC(J96)+HEX2DEC(K96)+HEX2DEC(L96)+HEX2DEC(M96)+HEX2DEC(N96)+HEX2DEC(O96)+HEX2DEC(P96)+HEX2DEC(Q96),256),2)</f>
        <v>3C</v>
      </c>
      <c r="S96" s="84" t="s">
        <v>5</v>
      </c>
      <c r="T96" s="55" t="str">
        <f>IF(ISBLANK(B96),,B96&amp;" ")&amp;IF(ISBLANK(C96),,C96&amp;" ")&amp;IF(ISBLANK(D96),,D96&amp;" ")&amp;IF(ISBLANK(E96),,E96&amp;" ")&amp;IF(ISBLANK(F96),,F96&amp;" ")&amp;IF(ISBLANK(G96),,G96&amp;" ")&amp;IF(ISBLANK(H96),,H96&amp;" ")&amp;IF(ISBLANK(I96),,I96&amp;" ")&amp;IF(ISBLANK(J96),,J96&amp;" ")&amp;IF(ISBLANK(K96),,K96&amp;" ")&amp;IF(ISBLANK(L96),,L96&amp;" ")&amp;IF(ISBLANK(M96),,M96&amp;" ")&amp;IF(ISBLANK(N96),,N96&amp;" ")&amp;IF(ISBLANK(O96),,O96&amp;" ")&amp;IF(ISBLANK(P96),,P96&amp;" ")&amp;IF(ISBLANK(Q96),,Q96&amp;" ")&amp;IF(ISBLANK(R96),,R96&amp;" ")&amp;IF(ISBLANK(S96),,S96)</f>
        <v>aa 00 0A 11 00 34 02 00 64 00 64 1E 05 3C 55</v>
      </c>
      <c r="U96" s="270">
        <v>100</v>
      </c>
      <c r="V96" s="270">
        <v>100</v>
      </c>
      <c r="W96" s="270">
        <v>30</v>
      </c>
      <c r="X96" s="270">
        <v>5</v>
      </c>
      <c r="Y96" s="477" t="s">
        <v>745</v>
      </c>
      <c r="Z96" s="472"/>
      <c r="AA96" s="472"/>
      <c r="AB96" s="473"/>
    </row>
    <row r="97" spans="2:28" x14ac:dyDescent="0.25">
      <c r="B97" s="84" t="s">
        <v>0</v>
      </c>
      <c r="C97" s="75" t="s">
        <v>1</v>
      </c>
      <c r="D97" s="75" t="str">
        <f t="shared" ref="D97" si="30">DEC2HEX( COUNTA(E97:Q97),2)</f>
        <v>03</v>
      </c>
      <c r="E97" s="76" t="s">
        <v>28</v>
      </c>
      <c r="F97" s="76" t="s">
        <v>1</v>
      </c>
      <c r="G97" s="76" t="s">
        <v>42</v>
      </c>
      <c r="H97" s="57"/>
      <c r="I97" s="57"/>
      <c r="J97" s="57"/>
      <c r="K97" s="57"/>
      <c r="L97" s="57"/>
      <c r="M97" s="57"/>
      <c r="N97" s="57"/>
      <c r="O97" s="57"/>
      <c r="P97" s="57"/>
      <c r="Q97" s="57"/>
      <c r="R97" s="84" t="str">
        <f t="shared" ref="R97:R98" si="31">DEC2HEX(MOD(HEX2DEC(C97)+HEX2DEC(D97)+HEX2DEC(E97)+HEX2DEC(F97)+HEX2DEC(G97)+HEX2DEC(H97)+HEX2DEC(I97)+HEX2DEC(J97)+HEX2DEC(K97)+HEX2DEC(L97)+HEX2DEC(M97)+HEX2DEC(N97)+HEX2DEC(O97)+HEX2DEC(P97)+HEX2DEC(Q97),256),2)</f>
        <v>54</v>
      </c>
      <c r="S97" s="84" t="s">
        <v>5</v>
      </c>
      <c r="T97" s="55" t="str">
        <f t="shared" ref="T97:T101" si="32">IF(ISBLANK(B97),,B97&amp;" ")&amp;IF(ISBLANK(C97),,C97&amp;" ")&amp;IF(ISBLANK(D97),,D97&amp;" ")&amp;IF(ISBLANK(E97),,E97&amp;" ")&amp;IF(ISBLANK(F97),,F97&amp;" ")&amp;IF(ISBLANK(G97),,G97&amp;" ")&amp;IF(ISBLANK(H97),,H97&amp;" ")&amp;IF(ISBLANK(I97),,I97&amp;" ")&amp;IF(ISBLANK(J97),,J97&amp;" ")&amp;IF(ISBLANK(K97),,K97&amp;" ")&amp;IF(ISBLANK(L97),,L97&amp;" ")&amp;IF(ISBLANK(M97),,M97&amp;" ")&amp;IF(ISBLANK(N97),,N97&amp;" ")&amp;IF(ISBLANK(O97),,O97&amp;" ")&amp;IF(ISBLANK(P97),,P97&amp;" ")&amp;IF(ISBLANK(Q97),,Q97&amp;" ")&amp;IF(ISBLANK(R97),,R97&amp;" ")&amp;IF(ISBLANK(S97),,S97)</f>
        <v>aa 00 03 11 00 40 54 55</v>
      </c>
      <c r="U97" s="492" t="s">
        <v>620</v>
      </c>
      <c r="V97" s="492"/>
      <c r="W97" s="492"/>
      <c r="X97" s="492"/>
      <c r="Y97" s="492"/>
      <c r="Z97" s="492"/>
      <c r="AA97" s="492"/>
      <c r="AB97" s="492"/>
    </row>
    <row r="98" spans="2:28" x14ac:dyDescent="0.25">
      <c r="B98" s="84" t="s">
        <v>0</v>
      </c>
      <c r="C98" s="75" t="s">
        <v>1</v>
      </c>
      <c r="D98" s="75" t="str">
        <f t="shared" ref="D98" si="33">DEC2HEX( COUNTA(E98:Q98),2)</f>
        <v>03</v>
      </c>
      <c r="E98" s="76" t="s">
        <v>28</v>
      </c>
      <c r="F98" s="76" t="s">
        <v>1</v>
      </c>
      <c r="G98" s="76" t="s">
        <v>98</v>
      </c>
      <c r="H98" s="57"/>
      <c r="I98" s="57"/>
      <c r="J98" s="57"/>
      <c r="K98" s="57"/>
      <c r="L98" s="57"/>
      <c r="M98" s="57"/>
      <c r="N98" s="57"/>
      <c r="O98" s="57"/>
      <c r="P98" s="57"/>
      <c r="Q98" s="57"/>
      <c r="R98" s="84" t="str">
        <f t="shared" si="31"/>
        <v>55</v>
      </c>
      <c r="S98" s="84" t="s">
        <v>5</v>
      </c>
      <c r="T98" s="55" t="str">
        <f t="shared" si="32"/>
        <v>aa 00 03 11 00 41 55 55</v>
      </c>
      <c r="U98" s="492" t="s">
        <v>621</v>
      </c>
      <c r="V98" s="492"/>
      <c r="W98" s="492"/>
      <c r="X98" s="492"/>
      <c r="Y98" s="492"/>
      <c r="Z98" s="492"/>
      <c r="AA98" s="492"/>
      <c r="AB98" s="492"/>
    </row>
    <row r="99" spans="2:28" x14ac:dyDescent="0.25">
      <c r="B99" s="84"/>
      <c r="C99" s="75"/>
      <c r="D99" s="75"/>
      <c r="E99" s="76"/>
      <c r="F99" s="76"/>
      <c r="G99" s="76"/>
      <c r="H99" s="267"/>
      <c r="I99" s="267"/>
      <c r="J99" s="267"/>
      <c r="K99" s="267"/>
      <c r="L99" s="267"/>
      <c r="M99" s="267"/>
      <c r="N99" s="267"/>
      <c r="O99" s="267"/>
      <c r="P99" s="267"/>
      <c r="Q99" s="267"/>
      <c r="R99" s="84"/>
      <c r="S99" s="84"/>
      <c r="T99" s="55"/>
      <c r="U99" s="268"/>
      <c r="V99" s="268"/>
      <c r="W99" s="268"/>
      <c r="X99" s="268"/>
      <c r="Y99" s="268"/>
      <c r="Z99" s="268"/>
      <c r="AA99" s="268"/>
      <c r="AB99" s="268"/>
    </row>
    <row r="100" spans="2:28" x14ac:dyDescent="0.25">
      <c r="S100" s="39"/>
      <c r="T100" s="53"/>
      <c r="U100" s="39"/>
    </row>
    <row r="101" spans="2:28" ht="15" thickBot="1" x14ac:dyDescent="0.3">
      <c r="B101" s="18" t="s">
        <v>0</v>
      </c>
      <c r="C101" s="18" t="s">
        <v>1</v>
      </c>
      <c r="D101" s="18" t="s">
        <v>8</v>
      </c>
      <c r="E101" s="19" t="s">
        <v>497</v>
      </c>
      <c r="F101" s="19" t="s">
        <v>1</v>
      </c>
      <c r="G101" s="19" t="s">
        <v>498</v>
      </c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85" t="str">
        <f t="shared" ref="R101" si="34">DEC2HEX(MOD(HEX2DEC(C101)+HEX2DEC(D101)+HEX2DEC(E101)+HEX2DEC(F101)+HEX2DEC(G101)+HEX2DEC(H101)+HEX2DEC(I101)+HEX2DEC(J101)+HEX2DEC(K101)+HEX2DEC(L101)+HEX2DEC(M101)+HEX2DEC(N101)+HEX2DEC(O101)+HEX2DEC(P101)+HEX2DEC(Q101),256),2)</f>
        <v>73</v>
      </c>
      <c r="S101" s="121" t="s">
        <v>5</v>
      </c>
      <c r="T101" s="55" t="str">
        <f t="shared" si="32"/>
        <v>aa 00 03 F0 00 80 73 55</v>
      </c>
      <c r="U101" s="509" t="s">
        <v>496</v>
      </c>
      <c r="V101" s="510"/>
      <c r="W101" s="510"/>
      <c r="X101" s="510"/>
      <c r="Y101" s="510"/>
      <c r="Z101" s="510"/>
      <c r="AA101" s="510"/>
      <c r="AB101" s="511"/>
    </row>
    <row r="107" spans="2:28" ht="15" thickBot="1" x14ac:dyDescent="0.3">
      <c r="B107" s="1" t="s">
        <v>251</v>
      </c>
      <c r="C107" s="1" t="s">
        <v>256</v>
      </c>
      <c r="D107" s="1" t="s">
        <v>208</v>
      </c>
      <c r="E107" s="2" t="s">
        <v>636</v>
      </c>
      <c r="F107" s="2" t="s">
        <v>13</v>
      </c>
      <c r="G107" s="2" t="s">
        <v>178</v>
      </c>
      <c r="H107" s="2"/>
      <c r="I107" s="4"/>
      <c r="J107" s="4" t="s">
        <v>637</v>
      </c>
      <c r="K107" s="4" t="s">
        <v>638</v>
      </c>
      <c r="L107" s="4" t="s">
        <v>639</v>
      </c>
      <c r="M107" s="4" t="s">
        <v>177</v>
      </c>
      <c r="N107" s="31" t="s">
        <v>256</v>
      </c>
      <c r="O107" s="31" t="s">
        <v>256</v>
      </c>
      <c r="P107" s="85" t="s">
        <v>640</v>
      </c>
      <c r="Q107" s="1" t="s">
        <v>641</v>
      </c>
      <c r="R107" s="55" t="s">
        <v>642</v>
      </c>
      <c r="S107" t="s">
        <v>643</v>
      </c>
      <c r="T107" s="55" t="str">
        <f>IF(ISBLANK(B107),,B107&amp;" ")&amp;IF(ISBLANK(C107),,C107&amp;" ")&amp;IF(ISBLANK(D107),,D107&amp;" ")&amp;IF(ISBLANK(E107),,E107&amp;" ")&amp;IF(ISBLANK(F107),,F107&amp;" ")&amp;IF(ISBLANK(G107),,G107&amp;" ")&amp;IF(ISBLANK(H107),,H107&amp;" ")&amp;IF(ISBLANK(I107),,I107&amp;" ")&amp;IF(ISBLANK(J107),,J107&amp;" ")&amp;IF(ISBLANK(K107),,K107&amp;" ")&amp;IF(ISBLANK(L107),,L107&amp;" ")&amp;IF(ISBLANK(M107),,M107&amp;" ")&amp;IF(ISBLANK(N107),,N107&amp;" ")&amp;IF(ISBLANK(Q107),,Q107&amp;" ")&amp;IF(ISBLANK(R107),,R107&amp;" ")&amp;IF(ISBLANK(S107),,S107)</f>
        <v>aa 00 0B 63 03 31 FF F6 B1 30 00 40 54 55</v>
      </c>
    </row>
  </sheetData>
  <mergeCells count="100">
    <mergeCell ref="H77:Q77"/>
    <mergeCell ref="U77:AB77"/>
    <mergeCell ref="U75:AB75"/>
    <mergeCell ref="U67:AB67"/>
    <mergeCell ref="U101:AB101"/>
    <mergeCell ref="U76:AB76"/>
    <mergeCell ref="U70:AB70"/>
    <mergeCell ref="U71:AB71"/>
    <mergeCell ref="U72:AB72"/>
    <mergeCell ref="U78:AB78"/>
    <mergeCell ref="U97:AB97"/>
    <mergeCell ref="U80:AB80"/>
    <mergeCell ref="U81:AB81"/>
    <mergeCell ref="U82:AB82"/>
    <mergeCell ref="U83:AB83"/>
    <mergeCell ref="U84:AB84"/>
    <mergeCell ref="U85:AB85"/>
    <mergeCell ref="U86:AB86"/>
    <mergeCell ref="U98:AB98"/>
    <mergeCell ref="U62:AB62"/>
    <mergeCell ref="W65:AB65"/>
    <mergeCell ref="U68:AB68"/>
    <mergeCell ref="U69:AB69"/>
    <mergeCell ref="U88:AB88"/>
    <mergeCell ref="U89:AB89"/>
    <mergeCell ref="U90:AB90"/>
    <mergeCell ref="U91:AB91"/>
    <mergeCell ref="U92:AB92"/>
    <mergeCell ref="U93:AB93"/>
    <mergeCell ref="Y96:AB96"/>
    <mergeCell ref="W64:AB64"/>
    <mergeCell ref="W66:AB66"/>
    <mergeCell ref="U37:AB37"/>
    <mergeCell ref="B57:AB58"/>
    <mergeCell ref="B59:S59"/>
    <mergeCell ref="U59:AB59"/>
    <mergeCell ref="H60:Q60"/>
    <mergeCell ref="U60:AB60"/>
    <mergeCell ref="U43:AB43"/>
    <mergeCell ref="U44:AB44"/>
    <mergeCell ref="U46:AB46"/>
    <mergeCell ref="U47:AB47"/>
    <mergeCell ref="U48:AB48"/>
    <mergeCell ref="H52:Q52"/>
    <mergeCell ref="W52:AB52"/>
    <mergeCell ref="U53:AB53"/>
    <mergeCell ref="U54:AB54"/>
    <mergeCell ref="U55:AB55"/>
    <mergeCell ref="U23:AB23"/>
    <mergeCell ref="U24:AB24"/>
    <mergeCell ref="B34:AB35"/>
    <mergeCell ref="B36:S36"/>
    <mergeCell ref="U36:AB36"/>
    <mergeCell ref="B26:AB27"/>
    <mergeCell ref="B28:S28"/>
    <mergeCell ref="U28:X28"/>
    <mergeCell ref="Y28:AB28"/>
    <mergeCell ref="H29:Q29"/>
    <mergeCell ref="W29:AB29"/>
    <mergeCell ref="W22:AB22"/>
    <mergeCell ref="H13:Q13"/>
    <mergeCell ref="W13:AB13"/>
    <mergeCell ref="W14:AB14"/>
    <mergeCell ref="U15:AB15"/>
    <mergeCell ref="U16:AB16"/>
    <mergeCell ref="B18:AB19"/>
    <mergeCell ref="B20:S20"/>
    <mergeCell ref="U20:X20"/>
    <mergeCell ref="Y20:AB20"/>
    <mergeCell ref="H21:Q21"/>
    <mergeCell ref="W21:AB21"/>
    <mergeCell ref="B12:S12"/>
    <mergeCell ref="U12:X12"/>
    <mergeCell ref="Y12:AB12"/>
    <mergeCell ref="B2:AB3"/>
    <mergeCell ref="B4:S4"/>
    <mergeCell ref="U4:X4"/>
    <mergeCell ref="Y4:AB4"/>
    <mergeCell ref="H5:Q5"/>
    <mergeCell ref="W5:AB5"/>
    <mergeCell ref="W6:AB6"/>
    <mergeCell ref="U7:AB7"/>
    <mergeCell ref="U8:AB8"/>
    <mergeCell ref="B10:AB11"/>
    <mergeCell ref="U79:AB79"/>
    <mergeCell ref="U45:AB45"/>
    <mergeCell ref="W30:AB30"/>
    <mergeCell ref="U31:AB31"/>
    <mergeCell ref="U32:AB32"/>
    <mergeCell ref="B49:AB50"/>
    <mergeCell ref="B51:S51"/>
    <mergeCell ref="U51:X51"/>
    <mergeCell ref="Y51:AB51"/>
    <mergeCell ref="U61:AB61"/>
    <mergeCell ref="U38:AB38"/>
    <mergeCell ref="U39:AB39"/>
    <mergeCell ref="U40:AB40"/>
    <mergeCell ref="U41:AB41"/>
    <mergeCell ref="U42:AB42"/>
    <mergeCell ref="H37:Q37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C2:AC47"/>
  <sheetViews>
    <sheetView topLeftCell="B1" zoomScale="115" zoomScaleNormal="115" workbookViewId="0">
      <selection activeCell="U11" sqref="U11"/>
    </sheetView>
  </sheetViews>
  <sheetFormatPr defaultColWidth="9" defaultRowHeight="14.4" x14ac:dyDescent="0.25"/>
  <cols>
    <col min="1" max="9" width="3.6640625" style="43" customWidth="1"/>
    <col min="10" max="10" width="4.33203125" style="43" customWidth="1"/>
    <col min="11" max="11" width="3.6640625" style="43" customWidth="1"/>
    <col min="12" max="12" width="4.109375" style="43" customWidth="1"/>
    <col min="13" max="20" width="3.6640625" style="43" customWidth="1"/>
    <col min="21" max="21" width="40.6640625" style="43" customWidth="1"/>
    <col min="22" max="25" width="5.6640625" style="43" customWidth="1"/>
    <col min="26" max="29" width="10.6640625" style="43" customWidth="1"/>
    <col min="30" max="16384" width="9" style="43"/>
  </cols>
  <sheetData>
    <row r="2" spans="3:29" x14ac:dyDescent="0.25">
      <c r="C2" s="451" t="s">
        <v>379</v>
      </c>
      <c r="D2" s="452"/>
      <c r="E2" s="452"/>
      <c r="F2" s="452"/>
      <c r="G2" s="452"/>
      <c r="H2" s="452"/>
      <c r="I2" s="452"/>
      <c r="J2" s="452"/>
      <c r="K2" s="452"/>
      <c r="L2" s="452"/>
      <c r="M2" s="452"/>
      <c r="N2" s="452"/>
      <c r="O2" s="452"/>
      <c r="P2" s="452"/>
      <c r="Q2" s="452"/>
      <c r="R2" s="452"/>
      <c r="S2" s="452"/>
      <c r="T2" s="452"/>
      <c r="U2" s="452"/>
      <c r="V2" s="452"/>
      <c r="W2" s="452"/>
      <c r="X2" s="452"/>
      <c r="Y2" s="452"/>
      <c r="Z2" s="452"/>
      <c r="AA2" s="452"/>
      <c r="AB2" s="452"/>
      <c r="AC2" s="453"/>
    </row>
    <row r="3" spans="3:29" ht="22.2" x14ac:dyDescent="0.25">
      <c r="C3" s="431" t="s">
        <v>746</v>
      </c>
      <c r="D3" s="513"/>
      <c r="E3" s="513"/>
      <c r="F3" s="513"/>
      <c r="G3" s="513"/>
      <c r="H3" s="513"/>
      <c r="I3" s="513"/>
      <c r="J3" s="513"/>
      <c r="K3" s="513"/>
      <c r="L3" s="513"/>
      <c r="M3" s="513"/>
      <c r="N3" s="513"/>
      <c r="O3" s="513"/>
      <c r="P3" s="513"/>
      <c r="Q3" s="513"/>
      <c r="R3" s="513"/>
      <c r="S3" s="513"/>
      <c r="T3" s="513"/>
      <c r="U3" s="513"/>
      <c r="V3" s="513"/>
      <c r="W3" s="513"/>
      <c r="X3" s="513"/>
      <c r="Y3" s="513"/>
      <c r="Z3" s="513"/>
      <c r="AA3" s="513"/>
      <c r="AB3" s="513"/>
      <c r="AC3" s="513"/>
    </row>
    <row r="4" spans="3:29" x14ac:dyDescent="0.25">
      <c r="C4" s="388" t="s">
        <v>275</v>
      </c>
      <c r="D4" s="388"/>
      <c r="E4" s="388"/>
      <c r="F4" s="388"/>
      <c r="G4" s="388"/>
      <c r="H4" s="388"/>
      <c r="I4" s="388"/>
      <c r="J4" s="388"/>
      <c r="K4" s="388"/>
      <c r="L4" s="388"/>
      <c r="M4" s="388"/>
      <c r="N4" s="388"/>
      <c r="O4" s="388"/>
      <c r="P4" s="388"/>
      <c r="Q4" s="388"/>
      <c r="R4" s="388"/>
      <c r="S4" s="388"/>
      <c r="T4" s="388"/>
      <c r="U4" s="298" t="s">
        <v>266</v>
      </c>
      <c r="V4" s="388" t="s">
        <v>267</v>
      </c>
      <c r="W4" s="388"/>
      <c r="X4" s="388"/>
      <c r="Y4" s="388"/>
      <c r="Z4" s="388" t="s">
        <v>268</v>
      </c>
      <c r="AA4" s="388"/>
      <c r="AB4" s="388"/>
      <c r="AC4" s="388"/>
    </row>
    <row r="5" spans="3:29" ht="12" customHeight="1" x14ac:dyDescent="0.25">
      <c r="C5" s="86" t="s">
        <v>77</v>
      </c>
      <c r="D5" s="299" t="s">
        <v>78</v>
      </c>
      <c r="E5" s="299" t="s">
        <v>10</v>
      </c>
      <c r="F5" s="299" t="s">
        <v>79</v>
      </c>
      <c r="G5" s="299" t="s">
        <v>80</v>
      </c>
      <c r="H5" s="299" t="s">
        <v>11</v>
      </c>
      <c r="I5" s="424" t="s">
        <v>83</v>
      </c>
      <c r="J5" s="424"/>
      <c r="K5" s="424"/>
      <c r="L5" s="424"/>
      <c r="M5" s="424"/>
      <c r="N5" s="424"/>
      <c r="O5" s="424"/>
      <c r="P5" s="424"/>
      <c r="Q5" s="424"/>
      <c r="R5" s="424"/>
      <c r="S5" s="83" t="s">
        <v>81</v>
      </c>
      <c r="T5" s="83" t="s">
        <v>82</v>
      </c>
      <c r="U5" s="51" t="s">
        <v>276</v>
      </c>
      <c r="V5" s="45"/>
      <c r="W5" s="45"/>
      <c r="X5" s="45"/>
      <c r="Y5" s="45"/>
      <c r="Z5" s="435" t="s">
        <v>6</v>
      </c>
      <c r="AA5" s="435"/>
      <c r="AB5" s="435"/>
      <c r="AC5" s="435"/>
    </row>
    <row r="6" spans="3:29" ht="12" customHeight="1" x14ac:dyDescent="0.25">
      <c r="C6" s="86"/>
      <c r="D6" s="305"/>
      <c r="E6" s="305"/>
      <c r="F6" s="424" t="s">
        <v>765</v>
      </c>
      <c r="G6" s="424"/>
      <c r="H6" s="424"/>
      <c r="I6" s="305" t="s">
        <v>512</v>
      </c>
      <c r="J6" s="305"/>
      <c r="K6" s="424" t="s">
        <v>74</v>
      </c>
      <c r="L6" s="424"/>
      <c r="M6" s="305"/>
      <c r="N6" s="305"/>
      <c r="O6" s="305"/>
      <c r="P6" s="305"/>
      <c r="Q6" s="305"/>
      <c r="R6" s="305"/>
      <c r="S6" s="83"/>
      <c r="T6" s="83"/>
      <c r="U6" s="306"/>
      <c r="V6" s="302" t="s">
        <v>74</v>
      </c>
      <c r="W6" s="302" t="s">
        <v>748</v>
      </c>
      <c r="X6" s="302"/>
      <c r="Y6" s="302"/>
      <c r="Z6" s="306"/>
      <c r="AA6" s="306"/>
      <c r="AB6" s="306"/>
      <c r="AC6" s="306"/>
    </row>
    <row r="7" spans="3:29" ht="35.25" customHeight="1" x14ac:dyDescent="0.25">
      <c r="C7" s="84" t="s">
        <v>0</v>
      </c>
      <c r="D7" s="75" t="s">
        <v>1</v>
      </c>
      <c r="E7" s="75" t="str">
        <f>DEC2HEX( COUNTA(F7:R7),2)</f>
        <v>06</v>
      </c>
      <c r="F7" s="76" t="s">
        <v>405</v>
      </c>
      <c r="G7" s="76" t="s">
        <v>1</v>
      </c>
      <c r="H7" s="76" t="s">
        <v>42</v>
      </c>
      <c r="I7" s="307" t="s">
        <v>4</v>
      </c>
      <c r="J7" s="307"/>
      <c r="K7" s="3" t="str">
        <f>LEFT(RIGHT(DEC2HEX(V7,4),4),2)</f>
        <v>00</v>
      </c>
      <c r="L7" s="3" t="str">
        <f>LEFT(RIGHT(DEC2HEX(V7,4),2),2)</f>
        <v>64</v>
      </c>
      <c r="M7" s="307"/>
      <c r="N7" s="307"/>
      <c r="O7" s="307"/>
      <c r="P7" s="307"/>
      <c r="Q7" s="307"/>
      <c r="R7" s="307"/>
      <c r="S7" s="84" t="str">
        <f>DEC2HEX(MOD(HEX2DEC(D7)+HEX2DEC(E7)+HEX2DEC(F7)+HEX2DEC(G7)+HEX2DEC(H7)+HEX2DEC(I7)+HEX2DEC(J7)+HEX2DEC(K7)+HEX2DEC(L7)+HEX2DEC(M7)+HEX2DEC(N7)+HEX2DEC(O7)+HEX2DEC(P7)+HEX2DEC(Q7)+HEX2DEC(R7),256),2)</f>
        <v>8B</v>
      </c>
      <c r="T7" s="84" t="s">
        <v>5</v>
      </c>
      <c r="U7" s="55" t="str">
        <f>IF(ISBLANK(C7),,C7&amp;" ")&amp;IF(ISBLANK(D7),,D7&amp;" ")&amp;IF(ISBLANK(E7),,E7&amp;" ")&amp;IF(ISBLANK(F7),,F7&amp;" ")&amp;IF(ISBLANK(G7),,G7&amp;" ")&amp;IF(ISBLANK(H7),,H7&amp;" ")&amp;IF(ISBLANK(I7),,I7&amp;" ")&amp;IF(ISBLANK(J7),,J7&amp;" ")&amp;IF(ISBLANK(K7),,K7&amp;" ")&amp;IF(ISBLANK(L7),,L7&amp;" ")&amp;IF(ISBLANK(M7),,M7&amp;" ")&amp;IF(ISBLANK(N7),,N7&amp;" ")&amp;IF(ISBLANK(O7),,O7&amp;" ")&amp;IF(ISBLANK(P7),,P7&amp;" ")&amp;IF(ISBLANK(Q7),,Q7&amp;" ")&amp;IF(ISBLANK(R7),,R7&amp;" ")&amp;IF(ISBLANK(S7),,S7&amp;" ")&amp;IF(ISBLANK(T7),,T7)</f>
        <v>aa 00 06 E0 00 40 01 00 64 8B 55</v>
      </c>
      <c r="V7" s="116">
        <v>100</v>
      </c>
      <c r="W7" s="116"/>
      <c r="X7" s="116"/>
      <c r="Y7" s="116"/>
      <c r="Z7" s="512" t="s">
        <v>764</v>
      </c>
      <c r="AA7" s="488"/>
      <c r="AB7" s="488"/>
      <c r="AC7" s="488"/>
    </row>
    <row r="8" spans="3:29" ht="12" customHeight="1" x14ac:dyDescent="0.25">
      <c r="C8" s="86"/>
      <c r="D8" s="305"/>
      <c r="E8" s="305"/>
      <c r="F8" s="424" t="s">
        <v>766</v>
      </c>
      <c r="G8" s="424"/>
      <c r="H8" s="424"/>
      <c r="I8" s="305"/>
      <c r="J8" s="305"/>
      <c r="K8" s="305"/>
      <c r="L8" s="305"/>
      <c r="M8" s="305"/>
      <c r="N8" s="305"/>
      <c r="O8" s="305"/>
      <c r="P8" s="305"/>
      <c r="Q8" s="305"/>
      <c r="R8" s="305"/>
      <c r="S8" s="83"/>
      <c r="T8" s="83"/>
      <c r="U8" s="306"/>
      <c r="V8" s="302"/>
      <c r="W8" s="302"/>
      <c r="X8" s="302"/>
      <c r="Y8" s="302"/>
      <c r="Z8" s="306"/>
      <c r="AA8" s="306"/>
      <c r="AB8" s="306"/>
      <c r="AC8" s="306"/>
    </row>
    <row r="9" spans="3:29" ht="12" customHeight="1" x14ac:dyDescent="0.25">
      <c r="C9" s="84" t="s">
        <v>0</v>
      </c>
      <c r="D9" s="75" t="s">
        <v>1</v>
      </c>
      <c r="E9" s="75" t="str">
        <f>DEC2HEX( COUNTA(F9:R9),2)</f>
        <v>03</v>
      </c>
      <c r="F9" s="76" t="s">
        <v>405</v>
      </c>
      <c r="G9" s="76" t="s">
        <v>1</v>
      </c>
      <c r="H9" s="76" t="s">
        <v>98</v>
      </c>
      <c r="I9" s="307"/>
      <c r="J9" s="307"/>
      <c r="K9" s="3"/>
      <c r="L9" s="3"/>
      <c r="M9" s="307"/>
      <c r="N9" s="307"/>
      <c r="O9" s="307"/>
      <c r="P9" s="307"/>
      <c r="Q9" s="307"/>
      <c r="R9" s="307"/>
      <c r="S9" s="84" t="str">
        <f>DEC2HEX(MOD(HEX2DEC(D9)+HEX2DEC(E9)+HEX2DEC(F9)+HEX2DEC(G9)+HEX2DEC(H9)+HEX2DEC(I9)+HEX2DEC(J9)+HEX2DEC(K9)+HEX2DEC(L9)+HEX2DEC(M9)+HEX2DEC(N9)+HEX2DEC(O9)+HEX2DEC(P9)+HEX2DEC(Q9)+HEX2DEC(R9),256),2)</f>
        <v>24</v>
      </c>
      <c r="T9" s="84" t="s">
        <v>5</v>
      </c>
      <c r="U9" s="55" t="str">
        <f>IF(ISBLANK(C9),,C9&amp;" ")&amp;IF(ISBLANK(D9),,D9&amp;" ")&amp;IF(ISBLANK(E9),,E9&amp;" ")&amp;IF(ISBLANK(F9),,F9&amp;" ")&amp;IF(ISBLANK(G9),,G9&amp;" ")&amp;IF(ISBLANK(H9),,H9&amp;" ")&amp;IF(ISBLANK(I9),,I9&amp;" ")&amp;IF(ISBLANK(J9),,J9&amp;" ")&amp;IF(ISBLANK(K9),,K9&amp;" ")&amp;IF(ISBLANK(L9),,L9&amp;" ")&amp;IF(ISBLANK(M9),,M9&amp;" ")&amp;IF(ISBLANK(N9),,N9&amp;" ")&amp;IF(ISBLANK(O9),,O9&amp;" ")&amp;IF(ISBLANK(P9),,P9&amp;" ")&amp;IF(ISBLANK(Q9),,Q9&amp;" ")&amp;IF(ISBLANK(R9),,R9&amp;" ")&amp;IF(ISBLANK(S9),,S9&amp;" ")&amp;IF(ISBLANK(T9),,T9)</f>
        <v>aa 00 03 E0 00 41 24 55</v>
      </c>
      <c r="V9" s="116"/>
      <c r="W9" s="116"/>
      <c r="X9" s="116"/>
      <c r="Y9" s="116"/>
      <c r="Z9" s="512" t="s">
        <v>767</v>
      </c>
      <c r="AA9" s="488"/>
      <c r="AB9" s="488"/>
      <c r="AC9" s="488"/>
    </row>
    <row r="10" spans="3:29" ht="12" customHeight="1" x14ac:dyDescent="0.25">
      <c r="C10" s="86"/>
      <c r="D10" s="299"/>
      <c r="E10" s="299"/>
      <c r="F10" s="424" t="s">
        <v>749</v>
      </c>
      <c r="G10" s="424"/>
      <c r="H10" s="424"/>
      <c r="I10" s="299" t="s">
        <v>512</v>
      </c>
      <c r="J10" s="312" t="s">
        <v>748</v>
      </c>
      <c r="K10" s="424" t="s">
        <v>74</v>
      </c>
      <c r="L10" s="424"/>
      <c r="M10" s="299"/>
      <c r="N10" s="299"/>
      <c r="O10" s="299"/>
      <c r="P10" s="299"/>
      <c r="Q10" s="299"/>
      <c r="R10" s="299"/>
      <c r="S10" s="83"/>
      <c r="T10" s="83"/>
      <c r="U10" s="300"/>
      <c r="V10" s="302" t="s">
        <v>750</v>
      </c>
      <c r="W10" s="302" t="s">
        <v>760</v>
      </c>
      <c r="X10" s="302"/>
      <c r="Y10" s="302"/>
      <c r="Z10" s="300"/>
      <c r="AA10" s="300"/>
      <c r="AB10" s="300"/>
      <c r="AC10" s="300"/>
    </row>
    <row r="11" spans="3:29" ht="41.25" customHeight="1" x14ac:dyDescent="0.25">
      <c r="C11" s="84" t="s">
        <v>0</v>
      </c>
      <c r="D11" s="75" t="s">
        <v>1</v>
      </c>
      <c r="E11" s="75" t="str">
        <f>DEC2HEX( COUNTA(F11:R11),2)</f>
        <v>07</v>
      </c>
      <c r="F11" s="76" t="s">
        <v>405</v>
      </c>
      <c r="G11" s="76" t="s">
        <v>1</v>
      </c>
      <c r="H11" s="76" t="s">
        <v>747</v>
      </c>
      <c r="I11" s="301" t="s">
        <v>751</v>
      </c>
      <c r="J11" s="313" t="str">
        <f>DEC2HEX(W11,2)</f>
        <v>0A</v>
      </c>
      <c r="K11" s="3" t="str">
        <f>LEFT(RIGHT(DEC2HEX(V11,4),4),2)</f>
        <v>00</v>
      </c>
      <c r="L11" s="3" t="str">
        <f>LEFT(RIGHT(DEC2HEX(V11,4),2),2)</f>
        <v>64</v>
      </c>
      <c r="M11" s="301"/>
      <c r="N11" s="301"/>
      <c r="O11" s="301"/>
      <c r="P11" s="301"/>
      <c r="Q11" s="301"/>
      <c r="R11" s="301"/>
      <c r="S11" s="84" t="str">
        <f>DEC2HEX(MOD(HEX2DEC(D11)+HEX2DEC(E11)+HEX2DEC(F11)+HEX2DEC(G11)+HEX2DEC(H11)+HEX2DEC(I11)+HEX2DEC(J11)+HEX2DEC(K11)+HEX2DEC(L11)+HEX2DEC(M11)+HEX2DEC(N11)+HEX2DEC(O11)+HEX2DEC(P11)+HEX2DEC(Q11)+HEX2DEC(R11),256),2)</f>
        <v>A6</v>
      </c>
      <c r="T11" s="84" t="s">
        <v>5</v>
      </c>
      <c r="U11" s="55" t="str">
        <f>IF(ISBLANK(C11),,C11&amp;" ")&amp;IF(ISBLANK(D11),,D11&amp;" ")&amp;IF(ISBLANK(E11),,E11&amp;" ")&amp;IF(ISBLANK(F11),,F11&amp;" ")&amp;IF(ISBLANK(G11),,G11&amp;" ")&amp;IF(ISBLANK(H11),,H11&amp;" ")&amp;IF(ISBLANK(I11),,I11&amp;" ")&amp;IF(ISBLANK(J11),,J11&amp;" ")&amp;IF(ISBLANK(K11),,K11&amp;" ")&amp;IF(ISBLANK(L11),,L11&amp;" ")&amp;IF(ISBLANK(M11),,M11&amp;" ")&amp;IF(ISBLANK(N11),,N11&amp;" ")&amp;IF(ISBLANK(O11),,O11&amp;" ")&amp;IF(ISBLANK(P11),,P11&amp;" ")&amp;IF(ISBLANK(Q11),,Q11&amp;" ")&amp;IF(ISBLANK(R11),,R11&amp;" ")&amp;IF(ISBLANK(S11),,S11&amp;" ")&amp;IF(ISBLANK(T11),,T11)</f>
        <v>aa 00 07 E0 00 50 01 0A 00 64 A6 55</v>
      </c>
      <c r="V11" s="116">
        <v>100</v>
      </c>
      <c r="W11" s="116">
        <v>10</v>
      </c>
      <c r="X11" s="116"/>
      <c r="Y11" s="116"/>
      <c r="Z11" s="512" t="s">
        <v>752</v>
      </c>
      <c r="AA11" s="488"/>
      <c r="AB11" s="488"/>
      <c r="AC11" s="488"/>
    </row>
    <row r="12" spans="3:29" x14ac:dyDescent="0.25">
      <c r="C12" s="86"/>
      <c r="D12" s="299"/>
      <c r="E12" s="299"/>
      <c r="F12" s="424" t="s">
        <v>753</v>
      </c>
      <c r="G12" s="424"/>
      <c r="H12" s="424"/>
      <c r="I12" s="299" t="s">
        <v>755</v>
      </c>
      <c r="J12" s="299" t="s">
        <v>748</v>
      </c>
      <c r="K12" s="424" t="s">
        <v>791</v>
      </c>
      <c r="L12" s="424"/>
      <c r="M12" s="299"/>
      <c r="N12" s="299"/>
      <c r="O12" s="299"/>
      <c r="P12" s="299"/>
      <c r="Q12" s="299"/>
      <c r="R12" s="299"/>
      <c r="S12" s="83"/>
      <c r="T12" s="83"/>
      <c r="U12" s="300"/>
      <c r="V12" s="302" t="s">
        <v>790</v>
      </c>
      <c r="W12" s="302" t="s">
        <v>761</v>
      </c>
      <c r="X12" s="302"/>
      <c r="Y12" s="302"/>
      <c r="Z12" s="300"/>
      <c r="AA12" s="300"/>
      <c r="AB12" s="300"/>
      <c r="AC12" s="300"/>
    </row>
    <row r="13" spans="3:29" ht="43.5" customHeight="1" x14ac:dyDescent="0.25">
      <c r="C13" s="84" t="s">
        <v>0</v>
      </c>
      <c r="D13" s="75" t="s">
        <v>1</v>
      </c>
      <c r="E13" s="75" t="str">
        <f>DEC2HEX( COUNTA(F13:R13),2)</f>
        <v>07</v>
      </c>
      <c r="F13" s="76" t="s">
        <v>405</v>
      </c>
      <c r="G13" s="76" t="s">
        <v>1</v>
      </c>
      <c r="H13" s="76" t="s">
        <v>754</v>
      </c>
      <c r="I13" s="303" t="s">
        <v>9</v>
      </c>
      <c r="J13" s="3" t="str">
        <f>LEFT(RIGHT(DEC2HEX(W13,4),2),2)</f>
        <v>14</v>
      </c>
      <c r="K13" s="3" t="str">
        <f>LEFT(RIGHT(DEC2HEX(V13,4),4),2)</f>
        <v>00</v>
      </c>
      <c r="L13" s="3" t="str">
        <f>LEFT(RIGHT(DEC2HEX(V13,4),2),2)</f>
        <v>64</v>
      </c>
      <c r="M13" s="301"/>
      <c r="N13" s="301"/>
      <c r="O13" s="301"/>
      <c r="P13" s="301"/>
      <c r="Q13" s="301"/>
      <c r="R13" s="301"/>
      <c r="S13" s="84" t="str">
        <f>DEC2HEX(MOD(HEX2DEC(D13)+HEX2DEC(E13)+HEX2DEC(F13)+HEX2DEC(G13)+HEX2DEC(H13)+HEX2DEC(I13)+HEX2DEC(J13)+HEX2DEC(K13)+HEX2DEC(L13)+HEX2DEC(M13)+HEX2DEC(N13)+HEX2DEC(O13)+HEX2DEC(P13)+HEX2DEC(Q13)+HEX2DEC(R13),256),2)</f>
        <v>B5</v>
      </c>
      <c r="T13" s="84" t="s">
        <v>5</v>
      </c>
      <c r="U13" s="55" t="str">
        <f>IF(ISBLANK(C13),,C13&amp;" ")&amp;IF(ISBLANK(D13),,D13&amp;" ")&amp;IF(ISBLANK(E13),,E13&amp;" ")&amp;IF(ISBLANK(F13),,F13&amp;" ")&amp;IF(ISBLANK(G13),,G13&amp;" ")&amp;IF(ISBLANK(H13),,H13&amp;" ")&amp;IF(ISBLANK(I13),,I13&amp;" ")&amp;IF(ISBLANK(J13),,J13&amp;" ")&amp;IF(ISBLANK(K13),,K13&amp;" ")&amp;IF(ISBLANK(L13),,L13&amp;" ")&amp;IF(ISBLANK(M13),,M13&amp;" ")&amp;IF(ISBLANK(N13),,N13&amp;" ")&amp;IF(ISBLANK(O13),,O13&amp;" ")&amp;IF(ISBLANK(P13),,P13&amp;" ")&amp;IF(ISBLANK(Q13),,Q13&amp;" ")&amp;IF(ISBLANK(R13),,R13&amp;" ")&amp;IF(ISBLANK(S13),,S13&amp;" ")&amp;IF(ISBLANK(T13),,T13)</f>
        <v>aa 00 07 E0 00 51 05 14 00 64 B5 55</v>
      </c>
      <c r="V13" s="116">
        <v>100</v>
      </c>
      <c r="W13" s="116">
        <v>20</v>
      </c>
      <c r="X13" s="116"/>
      <c r="Y13" s="116"/>
      <c r="Z13" s="512" t="s">
        <v>756</v>
      </c>
      <c r="AA13" s="488"/>
      <c r="AB13" s="488"/>
      <c r="AC13" s="488"/>
    </row>
    <row r="14" spans="3:29" x14ac:dyDescent="0.25">
      <c r="C14" s="86"/>
      <c r="D14" s="299"/>
      <c r="E14" s="299"/>
      <c r="F14" s="424" t="s">
        <v>758</v>
      </c>
      <c r="G14" s="424"/>
      <c r="H14" s="424"/>
      <c r="I14" s="299"/>
      <c r="J14" s="299"/>
      <c r="K14" s="424"/>
      <c r="L14" s="424"/>
      <c r="M14" s="299"/>
      <c r="N14" s="299"/>
      <c r="O14" s="299"/>
      <c r="P14" s="299"/>
      <c r="Q14" s="299"/>
      <c r="R14" s="299"/>
      <c r="S14" s="83"/>
      <c r="T14" s="83"/>
      <c r="U14" s="300"/>
      <c r="V14" s="302"/>
      <c r="W14" s="302"/>
      <c r="X14" s="302"/>
      <c r="Y14" s="302"/>
      <c r="Z14" s="300"/>
      <c r="AA14" s="300"/>
      <c r="AB14" s="300"/>
      <c r="AC14" s="300"/>
    </row>
    <row r="15" spans="3:29" ht="13.5" customHeight="1" x14ac:dyDescent="0.25">
      <c r="C15" s="84" t="s">
        <v>0</v>
      </c>
      <c r="D15" s="75" t="s">
        <v>1</v>
      </c>
      <c r="E15" s="75" t="str">
        <f>DEC2HEX( COUNTA(F15:R15),2)</f>
        <v>03</v>
      </c>
      <c r="F15" s="76" t="s">
        <v>405</v>
      </c>
      <c r="G15" s="76" t="s">
        <v>1</v>
      </c>
      <c r="H15" s="76" t="s">
        <v>759</v>
      </c>
      <c r="I15" s="301"/>
      <c r="J15" s="301"/>
      <c r="K15" s="3"/>
      <c r="L15" s="3"/>
      <c r="M15" s="301"/>
      <c r="N15" s="301"/>
      <c r="O15" s="301"/>
      <c r="P15" s="301"/>
      <c r="Q15" s="301"/>
      <c r="R15" s="301"/>
      <c r="S15" s="84" t="str">
        <f>DEC2HEX(MOD(HEX2DEC(D15)+HEX2DEC(E15)+HEX2DEC(F15)+HEX2DEC(G15)+HEX2DEC(H15)+HEX2DEC(I15)+HEX2DEC(J15)+HEX2DEC(K15)+HEX2DEC(L15)+HEX2DEC(M15)+HEX2DEC(N15)+HEX2DEC(O15)+HEX2DEC(P15)+HEX2DEC(Q15)+HEX2DEC(R15),256),2)</f>
        <v>35</v>
      </c>
      <c r="T15" s="84" t="s">
        <v>5</v>
      </c>
      <c r="U15" s="55" t="str">
        <f>IF(ISBLANK(C15),,C15&amp;" ")&amp;IF(ISBLANK(D15),,D15&amp;" ")&amp;IF(ISBLANK(E15),,E15&amp;" ")&amp;IF(ISBLANK(F15),,F15&amp;" ")&amp;IF(ISBLANK(G15),,G15&amp;" ")&amp;IF(ISBLANK(H15),,H15&amp;" ")&amp;IF(ISBLANK(I15),,I15&amp;" ")&amp;IF(ISBLANK(J15),,J15&amp;" ")&amp;IF(ISBLANK(K15),,K15&amp;" ")&amp;IF(ISBLANK(L15),,L15&amp;" ")&amp;IF(ISBLANK(M15),,M15&amp;" ")&amp;IF(ISBLANK(N15),,N15&amp;" ")&amp;IF(ISBLANK(O15),,O15&amp;" ")&amp;IF(ISBLANK(P15),,P15&amp;" ")&amp;IF(ISBLANK(Q15),,Q15&amp;" ")&amp;IF(ISBLANK(R15),,R15&amp;" ")&amp;IF(ISBLANK(S15),,S15&amp;" ")&amp;IF(ISBLANK(T15),,T15)</f>
        <v>aa 00 03 E0 00 52 35 55</v>
      </c>
      <c r="V15" s="116"/>
      <c r="W15" s="116"/>
      <c r="X15" s="116"/>
      <c r="Y15" s="116"/>
      <c r="Z15" s="512" t="s">
        <v>757</v>
      </c>
      <c r="AA15" s="488"/>
      <c r="AB15" s="488"/>
      <c r="AC15" s="488"/>
    </row>
    <row r="29" ht="13.5" customHeight="1" x14ac:dyDescent="0.25"/>
    <row r="47" ht="72.75" customHeight="1" x14ac:dyDescent="0.25"/>
  </sheetData>
  <sheetProtection selectLockedCells="1"/>
  <mergeCells count="21">
    <mergeCell ref="I5:R5"/>
    <mergeCell ref="Z5:AC5"/>
    <mergeCell ref="C2:AC2"/>
    <mergeCell ref="C3:AC3"/>
    <mergeCell ref="C4:T4"/>
    <mergeCell ref="V4:Y4"/>
    <mergeCell ref="Z4:AC4"/>
    <mergeCell ref="K14:L14"/>
    <mergeCell ref="Z15:AC15"/>
    <mergeCell ref="K10:L10"/>
    <mergeCell ref="F10:H10"/>
    <mergeCell ref="F12:H12"/>
    <mergeCell ref="K12:L12"/>
    <mergeCell ref="Z13:AC13"/>
    <mergeCell ref="F14:H14"/>
    <mergeCell ref="Z11:AC11"/>
    <mergeCell ref="F6:H6"/>
    <mergeCell ref="K6:L6"/>
    <mergeCell ref="Z7:AC7"/>
    <mergeCell ref="Z9:AC9"/>
    <mergeCell ref="F8:H8"/>
  </mergeCells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B1:AB9"/>
  <sheetViews>
    <sheetView workbookViewId="0">
      <selection activeCell="T3" sqref="T3"/>
    </sheetView>
  </sheetViews>
  <sheetFormatPr defaultRowHeight="14.4" x14ac:dyDescent="0.25"/>
  <cols>
    <col min="2" max="7" width="4.6640625" customWidth="1"/>
    <col min="8" max="17" width="2.6640625" customWidth="1"/>
    <col min="18" max="19" width="4.6640625" customWidth="1"/>
    <col min="20" max="20" width="30.6640625" customWidth="1"/>
    <col min="21" max="28" width="7.33203125" customWidth="1"/>
  </cols>
  <sheetData>
    <row r="1" spans="2:28" ht="22.2" x14ac:dyDescent="0.25">
      <c r="B1" s="515" t="s">
        <v>107</v>
      </c>
      <c r="C1" s="515"/>
      <c r="D1" s="515"/>
      <c r="E1" s="515"/>
      <c r="F1" s="515"/>
      <c r="G1" s="515"/>
      <c r="H1" s="515"/>
      <c r="I1" s="515"/>
      <c r="J1" s="515"/>
      <c r="K1" s="515"/>
      <c r="L1" s="515"/>
      <c r="M1" s="515"/>
      <c r="N1" s="515"/>
      <c r="O1" s="515"/>
      <c r="P1" s="515"/>
      <c r="Q1" s="515"/>
      <c r="R1" s="515"/>
      <c r="S1" s="515"/>
      <c r="T1" s="515"/>
      <c r="U1" s="515"/>
      <c r="V1" s="515"/>
      <c r="W1" s="515"/>
      <c r="X1" s="515"/>
      <c r="Y1" s="515"/>
      <c r="Z1" s="515"/>
      <c r="AA1" s="515"/>
      <c r="AB1" s="515"/>
    </row>
    <row r="2" spans="2:28" x14ac:dyDescent="0.25">
      <c r="B2" s="225" t="s">
        <v>77</v>
      </c>
      <c r="C2" s="226" t="s">
        <v>78</v>
      </c>
      <c r="D2" s="226" t="s">
        <v>10</v>
      </c>
      <c r="E2" s="226" t="s">
        <v>79</v>
      </c>
      <c r="F2" s="226" t="s">
        <v>80</v>
      </c>
      <c r="G2" s="226" t="s">
        <v>11</v>
      </c>
      <c r="H2" s="516" t="s">
        <v>108</v>
      </c>
      <c r="I2" s="516"/>
      <c r="J2" s="516"/>
      <c r="K2" s="516"/>
      <c r="L2" s="516"/>
      <c r="M2" s="516"/>
      <c r="N2" s="516"/>
      <c r="O2" s="516"/>
      <c r="P2" s="516"/>
      <c r="Q2" s="516"/>
      <c r="R2" s="226" t="s">
        <v>81</v>
      </c>
      <c r="S2" s="226" t="s">
        <v>82</v>
      </c>
      <c r="T2" s="15" t="s">
        <v>84</v>
      </c>
      <c r="U2" s="514" t="s">
        <v>6</v>
      </c>
      <c r="V2" s="514"/>
      <c r="W2" s="514"/>
      <c r="X2" s="514"/>
      <c r="Y2" s="514"/>
      <c r="Z2" s="514"/>
      <c r="AA2" s="514"/>
      <c r="AB2" s="514"/>
    </row>
    <row r="3" spans="2:28" x14ac:dyDescent="0.25">
      <c r="B3" s="13" t="s">
        <v>0</v>
      </c>
      <c r="C3" s="13" t="s">
        <v>1</v>
      </c>
      <c r="D3" s="75" t="str">
        <f>DEC2HEX( COUNTA(E3:Q3),2)</f>
        <v>03</v>
      </c>
      <c r="E3" s="227" t="s">
        <v>12</v>
      </c>
      <c r="F3" s="227" t="s">
        <v>1</v>
      </c>
      <c r="G3" s="227" t="s">
        <v>1</v>
      </c>
      <c r="H3" s="71"/>
      <c r="I3" s="71"/>
      <c r="J3" s="71"/>
      <c r="K3" s="71"/>
      <c r="L3" s="71"/>
      <c r="M3" s="71"/>
      <c r="N3" s="71"/>
      <c r="O3" s="71"/>
      <c r="P3" s="71"/>
      <c r="Q3" s="71"/>
      <c r="R3" s="84" t="str">
        <f>DEC2HEX(MOD(HEX2DEC(C3)+HEX2DEC(D3)+HEX2DEC(E3)+HEX2DEC(F3)+HEX2DEC(G3)+HEX2DEC(H3)+HEX2DEC(I3)+HEX2DEC(J3)+HEX2DEC(K3)+HEX2DEC(L3)+HEX2DEC(M3)+HEX2DEC(N3)+HEX2DEC(O3)+HEX2DEC(P3)+HEX2DEC(Q3),256),2)</f>
        <v>E4</v>
      </c>
      <c r="S3" s="13" t="s">
        <v>5</v>
      </c>
      <c r="T3" s="55" t="str">
        <f>IF(ISBLANK(B3),,B3&amp;" ")&amp;IF(ISBLANK(C3),,C3&amp;" ")&amp;IF(ISBLANK(D3),,D3&amp;" ")&amp;IF(ISBLANK(E3),,E3&amp;" ")&amp;IF(ISBLANK(F3),,F3&amp;" ")&amp;IF(ISBLANK(G3),,G3&amp;" ")&amp;IF(ISBLANK(H3),,H3&amp;" ")&amp;IF(ISBLANK(I3),,I3&amp;" ")&amp;IF(ISBLANK(J3),,J3&amp;" ")&amp;IF(ISBLANK(K3),,K3&amp;" ")&amp;IF(ISBLANK(L3),,L3&amp;" ")&amp;IF(ISBLANK(M3),,M3&amp;" ")&amp;IF(ISBLANK(N3),,N3&amp;" ")&amp;IF(ISBLANK(O3),,O3&amp;" ")&amp;IF(ISBLANK(P3),,P3&amp;" ")&amp;IF(ISBLANK(Q3),,Q3&amp;" ")&amp;IF(ISBLANK(R3),,R3&amp;" ")&amp;IF(ISBLANK(S3),,S3)</f>
        <v>aa 00 03 E1 00 00 E4 55</v>
      </c>
      <c r="U3" s="514" t="s">
        <v>676</v>
      </c>
      <c r="V3" s="514"/>
      <c r="W3" s="514"/>
      <c r="X3" s="514"/>
      <c r="Y3" s="514"/>
      <c r="Z3" s="514"/>
      <c r="AA3" s="514"/>
      <c r="AB3" s="514"/>
    </row>
    <row r="4" spans="2:28" x14ac:dyDescent="0.25">
      <c r="B4" s="13" t="s">
        <v>0</v>
      </c>
      <c r="C4" s="13" t="s">
        <v>1</v>
      </c>
      <c r="D4" s="75" t="str">
        <f t="shared" ref="D4:D5" si="0">DEC2HEX( COUNTA(E4:Q4),2)</f>
        <v>03</v>
      </c>
      <c r="E4" s="227" t="s">
        <v>12</v>
      </c>
      <c r="F4" s="227" t="s">
        <v>4</v>
      </c>
      <c r="G4" s="227" t="s">
        <v>1</v>
      </c>
      <c r="H4" s="71"/>
      <c r="I4" s="71"/>
      <c r="J4" s="71"/>
      <c r="K4" s="71"/>
      <c r="L4" s="71"/>
      <c r="M4" s="71"/>
      <c r="N4" s="71"/>
      <c r="O4" s="71"/>
      <c r="P4" s="71"/>
      <c r="Q4" s="71"/>
      <c r="R4" s="84" t="str">
        <f t="shared" ref="R4:R5" si="1">DEC2HEX(MOD(HEX2DEC(C4)+HEX2DEC(D4)+HEX2DEC(E4)+HEX2DEC(F4)+HEX2DEC(G4)+HEX2DEC(H4)+HEX2DEC(I4)+HEX2DEC(J4)+HEX2DEC(K4)+HEX2DEC(L4)+HEX2DEC(M4)+HEX2DEC(N4)+HEX2DEC(O4)+HEX2DEC(P4)+HEX2DEC(Q4),256),2)</f>
        <v>E5</v>
      </c>
      <c r="S4" s="13" t="s">
        <v>5</v>
      </c>
      <c r="T4" s="55" t="str">
        <f t="shared" ref="T4:T5" si="2">IF(ISBLANK(B4),,B4&amp;" ")&amp;IF(ISBLANK(C4),,C4&amp;" ")&amp;IF(ISBLANK(D4),,D4&amp;" ")&amp;IF(ISBLANK(E4),,E4&amp;" ")&amp;IF(ISBLANK(F4),,F4&amp;" ")&amp;IF(ISBLANK(G4),,G4&amp;" ")&amp;IF(ISBLANK(H4),,H4&amp;" ")&amp;IF(ISBLANK(I4),,I4&amp;" ")&amp;IF(ISBLANK(J4),,J4&amp;" ")&amp;IF(ISBLANK(K4),,K4&amp;" ")&amp;IF(ISBLANK(L4),,L4&amp;" ")&amp;IF(ISBLANK(M4),,M4&amp;" ")&amp;IF(ISBLANK(N4),,N4&amp;" ")&amp;IF(ISBLANK(O4),,O4&amp;" ")&amp;IF(ISBLANK(P4),,P4&amp;" ")&amp;IF(ISBLANK(Q4),,Q4&amp;" ")&amp;IF(ISBLANK(R4),,R4&amp;" ")&amp;IF(ISBLANK(S4),,S4)</f>
        <v>aa 00 03 E1 01 00 E5 55</v>
      </c>
      <c r="U4" s="514" t="s">
        <v>109</v>
      </c>
      <c r="V4" s="514"/>
      <c r="W4" s="514"/>
      <c r="X4" s="514"/>
      <c r="Y4" s="514"/>
      <c r="Z4" s="514"/>
      <c r="AA4" s="514"/>
      <c r="AB4" s="514"/>
    </row>
    <row r="5" spans="2:28" x14ac:dyDescent="0.25">
      <c r="B5" s="13" t="s">
        <v>0</v>
      </c>
      <c r="C5" s="13" t="s">
        <v>1</v>
      </c>
      <c r="D5" s="75" t="str">
        <f t="shared" si="0"/>
        <v>03</v>
      </c>
      <c r="E5" s="227" t="s">
        <v>12</v>
      </c>
      <c r="F5" s="227" t="s">
        <v>7</v>
      </c>
      <c r="G5" s="227" t="s">
        <v>1</v>
      </c>
      <c r="H5" s="71"/>
      <c r="I5" s="71"/>
      <c r="J5" s="71"/>
      <c r="K5" s="71"/>
      <c r="L5" s="71"/>
      <c r="M5" s="71"/>
      <c r="N5" s="71"/>
      <c r="O5" s="71"/>
      <c r="P5" s="71"/>
      <c r="Q5" s="71"/>
      <c r="R5" s="84" t="str">
        <f t="shared" si="1"/>
        <v>E6</v>
      </c>
      <c r="S5" s="13" t="s">
        <v>5</v>
      </c>
      <c r="T5" s="55" t="str">
        <f t="shared" si="2"/>
        <v>aa 00 03 E1 02 00 E6 55</v>
      </c>
      <c r="U5" s="514" t="s">
        <v>110</v>
      </c>
      <c r="V5" s="514"/>
      <c r="W5" s="514"/>
      <c r="X5" s="514"/>
      <c r="Y5" s="514"/>
      <c r="Z5" s="514"/>
      <c r="AA5" s="514"/>
      <c r="AB5" s="514"/>
    </row>
    <row r="8" spans="2:28" x14ac:dyDescent="0.25">
      <c r="B8" s="156"/>
      <c r="C8" s="157"/>
      <c r="D8" s="157"/>
      <c r="E8" s="157"/>
      <c r="F8" s="157"/>
      <c r="G8" s="157"/>
      <c r="H8" s="228"/>
      <c r="I8" s="228"/>
      <c r="J8" s="228"/>
      <c r="K8" s="228"/>
      <c r="L8" s="228"/>
      <c r="M8" s="228"/>
      <c r="N8" s="228"/>
      <c r="O8" s="228"/>
      <c r="P8" s="228"/>
      <c r="Q8" s="228"/>
      <c r="R8" s="158"/>
      <c r="S8" s="158"/>
    </row>
    <row r="9" spans="2:28" x14ac:dyDescent="0.25">
      <c r="B9" s="161"/>
      <c r="C9" s="162"/>
      <c r="D9" s="162"/>
      <c r="E9" s="163"/>
      <c r="F9" s="163"/>
      <c r="G9" s="163"/>
      <c r="H9" s="65"/>
      <c r="I9" s="65"/>
      <c r="J9" s="65"/>
      <c r="K9" s="65"/>
      <c r="L9" s="65"/>
      <c r="M9" s="65"/>
      <c r="N9" s="65"/>
      <c r="O9" s="65"/>
      <c r="P9" s="65"/>
      <c r="Q9" s="65"/>
      <c r="R9" s="161"/>
      <c r="S9" s="161"/>
    </row>
  </sheetData>
  <mergeCells count="6">
    <mergeCell ref="U3:AB3"/>
    <mergeCell ref="U4:AB4"/>
    <mergeCell ref="U5:AB5"/>
    <mergeCell ref="B1:AB1"/>
    <mergeCell ref="H2:Q2"/>
    <mergeCell ref="U2:AB2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B2:AD29"/>
  <sheetViews>
    <sheetView topLeftCell="A10" zoomScale="115" zoomScaleNormal="115" workbookViewId="0">
      <selection activeCell="V29" sqref="V29"/>
    </sheetView>
  </sheetViews>
  <sheetFormatPr defaultRowHeight="14.4" x14ac:dyDescent="0.25"/>
  <cols>
    <col min="1" max="1" width="2.109375" customWidth="1"/>
    <col min="2" max="21" width="3.109375" customWidth="1"/>
    <col min="22" max="22" width="43.6640625" style="97" customWidth="1"/>
    <col min="23" max="23" width="5.6640625" customWidth="1"/>
    <col min="24" max="29" width="7.88671875" customWidth="1"/>
    <col min="30" max="30" width="4.6640625" customWidth="1"/>
  </cols>
  <sheetData>
    <row r="2" spans="2:30" ht="22.2" x14ac:dyDescent="0.25">
      <c r="B2" s="526" t="s">
        <v>111</v>
      </c>
      <c r="C2" s="526"/>
      <c r="D2" s="526"/>
      <c r="E2" s="526"/>
      <c r="F2" s="526"/>
      <c r="G2" s="526"/>
      <c r="H2" s="526"/>
      <c r="I2" s="526"/>
      <c r="J2" s="526"/>
      <c r="K2" s="526"/>
      <c r="L2" s="526"/>
      <c r="M2" s="526"/>
      <c r="N2" s="526"/>
      <c r="O2" s="526"/>
      <c r="P2" s="526"/>
      <c r="Q2" s="526"/>
      <c r="R2" s="526"/>
      <c r="S2" s="526"/>
      <c r="T2" s="526"/>
      <c r="U2" s="526"/>
      <c r="V2" s="526"/>
      <c r="W2" s="526"/>
      <c r="X2" s="526"/>
      <c r="Y2" s="526"/>
      <c r="Z2" s="526"/>
      <c r="AA2" s="526"/>
      <c r="AB2" s="526"/>
      <c r="AC2" s="526"/>
      <c r="AD2" s="526"/>
    </row>
    <row r="3" spans="2:30" x14ac:dyDescent="0.25">
      <c r="B3" s="527"/>
      <c r="C3" s="528"/>
      <c r="D3" s="528"/>
      <c r="E3" s="528"/>
      <c r="F3" s="528"/>
      <c r="G3" s="528"/>
      <c r="H3" s="528"/>
      <c r="I3" s="528"/>
      <c r="J3" s="528"/>
      <c r="K3" s="528"/>
      <c r="L3" s="528"/>
      <c r="M3" s="528"/>
      <c r="N3" s="528"/>
      <c r="O3" s="528"/>
      <c r="P3" s="528"/>
      <c r="Q3" s="528"/>
      <c r="R3" s="528"/>
      <c r="S3" s="528"/>
      <c r="T3" s="528"/>
      <c r="U3" s="528"/>
      <c r="V3" s="528"/>
      <c r="W3" s="528"/>
      <c r="X3" s="528"/>
      <c r="Y3" s="528"/>
      <c r="Z3" s="528"/>
      <c r="AA3" s="528"/>
      <c r="AB3" s="528"/>
      <c r="AC3" s="528"/>
      <c r="AD3" s="529"/>
    </row>
    <row r="4" spans="2:30" x14ac:dyDescent="0.25">
      <c r="B4" s="123" t="s">
        <v>77</v>
      </c>
      <c r="C4" s="304" t="s">
        <v>78</v>
      </c>
      <c r="D4" s="304" t="s">
        <v>10</v>
      </c>
      <c r="E4" s="304" t="s">
        <v>79</v>
      </c>
      <c r="F4" s="304" t="s">
        <v>80</v>
      </c>
      <c r="G4" s="304" t="s">
        <v>11</v>
      </c>
      <c r="H4" s="530" t="s">
        <v>115</v>
      </c>
      <c r="I4" s="530"/>
      <c r="J4" s="530"/>
      <c r="K4" s="530"/>
      <c r="L4" s="530"/>
      <c r="M4" s="530"/>
      <c r="N4" s="530"/>
      <c r="O4" s="530"/>
      <c r="P4" s="530"/>
      <c r="Q4" s="530"/>
      <c r="R4" s="530"/>
      <c r="S4" s="530"/>
      <c r="T4" s="304" t="s">
        <v>81</v>
      </c>
      <c r="U4" s="304" t="s">
        <v>82</v>
      </c>
      <c r="V4" s="124" t="s">
        <v>84</v>
      </c>
      <c r="W4" s="531" t="s">
        <v>6</v>
      </c>
      <c r="X4" s="531"/>
      <c r="Y4" s="531"/>
      <c r="Z4" s="531"/>
      <c r="AA4" s="531"/>
      <c r="AB4" s="531"/>
      <c r="AC4" s="531"/>
      <c r="AD4" s="531"/>
    </row>
    <row r="5" spans="2:30" x14ac:dyDescent="0.25">
      <c r="B5" s="532" t="s">
        <v>298</v>
      </c>
      <c r="C5" s="533"/>
      <c r="D5" s="533"/>
      <c r="E5" s="533"/>
      <c r="F5" s="533"/>
      <c r="G5" s="533"/>
      <c r="H5" s="533"/>
      <c r="I5" s="533"/>
      <c r="J5" s="533"/>
      <c r="K5" s="533"/>
      <c r="L5" s="533"/>
      <c r="M5" s="533"/>
      <c r="N5" s="533"/>
      <c r="O5" s="533"/>
      <c r="P5" s="533"/>
      <c r="Q5" s="533"/>
      <c r="R5" s="533"/>
      <c r="S5" s="533"/>
      <c r="T5" s="533"/>
      <c r="U5" s="533"/>
      <c r="V5" s="172"/>
      <c r="W5" s="81"/>
      <c r="X5" s="81"/>
      <c r="Y5" s="81"/>
      <c r="Z5" s="81"/>
      <c r="AA5" s="81"/>
      <c r="AB5" s="81"/>
      <c r="AC5" s="81"/>
      <c r="AD5" s="82"/>
    </row>
    <row r="6" spans="2:30" x14ac:dyDescent="0.25">
      <c r="B6" s="16"/>
      <c r="C6" s="29"/>
      <c r="D6" s="29"/>
      <c r="E6" s="29"/>
      <c r="F6" s="29"/>
      <c r="G6" s="29"/>
      <c r="H6" s="523" t="s">
        <v>113</v>
      </c>
      <c r="I6" s="524"/>
      <c r="J6" s="524"/>
      <c r="K6" s="524"/>
      <c r="L6" s="524"/>
      <c r="M6" s="524"/>
      <c r="N6" s="524"/>
      <c r="O6" s="524"/>
      <c r="P6" s="524"/>
      <c r="Q6" s="524"/>
      <c r="R6" s="524"/>
      <c r="S6" s="525"/>
      <c r="T6" s="29"/>
      <c r="U6" s="29"/>
      <c r="V6" s="15"/>
      <c r="W6" s="517"/>
      <c r="X6" s="518"/>
      <c r="Y6" s="518"/>
      <c r="Z6" s="518"/>
      <c r="AA6" s="518"/>
      <c r="AB6" s="518"/>
      <c r="AC6" s="518"/>
      <c r="AD6" s="519"/>
    </row>
    <row r="7" spans="2:30" ht="26.25" customHeight="1" thickBot="1" x14ac:dyDescent="0.3">
      <c r="B7" s="18" t="s">
        <v>0</v>
      </c>
      <c r="C7" s="18" t="s">
        <v>1</v>
      </c>
      <c r="D7" s="46" t="str">
        <f>DEC2HEX( COUNTA(E7:S7),2)</f>
        <v>04</v>
      </c>
      <c r="E7" s="19" t="s">
        <v>112</v>
      </c>
      <c r="F7" s="19" t="s">
        <v>1</v>
      </c>
      <c r="G7" s="19" t="s">
        <v>1</v>
      </c>
      <c r="H7" s="537" t="s">
        <v>1</v>
      </c>
      <c r="I7" s="538"/>
      <c r="J7" s="538"/>
      <c r="K7" s="538"/>
      <c r="L7" s="538"/>
      <c r="M7" s="538"/>
      <c r="N7" s="538"/>
      <c r="O7" s="538"/>
      <c r="P7" s="538"/>
      <c r="Q7" s="538"/>
      <c r="R7" s="538"/>
      <c r="S7" s="539"/>
      <c r="T7" s="85" t="str">
        <f>DEC2HEX(MOD(HEX2DEC(C7)+HEX2DEC(D7)+HEX2DEC(E7)+HEX2DEC(F7)+HEX2DEC(G7)+HEX2DEC(H7)+HEX2DEC(I7)+HEX2DEC(J7)+HEX2DEC(K7)+HEX2DEC(L7)+HEX2DEC(M7)+HEX2DEC(N7)+HEX2DEC(O7)+HEX2DEC(R7)+HEX2DEC(S7),256),2)</f>
        <v>66</v>
      </c>
      <c r="U7" s="18" t="s">
        <v>5</v>
      </c>
      <c r="V7" s="49" t="str">
        <f>IF(ISBLANK(B7),,B7&amp;" ")&amp;IF(ISBLANK(C7),,C7&amp;" ")&amp;IF(ISBLANK(D7),,D7&amp;" ")&amp;IF(ISBLANK(E7),,E7&amp;" ")&amp;IF(ISBLANK(F7),,F7&amp;" ")&amp;IF(ISBLANK(G7),,G7&amp;" ")&amp;IF(ISBLANK(H7),,H7&amp;" ")&amp;IF(ISBLANK(I7),,I7&amp;" ")&amp;IF(ISBLANK(J7),,J7&amp;" ")&amp;IF(ISBLANK(K7),,K7&amp;" ")&amp;IF(ISBLANK(L7),,L7&amp;" ")&amp;IF(ISBLANK(M7),,M7&amp;" ")&amp;IF(ISBLANK(N7),,N7&amp;" ")&amp;IF(ISBLANK(O7),,O7&amp;" ")&amp;IF(ISBLANK(R7),,R7&amp;" ")&amp;IF(ISBLANK(S7),,S7&amp;" ")&amp;IF(ISBLANK(T7),,T7&amp;" ")&amp;IF(ISBLANK(U7),,U7)</f>
        <v>aa 00 04 62 00 00 00 66 55</v>
      </c>
      <c r="W7" s="534" t="s">
        <v>763</v>
      </c>
      <c r="X7" s="535"/>
      <c r="Y7" s="535"/>
      <c r="Z7" s="535"/>
      <c r="AA7" s="535"/>
      <c r="AB7" s="535"/>
      <c r="AC7" s="535"/>
      <c r="AD7" s="536"/>
    </row>
    <row r="8" spans="2:30" x14ac:dyDescent="0.25">
      <c r="B8" s="540" t="s">
        <v>297</v>
      </c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2"/>
      <c r="V8" s="35"/>
      <c r="W8" s="36"/>
      <c r="X8" s="37"/>
      <c r="Y8" s="37"/>
      <c r="Z8" s="37"/>
      <c r="AA8" s="37"/>
      <c r="AB8" s="37"/>
      <c r="AC8" s="37"/>
      <c r="AD8" s="38"/>
    </row>
    <row r="9" spans="2:30" ht="15" thickBot="1" x14ac:dyDescent="0.3">
      <c r="B9" s="18" t="s">
        <v>0</v>
      </c>
      <c r="C9" s="18" t="s">
        <v>1</v>
      </c>
      <c r="D9" s="46" t="str">
        <f>DEC2HEX( COUNTA(E9:S9),2)</f>
        <v>04</v>
      </c>
      <c r="E9" s="19" t="s">
        <v>112</v>
      </c>
      <c r="F9" s="19" t="s">
        <v>4</v>
      </c>
      <c r="G9" s="19" t="s">
        <v>4</v>
      </c>
      <c r="H9" s="537" t="s">
        <v>384</v>
      </c>
      <c r="I9" s="538"/>
      <c r="J9" s="538"/>
      <c r="K9" s="538"/>
      <c r="L9" s="538"/>
      <c r="M9" s="538"/>
      <c r="N9" s="538"/>
      <c r="O9" s="538"/>
      <c r="P9" s="538"/>
      <c r="Q9" s="538"/>
      <c r="R9" s="538"/>
      <c r="S9" s="539"/>
      <c r="T9" s="85" t="str">
        <f>DEC2HEX(MOD(HEX2DEC(C9)+HEX2DEC(D9)+HEX2DEC(E9)+HEX2DEC(F9)+HEX2DEC(G9)+HEX2DEC(H9)+HEX2DEC(I9)+HEX2DEC(J9)+HEX2DEC(K9)+HEX2DEC(L9)+HEX2DEC(M9)+HEX2DEC(N9)+HEX2DEC(O9)+HEX2DEC(R9)+HEX2DEC(S9),256),2)</f>
        <v>68</v>
      </c>
      <c r="U9" s="18" t="s">
        <v>385</v>
      </c>
      <c r="V9" s="49" t="str">
        <f>IF(ISBLANK(B9),,B9&amp;" ")&amp;IF(ISBLANK(C9),,C9&amp;" ")&amp;IF(ISBLANK(D9),,D9&amp;" ")&amp;IF(ISBLANK(E9),,E9&amp;" ")&amp;IF(ISBLANK(F9),,F9&amp;" ")&amp;IF(ISBLANK(G9),,G9&amp;" ")&amp;IF(ISBLANK(H9),,H9&amp;" ")&amp;IF(ISBLANK(I9),,I9&amp;" ")&amp;IF(ISBLANK(J9),,J9&amp;" ")&amp;IF(ISBLANK(K9),,K9&amp;" ")&amp;IF(ISBLANK(L9),,L9&amp;" ")&amp;IF(ISBLANK(M9),,M9&amp;" ")&amp;IF(ISBLANK(N9),,N9&amp;" ")&amp;IF(ISBLANK(O9),,O9&amp;" ")&amp;IF(ISBLANK(R9),,R9&amp;" ")&amp;IF(ISBLANK(S9),,S9&amp;" ")&amp;IF(ISBLANK(T9),,T9&amp;" ")&amp;IF(ISBLANK(U9),,U9)</f>
        <v>aa 00 04 62 01 01 00 68 55</v>
      </c>
      <c r="W9" s="517" t="s">
        <v>383</v>
      </c>
      <c r="X9" s="518"/>
      <c r="Y9" s="518"/>
      <c r="Z9" s="518"/>
      <c r="AA9" s="518"/>
      <c r="AB9" s="518"/>
      <c r="AC9" s="518"/>
      <c r="AD9" s="519"/>
    </row>
    <row r="10" spans="2:30" ht="15" thickBot="1" x14ac:dyDescent="0.3">
      <c r="B10" s="18" t="s">
        <v>0</v>
      </c>
      <c r="C10" s="18" t="s">
        <v>1</v>
      </c>
      <c r="D10" s="46" t="str">
        <f>DEC2HEX( COUNTA(E10:S10),2)</f>
        <v>04</v>
      </c>
      <c r="E10" s="19" t="s">
        <v>112</v>
      </c>
      <c r="F10" s="19" t="s">
        <v>4</v>
      </c>
      <c r="G10" s="19" t="s">
        <v>4</v>
      </c>
      <c r="H10" s="537" t="s">
        <v>4</v>
      </c>
      <c r="I10" s="538"/>
      <c r="J10" s="538"/>
      <c r="K10" s="538"/>
      <c r="L10" s="538"/>
      <c r="M10" s="538"/>
      <c r="N10" s="538"/>
      <c r="O10" s="538"/>
      <c r="P10" s="538"/>
      <c r="Q10" s="538"/>
      <c r="R10" s="538"/>
      <c r="S10" s="539"/>
      <c r="T10" s="85" t="str">
        <f>DEC2HEX(MOD(HEX2DEC(C10)+HEX2DEC(D10)+HEX2DEC(E10)+HEX2DEC(F10)+HEX2DEC(G10)+HEX2DEC(H10)+HEX2DEC(I10)+HEX2DEC(J10)+HEX2DEC(K10)+HEX2DEC(L10)+HEX2DEC(M10)+HEX2DEC(N10)+HEX2DEC(O10)+HEX2DEC(R10)+HEX2DEC(S10),256),2)</f>
        <v>69</v>
      </c>
      <c r="U10" s="18" t="s">
        <v>5</v>
      </c>
      <c r="V10" s="49" t="str">
        <f>IF(ISBLANK(B10),,B10&amp;" ")&amp;IF(ISBLANK(C10),,C10&amp;" ")&amp;IF(ISBLANK(D10),,D10&amp;" ")&amp;IF(ISBLANK(E10),,E10&amp;" ")&amp;IF(ISBLANK(F10),,F10&amp;" ")&amp;IF(ISBLANK(G10),,G10&amp;" ")&amp;IF(ISBLANK(H10),,H10&amp;" ")&amp;IF(ISBLANK(I10),,I10&amp;" ")&amp;IF(ISBLANK(J10),,J10&amp;" ")&amp;IF(ISBLANK(K10),,K10&amp;" ")&amp;IF(ISBLANK(L10),,L10&amp;" ")&amp;IF(ISBLANK(M10),,M10&amp;" ")&amp;IF(ISBLANK(N10),,N10&amp;" ")&amp;IF(ISBLANK(O10),,O10&amp;" ")&amp;IF(ISBLANK(R10),,R10&amp;" ")&amp;IF(ISBLANK(S10),,S10&amp;" ")&amp;IF(ISBLANK(T10),,T10&amp;" ")&amp;IF(ISBLANK(U10),,U10)</f>
        <v>aa 00 04 62 01 01 01 69 55</v>
      </c>
      <c r="W10" s="517" t="s">
        <v>114</v>
      </c>
      <c r="X10" s="518"/>
      <c r="Y10" s="518"/>
      <c r="Z10" s="518"/>
      <c r="AA10" s="518"/>
      <c r="AB10" s="518"/>
      <c r="AC10" s="518"/>
      <c r="AD10" s="519"/>
    </row>
    <row r="11" spans="2:30" x14ac:dyDescent="0.25">
      <c r="B11" s="78"/>
      <c r="C11" s="78"/>
      <c r="D11" s="78"/>
      <c r="E11" s="79"/>
      <c r="F11" s="79"/>
      <c r="G11" s="79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78"/>
      <c r="U11" s="78"/>
      <c r="V11" s="80"/>
      <c r="W11" s="37"/>
      <c r="X11" s="37"/>
      <c r="Y11" s="37"/>
      <c r="Z11" s="37"/>
      <c r="AA11" s="37"/>
      <c r="AB11" s="37"/>
      <c r="AC11" s="37"/>
      <c r="AD11" s="37"/>
    </row>
    <row r="12" spans="2:30" x14ac:dyDescent="0.25">
      <c r="C12" s="178"/>
      <c r="D12" s="178"/>
      <c r="E12" s="178"/>
      <c r="F12" s="178"/>
      <c r="G12" s="178"/>
      <c r="H12" s="178"/>
      <c r="I12" s="178"/>
      <c r="J12" s="178"/>
      <c r="K12" s="178"/>
      <c r="L12" s="178"/>
      <c r="M12" s="178"/>
      <c r="N12" s="178"/>
      <c r="O12" s="178"/>
      <c r="P12" s="178"/>
      <c r="Q12" s="178"/>
      <c r="R12" s="178"/>
      <c r="S12" s="178"/>
      <c r="T12" s="178"/>
      <c r="U12" s="178"/>
      <c r="V12" s="180" t="s">
        <v>299</v>
      </c>
      <c r="W12" s="178"/>
      <c r="X12" s="178"/>
      <c r="Y12" s="178"/>
      <c r="Z12" s="178"/>
      <c r="AA12" s="178"/>
      <c r="AB12" s="178"/>
      <c r="AC12" s="178"/>
      <c r="AD12" s="179"/>
    </row>
    <row r="13" spans="2:30" ht="15" thickBot="1" x14ac:dyDescent="0.3">
      <c r="B13" s="18" t="s">
        <v>0</v>
      </c>
      <c r="C13" s="18" t="s">
        <v>1</v>
      </c>
      <c r="D13" s="46" t="str">
        <f t="shared" ref="D13:D17" si="0">DEC2HEX( COUNTA(E13:S13),2)</f>
        <v>03</v>
      </c>
      <c r="E13" s="19" t="s">
        <v>112</v>
      </c>
      <c r="F13" s="19" t="s">
        <v>1</v>
      </c>
      <c r="G13" s="19" t="s">
        <v>70</v>
      </c>
      <c r="H13" s="107"/>
      <c r="I13" s="107"/>
      <c r="J13" s="107"/>
      <c r="K13" s="107"/>
      <c r="L13" s="107"/>
      <c r="M13" s="107"/>
      <c r="N13" s="107"/>
      <c r="O13" s="107"/>
      <c r="P13" s="107"/>
      <c r="Q13" s="107"/>
      <c r="R13" s="107"/>
      <c r="S13" s="107"/>
      <c r="T13" s="85" t="str">
        <f>DEC2HEX(MOD(HEX2DEC(C13)+HEX2DEC(D13)+HEX2DEC(E13)+HEX2DEC(F13)+HEX2DEC(G13)+HEX2DEC(H13)+HEX2DEC(I13)+HEX2DEC(J13)+HEX2DEC(K13)+HEX2DEC(L13)+HEX2DEC(M13)+HEX2DEC(N13)+HEX2DEC(O13)+HEX2DEC(R13)+HEX2DEC(S13),256),2)</f>
        <v>75</v>
      </c>
      <c r="U13" s="18" t="s">
        <v>5</v>
      </c>
      <c r="V13" s="49" t="str">
        <f>IF(ISBLANK(B13),,B13&amp;" ")&amp;IF(ISBLANK(C13),,C13&amp;" ")&amp;IF(ISBLANK(D13),,D13&amp;" ")&amp;IF(ISBLANK(E13),,E13&amp;" ")&amp;IF(ISBLANK(F13),,F13&amp;" ")&amp;IF(ISBLANK(G13),,G13&amp;" ")&amp;IF(ISBLANK(H13),,H13&amp;" ")&amp;IF(ISBLANK(I13),,I13&amp;" ")&amp;IF(ISBLANK(J13),,J13&amp;" ")&amp;IF(ISBLANK(K13),,K13&amp;" ")&amp;IF(ISBLANK(L13),,L13&amp;" ")&amp;IF(ISBLANK(M13),,M13&amp;" ")&amp;IF(ISBLANK(N13),,N13&amp;" ")&amp;IF(ISBLANK(O13),,O13&amp;" ")&amp;IF(ISBLANK(R13),,R13&amp;" ")&amp;IF(ISBLANK(S13),,S13&amp;" ")&amp;IF(ISBLANK(T13),,T13&amp;" ")&amp;IF(ISBLANK(U13),,U13)</f>
        <v>aa 00 03 62 00 10 75 55</v>
      </c>
      <c r="W13" s="517" t="s">
        <v>246</v>
      </c>
      <c r="X13" s="518"/>
      <c r="Y13" s="518"/>
      <c r="Z13" s="518"/>
      <c r="AA13" s="518"/>
      <c r="AB13" s="518"/>
      <c r="AC13" s="518"/>
      <c r="AD13" s="519"/>
    </row>
    <row r="14" spans="2:30" ht="15" thickBot="1" x14ac:dyDescent="0.3">
      <c r="B14" s="18" t="s">
        <v>0</v>
      </c>
      <c r="C14" s="18" t="s">
        <v>1</v>
      </c>
      <c r="D14" s="46" t="str">
        <f t="shared" si="0"/>
        <v>03</v>
      </c>
      <c r="E14" s="19" t="s">
        <v>112</v>
      </c>
      <c r="F14" s="19" t="s">
        <v>14</v>
      </c>
      <c r="G14" s="19" t="s">
        <v>70</v>
      </c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107"/>
      <c r="S14" s="107"/>
      <c r="T14" s="85" t="str">
        <f>DEC2HEX(MOD(HEX2DEC(C14)+HEX2DEC(D14)+HEX2DEC(E14)+HEX2DEC(F14)+HEX2DEC(G14)+HEX2DEC(H14)+HEX2DEC(I14)+HEX2DEC(J14)+HEX2DEC(K14)+HEX2DEC(L14)+HEX2DEC(M14)+HEX2DEC(N14)+HEX2DEC(O14)+HEX2DEC(R14)+HEX2DEC(S14),256),2)</f>
        <v>76</v>
      </c>
      <c r="U14" s="18" t="s">
        <v>5</v>
      </c>
      <c r="V14" s="49" t="str">
        <f t="shared" ref="V14:V27" si="1">IF(ISBLANK(B14),,B14&amp;" ")&amp;IF(ISBLANK(C14),,C14&amp;" ")&amp;IF(ISBLANK(D14),,D14&amp;" ")&amp;IF(ISBLANK(E14),,E14&amp;" ")&amp;IF(ISBLANK(F14),,F14&amp;" ")&amp;IF(ISBLANK(G14),,G14&amp;" ")&amp;IF(ISBLANK(H14),,H14&amp;" ")&amp;IF(ISBLANK(I14),,I14&amp;" ")&amp;IF(ISBLANK(J14),,J14&amp;" ")&amp;IF(ISBLANK(K14),,K14&amp;" ")&amp;IF(ISBLANK(L14),,L14&amp;" ")&amp;IF(ISBLANK(M14),,M14&amp;" ")&amp;IF(ISBLANK(N14),,N14&amp;" ")&amp;IF(ISBLANK(O14),,O14&amp;" ")&amp;IF(ISBLANK(R14),,R14&amp;" ")&amp;IF(ISBLANK(S14),,S14&amp;" ")&amp;IF(ISBLANK(T14),,T14&amp;" ")&amp;IF(ISBLANK(U14),,U14)</f>
        <v>aa 00 03 62 01 10 76 55</v>
      </c>
      <c r="W14" s="517" t="s">
        <v>247</v>
      </c>
      <c r="X14" s="518"/>
      <c r="Y14" s="518"/>
      <c r="Z14" s="518"/>
      <c r="AA14" s="518"/>
      <c r="AB14" s="518"/>
      <c r="AC14" s="518"/>
      <c r="AD14" s="519"/>
    </row>
    <row r="15" spans="2:30" ht="15" thickBot="1" x14ac:dyDescent="0.3">
      <c r="B15" s="18" t="s">
        <v>0</v>
      </c>
      <c r="C15" s="18" t="s">
        <v>1</v>
      </c>
      <c r="D15" s="46" t="str">
        <f t="shared" si="0"/>
        <v>03</v>
      </c>
      <c r="E15" s="19" t="s">
        <v>112</v>
      </c>
      <c r="F15" s="19" t="s">
        <v>15</v>
      </c>
      <c r="G15" s="19" t="s">
        <v>70</v>
      </c>
      <c r="H15" s="107"/>
      <c r="I15" s="107"/>
      <c r="J15" s="107"/>
      <c r="K15" s="107"/>
      <c r="L15" s="107"/>
      <c r="M15" s="107"/>
      <c r="N15" s="107"/>
      <c r="O15" s="107"/>
      <c r="P15" s="107"/>
      <c r="Q15" s="107"/>
      <c r="R15" s="107"/>
      <c r="S15" s="107"/>
      <c r="T15" s="85" t="str">
        <f>DEC2HEX(MOD(HEX2DEC(C15)+HEX2DEC(D15)+HEX2DEC(E15)+HEX2DEC(F15)+HEX2DEC(G15)+HEX2DEC(H15)+HEX2DEC(I15)+HEX2DEC(J15)+HEX2DEC(K15)+HEX2DEC(L15)+HEX2DEC(M15)+HEX2DEC(N15)+HEX2DEC(O15)+HEX2DEC(R15)+HEX2DEC(S15),256),2)</f>
        <v>77</v>
      </c>
      <c r="U15" s="18" t="s">
        <v>5</v>
      </c>
      <c r="V15" s="49" t="str">
        <f t="shared" si="1"/>
        <v>aa 00 03 62 02 10 77 55</v>
      </c>
      <c r="W15" s="517" t="s">
        <v>248</v>
      </c>
      <c r="X15" s="518"/>
      <c r="Y15" s="518"/>
      <c r="Z15" s="518"/>
      <c r="AA15" s="518"/>
      <c r="AB15" s="518"/>
      <c r="AC15" s="518"/>
      <c r="AD15" s="519"/>
    </row>
    <row r="16" spans="2:30" ht="15" thickBot="1" x14ac:dyDescent="0.3">
      <c r="B16" s="18" t="s">
        <v>254</v>
      </c>
      <c r="C16" s="18" t="s">
        <v>1</v>
      </c>
      <c r="D16" s="46" t="str">
        <f t="shared" si="0"/>
        <v>03</v>
      </c>
      <c r="E16" s="19" t="s">
        <v>112</v>
      </c>
      <c r="F16" s="19" t="s">
        <v>13</v>
      </c>
      <c r="G16" s="19" t="s">
        <v>70</v>
      </c>
      <c r="H16" s="107"/>
      <c r="I16" s="107"/>
      <c r="J16" s="107"/>
      <c r="K16" s="107"/>
      <c r="L16" s="107"/>
      <c r="M16" s="107"/>
      <c r="N16" s="107"/>
      <c r="O16" s="107"/>
      <c r="P16" s="107"/>
      <c r="Q16" s="107"/>
      <c r="R16" s="107"/>
      <c r="S16" s="107"/>
      <c r="T16" s="85" t="str">
        <f>DEC2HEX(MOD(HEX2DEC(C16)+HEX2DEC(D16)+HEX2DEC(E16)+HEX2DEC(F16)+HEX2DEC(G16)+HEX2DEC(H16)+HEX2DEC(I16)+HEX2DEC(J16)+HEX2DEC(K16)+HEX2DEC(L16)+HEX2DEC(M16)+HEX2DEC(N16)+HEX2DEC(O16)+HEX2DEC(R16)+HEX2DEC(S16),256),2)</f>
        <v>78</v>
      </c>
      <c r="U16" s="18" t="s">
        <v>5</v>
      </c>
      <c r="V16" s="49" t="str">
        <f t="shared" si="1"/>
        <v>aa 00 03 62 03 10 78 55</v>
      </c>
      <c r="W16" s="517" t="s">
        <v>249</v>
      </c>
      <c r="X16" s="518"/>
      <c r="Y16" s="518"/>
      <c r="Z16" s="518"/>
      <c r="AA16" s="518"/>
      <c r="AB16" s="518"/>
      <c r="AC16" s="518"/>
      <c r="AD16" s="519"/>
    </row>
    <row r="17" spans="2:30" ht="15" thickBot="1" x14ac:dyDescent="0.3">
      <c r="B17" s="18" t="s">
        <v>0</v>
      </c>
      <c r="C17" s="18" t="s">
        <v>1</v>
      </c>
      <c r="D17" s="46" t="str">
        <f t="shared" si="0"/>
        <v>03</v>
      </c>
      <c r="E17" s="19" t="s">
        <v>112</v>
      </c>
      <c r="F17" s="19" t="s">
        <v>18</v>
      </c>
      <c r="G17" s="19" t="s">
        <v>70</v>
      </c>
      <c r="H17" s="107"/>
      <c r="I17" s="107"/>
      <c r="J17" s="107"/>
      <c r="K17" s="107"/>
      <c r="L17" s="107"/>
      <c r="M17" s="107"/>
      <c r="N17" s="107"/>
      <c r="O17" s="107"/>
      <c r="P17" s="107"/>
      <c r="Q17" s="107"/>
      <c r="R17" s="107"/>
      <c r="S17" s="107"/>
      <c r="T17" s="85" t="str">
        <f>DEC2HEX(MOD(HEX2DEC(C17)+HEX2DEC(D17)+HEX2DEC(E17)+HEX2DEC(F17)+HEX2DEC(G17)+HEX2DEC(H17)+HEX2DEC(I17)+HEX2DEC(J17)+HEX2DEC(K17)+HEX2DEC(L17)+HEX2DEC(M17)+HEX2DEC(N17)+HEX2DEC(O17)+HEX2DEC(R17)+HEX2DEC(S17),256),2)</f>
        <v>79</v>
      </c>
      <c r="U17" s="18" t="s">
        <v>5</v>
      </c>
      <c r="V17" s="49" t="str">
        <f t="shared" si="1"/>
        <v>aa 00 03 62 04 10 79 55</v>
      </c>
      <c r="W17" s="517" t="s">
        <v>250</v>
      </c>
      <c r="X17" s="518"/>
      <c r="Y17" s="518"/>
      <c r="Z17" s="518"/>
      <c r="AA17" s="518"/>
      <c r="AB17" s="518"/>
      <c r="AC17" s="518"/>
      <c r="AD17" s="519"/>
    </row>
    <row r="18" spans="2:30" x14ac:dyDescent="0.25">
      <c r="B18" s="540" t="s">
        <v>300</v>
      </c>
      <c r="C18" s="541"/>
      <c r="D18" s="541"/>
      <c r="E18" s="541"/>
      <c r="F18" s="541"/>
      <c r="G18" s="541"/>
      <c r="H18" s="541"/>
      <c r="I18" s="541"/>
      <c r="J18" s="541"/>
      <c r="K18" s="541"/>
      <c r="L18" s="541"/>
      <c r="M18" s="541"/>
      <c r="N18" s="541"/>
      <c r="O18" s="541"/>
      <c r="P18" s="541"/>
      <c r="Q18" s="541"/>
      <c r="R18" s="541"/>
      <c r="S18" s="541"/>
      <c r="T18" s="541"/>
      <c r="U18" s="541"/>
      <c r="V18" s="541"/>
      <c r="W18" s="541"/>
      <c r="X18" s="541"/>
      <c r="Y18" s="541"/>
      <c r="Z18" s="541"/>
      <c r="AA18" s="541"/>
      <c r="AB18" s="541"/>
      <c r="AC18" s="541"/>
      <c r="AD18" s="542"/>
    </row>
    <row r="19" spans="2:30" s="39" customFormat="1" ht="15" thickBot="1" x14ac:dyDescent="0.3">
      <c r="B19" s="18" t="s">
        <v>0</v>
      </c>
      <c r="C19" s="18" t="s">
        <v>1</v>
      </c>
      <c r="D19" s="46" t="str">
        <f>DEC2HEX( COUNTA(E19:S19),2)</f>
        <v>03</v>
      </c>
      <c r="E19" s="19" t="s">
        <v>112</v>
      </c>
      <c r="F19" s="19" t="s">
        <v>1</v>
      </c>
      <c r="G19" s="19" t="s">
        <v>28</v>
      </c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85" t="str">
        <f>DEC2HEX(MOD(HEX2DEC(C19)+HEX2DEC(D19)+HEX2DEC(E19)+HEX2DEC(F19)+HEX2DEC(G19)+HEX2DEC(H19)+HEX2DEC(I19)+HEX2DEC(J19)+HEX2DEC(K19)+HEX2DEC(L19)+HEX2DEC(M19)+HEX2DEC(N19)+HEX2DEC(O19)+HEX2DEC(R19)+HEX2DEC(S19),256),2)</f>
        <v>76</v>
      </c>
      <c r="U19" s="18" t="s">
        <v>5</v>
      </c>
      <c r="V19" s="49" t="str">
        <f t="shared" si="1"/>
        <v>aa 00 03 62 00 11 76 55</v>
      </c>
      <c r="W19" s="517" t="s">
        <v>116</v>
      </c>
      <c r="X19" s="518"/>
      <c r="Y19" s="518"/>
      <c r="Z19" s="518"/>
      <c r="AA19" s="518"/>
      <c r="AB19" s="518"/>
      <c r="AC19" s="518"/>
      <c r="AD19" s="519"/>
    </row>
    <row r="20" spans="2:30" x14ac:dyDescent="0.25">
      <c r="C20" s="176"/>
      <c r="D20" s="176"/>
      <c r="E20" s="176"/>
      <c r="F20" s="176"/>
      <c r="G20" s="176"/>
      <c r="H20" s="176"/>
      <c r="I20" s="176"/>
      <c r="J20" s="176"/>
      <c r="K20" s="176"/>
      <c r="L20" s="176"/>
      <c r="M20" s="176"/>
      <c r="N20" s="176"/>
      <c r="O20" s="176"/>
      <c r="P20" s="176"/>
      <c r="Q20" s="176"/>
      <c r="R20" s="176"/>
      <c r="S20" s="176"/>
      <c r="T20" s="176"/>
      <c r="U20" s="176"/>
      <c r="V20" s="173" t="s">
        <v>515</v>
      </c>
      <c r="W20" s="174" t="s">
        <v>517</v>
      </c>
      <c r="X20" s="176"/>
      <c r="Y20" s="176"/>
      <c r="Z20" s="176"/>
      <c r="AA20" s="176"/>
      <c r="AB20" s="176"/>
      <c r="AC20" s="176"/>
      <c r="AD20" s="177"/>
    </row>
    <row r="21" spans="2:30" ht="15" thickBot="1" x14ac:dyDescent="0.3">
      <c r="B21" s="18" t="s">
        <v>0</v>
      </c>
      <c r="C21" s="18" t="s">
        <v>1</v>
      </c>
      <c r="D21" s="46" t="str">
        <f t="shared" ref="D21:D27" si="2">DEC2HEX( COUNTA(E21:S21),2)</f>
        <v>05</v>
      </c>
      <c r="E21" s="19" t="s">
        <v>112</v>
      </c>
      <c r="F21" s="19" t="s">
        <v>1</v>
      </c>
      <c r="G21" s="19" t="s">
        <v>53</v>
      </c>
      <c r="H21" s="3" t="str">
        <f>LEFT(RIGHT(DEC2HEX(W21,4),4),2)</f>
        <v>11</v>
      </c>
      <c r="I21" s="3" t="str">
        <f>LEFT(RIGHT(DEC2HEX(W21,4),2),2)</f>
        <v>94</v>
      </c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85" t="str">
        <f>DEC2HEX(MOD(HEX2DEC(C21)+HEX2DEC(D21)+HEX2DEC(E21)+HEX2DEC(F21)+HEX2DEC(G21)+HEX2DEC(H21)+HEX2DEC(I21)+HEX2DEC(J21)+HEX2DEC(K21)+HEX2DEC(L21)+HEX2DEC(M21)+HEX2DEC(N21)+HEX2DEC(O21)+HEX2DEC(R21)+HEX2DEC(S21),256),2)</f>
        <v>2C</v>
      </c>
      <c r="U21" s="18" t="s">
        <v>5</v>
      </c>
      <c r="V21" s="49" t="str">
        <f t="shared" si="1"/>
        <v>aa 00 05 62 00 20 11 94 2C 55</v>
      </c>
      <c r="W21" s="175">
        <v>4500</v>
      </c>
      <c r="X21" s="517" t="s">
        <v>516</v>
      </c>
      <c r="Y21" s="518"/>
      <c r="Z21" s="518"/>
      <c r="AA21" s="518"/>
      <c r="AB21" s="518"/>
      <c r="AC21" s="518"/>
      <c r="AD21" s="519"/>
    </row>
    <row r="22" spans="2:30" s="22" customFormat="1" ht="15" thickBot="1" x14ac:dyDescent="0.3">
      <c r="B22" s="18" t="s">
        <v>0</v>
      </c>
      <c r="C22" s="18" t="s">
        <v>1</v>
      </c>
      <c r="D22" s="46" t="str">
        <f t="shared" si="2"/>
        <v>05</v>
      </c>
      <c r="E22" s="19" t="s">
        <v>112</v>
      </c>
      <c r="F22" s="19" t="s">
        <v>14</v>
      </c>
      <c r="G22" s="19" t="s">
        <v>53</v>
      </c>
      <c r="H22" s="3" t="str">
        <f t="shared" ref="H22:H27" si="3">LEFT(RIGHT(DEC2HEX(W22,4),4),2)</f>
        <v>05</v>
      </c>
      <c r="I22" s="3" t="str">
        <f t="shared" ref="I22:I27" si="4">LEFT(RIGHT(DEC2HEX(W22,4),2),2)</f>
        <v>DC</v>
      </c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85" t="str">
        <f t="shared" ref="T22:T27" si="5">DEC2HEX(MOD(HEX2DEC(C22)+HEX2DEC(D22)+HEX2DEC(E22)+HEX2DEC(F22)+HEX2DEC(G22)+HEX2DEC(H22)+HEX2DEC(I22)+HEX2DEC(J22)+HEX2DEC(K22)+HEX2DEC(L22)+HEX2DEC(M22)+HEX2DEC(N22)+HEX2DEC(O22)+HEX2DEC(R22)+HEX2DEC(S22),256),2)</f>
        <v>69</v>
      </c>
      <c r="U22" s="18" t="s">
        <v>5</v>
      </c>
      <c r="V22" s="49" t="str">
        <f t="shared" si="1"/>
        <v>aa 00 05 62 01 20 05 DC 69 55</v>
      </c>
      <c r="W22" s="175">
        <v>1500</v>
      </c>
      <c r="X22" s="517" t="s">
        <v>516</v>
      </c>
      <c r="Y22" s="518"/>
      <c r="Z22" s="518"/>
      <c r="AA22" s="518"/>
      <c r="AB22" s="518"/>
      <c r="AC22" s="518"/>
      <c r="AD22" s="519"/>
    </row>
    <row r="23" spans="2:30" ht="15" thickBot="1" x14ac:dyDescent="0.3">
      <c r="B23" s="18" t="s">
        <v>0</v>
      </c>
      <c r="C23" s="18" t="s">
        <v>1</v>
      </c>
      <c r="D23" s="46" t="str">
        <f t="shared" si="2"/>
        <v>05</v>
      </c>
      <c r="E23" s="19" t="s">
        <v>112</v>
      </c>
      <c r="F23" s="19" t="s">
        <v>15</v>
      </c>
      <c r="G23" s="19" t="s">
        <v>53</v>
      </c>
      <c r="H23" s="3" t="str">
        <f t="shared" si="3"/>
        <v>07</v>
      </c>
      <c r="I23" s="3" t="str">
        <f t="shared" si="4"/>
        <v>D0</v>
      </c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85" t="str">
        <f t="shared" si="5"/>
        <v>60</v>
      </c>
      <c r="U23" s="18" t="s">
        <v>5</v>
      </c>
      <c r="V23" s="49" t="str">
        <f t="shared" si="1"/>
        <v>aa 00 05 62 02 20 07 D0 60 55</v>
      </c>
      <c r="W23" s="175">
        <v>2000</v>
      </c>
      <c r="X23" s="517" t="s">
        <v>516</v>
      </c>
      <c r="Y23" s="518"/>
      <c r="Z23" s="518"/>
      <c r="AA23" s="518"/>
      <c r="AB23" s="518"/>
      <c r="AC23" s="518"/>
      <c r="AD23" s="519"/>
    </row>
    <row r="24" spans="2:30" ht="15" thickBot="1" x14ac:dyDescent="0.3">
      <c r="B24" s="18" t="s">
        <v>0</v>
      </c>
      <c r="C24" s="18" t="s">
        <v>1</v>
      </c>
      <c r="D24" s="46" t="str">
        <f t="shared" si="2"/>
        <v>05</v>
      </c>
      <c r="E24" s="19" t="s">
        <v>112</v>
      </c>
      <c r="F24" s="19" t="s">
        <v>13</v>
      </c>
      <c r="G24" s="19" t="s">
        <v>53</v>
      </c>
      <c r="H24" s="3" t="str">
        <f t="shared" si="3"/>
        <v>07</v>
      </c>
      <c r="I24" s="3" t="str">
        <f t="shared" si="4"/>
        <v>D0</v>
      </c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85" t="str">
        <f t="shared" si="5"/>
        <v>61</v>
      </c>
      <c r="U24" s="18" t="s">
        <v>5</v>
      </c>
      <c r="V24" s="49" t="str">
        <f t="shared" si="1"/>
        <v>aa 00 05 62 03 20 07 D0 61 55</v>
      </c>
      <c r="W24" s="175">
        <v>2000</v>
      </c>
      <c r="X24" s="517" t="s">
        <v>516</v>
      </c>
      <c r="Y24" s="518"/>
      <c r="Z24" s="518"/>
      <c r="AA24" s="518"/>
      <c r="AB24" s="518"/>
      <c r="AC24" s="518"/>
      <c r="AD24" s="519"/>
    </row>
    <row r="25" spans="2:30" ht="15" thickBot="1" x14ac:dyDescent="0.3">
      <c r="B25" s="18" t="s">
        <v>0</v>
      </c>
      <c r="C25" s="18" t="s">
        <v>1</v>
      </c>
      <c r="D25" s="46" t="str">
        <f t="shared" si="2"/>
        <v>05</v>
      </c>
      <c r="E25" s="19" t="s">
        <v>112</v>
      </c>
      <c r="F25" s="19" t="s">
        <v>18</v>
      </c>
      <c r="G25" s="19" t="s">
        <v>53</v>
      </c>
      <c r="H25" s="3" t="str">
        <f t="shared" si="3"/>
        <v>07</v>
      </c>
      <c r="I25" s="3" t="str">
        <f t="shared" si="4"/>
        <v>D0</v>
      </c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85" t="str">
        <f t="shared" si="5"/>
        <v>62</v>
      </c>
      <c r="U25" s="18" t="s">
        <v>5</v>
      </c>
      <c r="V25" s="49" t="str">
        <f t="shared" si="1"/>
        <v>aa 00 05 62 04 20 07 D0 62 55</v>
      </c>
      <c r="W25" s="175">
        <v>2000</v>
      </c>
      <c r="X25" s="517" t="s">
        <v>516</v>
      </c>
      <c r="Y25" s="518"/>
      <c r="Z25" s="518"/>
      <c r="AA25" s="518"/>
      <c r="AB25" s="518"/>
      <c r="AC25" s="518"/>
      <c r="AD25" s="519"/>
    </row>
    <row r="26" spans="2:30" ht="15" thickBot="1" x14ac:dyDescent="0.3">
      <c r="B26" s="18" t="s">
        <v>0</v>
      </c>
      <c r="C26" s="18" t="s">
        <v>1</v>
      </c>
      <c r="D26" s="46" t="str">
        <f t="shared" si="2"/>
        <v>05</v>
      </c>
      <c r="E26" s="19" t="s">
        <v>112</v>
      </c>
      <c r="F26" s="19" t="s">
        <v>122</v>
      </c>
      <c r="G26" s="19" t="s">
        <v>53</v>
      </c>
      <c r="H26" s="3" t="str">
        <f t="shared" si="3"/>
        <v>07</v>
      </c>
      <c r="I26" s="3" t="str">
        <f t="shared" si="4"/>
        <v>D0</v>
      </c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85" t="str">
        <f t="shared" si="5"/>
        <v>63</v>
      </c>
      <c r="U26" s="18" t="s">
        <v>5</v>
      </c>
      <c r="V26" s="49" t="str">
        <f t="shared" si="1"/>
        <v>aa 00 05 62 05 20 07 D0 63 55</v>
      </c>
      <c r="W26" s="175">
        <v>2000</v>
      </c>
      <c r="X26" s="517" t="s">
        <v>516</v>
      </c>
      <c r="Y26" s="518"/>
      <c r="Z26" s="518"/>
      <c r="AA26" s="518"/>
      <c r="AB26" s="518"/>
      <c r="AC26" s="518"/>
      <c r="AD26" s="519"/>
    </row>
    <row r="27" spans="2:30" x14ac:dyDescent="0.25">
      <c r="B27" s="289" t="s">
        <v>0</v>
      </c>
      <c r="C27" s="289" t="s">
        <v>1</v>
      </c>
      <c r="D27" s="247" t="str">
        <f t="shared" si="2"/>
        <v>05</v>
      </c>
      <c r="E27" s="290" t="s">
        <v>112</v>
      </c>
      <c r="F27" s="290" t="s">
        <v>123</v>
      </c>
      <c r="G27" s="290" t="s">
        <v>53</v>
      </c>
      <c r="H27" s="257" t="str">
        <f t="shared" si="3"/>
        <v>07</v>
      </c>
      <c r="I27" s="257" t="str">
        <f t="shared" si="4"/>
        <v>D0</v>
      </c>
      <c r="J27" s="291"/>
      <c r="K27" s="291"/>
      <c r="L27" s="291"/>
      <c r="M27" s="291"/>
      <c r="N27" s="291"/>
      <c r="O27" s="291"/>
      <c r="P27" s="291"/>
      <c r="Q27" s="291"/>
      <c r="R27" s="291"/>
      <c r="S27" s="291"/>
      <c r="T27" s="246" t="str">
        <f t="shared" si="5"/>
        <v>64</v>
      </c>
      <c r="U27" s="289" t="s">
        <v>5</v>
      </c>
      <c r="V27" s="248" t="str">
        <f t="shared" si="1"/>
        <v>aa 00 05 62 06 20 07 D0 64 55</v>
      </c>
      <c r="W27" s="292">
        <v>2000</v>
      </c>
      <c r="X27" s="520" t="s">
        <v>516</v>
      </c>
      <c r="Y27" s="521"/>
      <c r="Z27" s="521"/>
      <c r="AA27" s="521"/>
      <c r="AB27" s="521"/>
      <c r="AC27" s="521"/>
      <c r="AD27" s="522"/>
    </row>
    <row r="28" spans="2:30" s="27" customFormat="1" x14ac:dyDescent="0.25">
      <c r="B28" s="288"/>
      <c r="C28" s="288"/>
      <c r="D28" s="288"/>
      <c r="E28" s="288"/>
      <c r="F28" s="288"/>
      <c r="G28" s="288"/>
      <c r="H28" s="288"/>
      <c r="I28" s="288"/>
      <c r="J28" s="288"/>
      <c r="K28" s="288"/>
      <c r="L28" s="288"/>
      <c r="M28" s="288"/>
      <c r="N28" s="288"/>
      <c r="O28" s="288"/>
      <c r="P28" s="288"/>
      <c r="Q28" s="288"/>
      <c r="R28" s="288"/>
      <c r="S28" s="288"/>
      <c r="T28" s="288"/>
      <c r="U28" s="288"/>
      <c r="V28" s="287"/>
      <c r="W28" s="287" t="s">
        <v>711</v>
      </c>
      <c r="X28" s="287" t="s">
        <v>709</v>
      </c>
      <c r="Y28" s="287" t="s">
        <v>710</v>
      </c>
      <c r="Z28" s="288"/>
      <c r="AA28" s="288"/>
      <c r="AB28" s="288"/>
      <c r="AC28" s="288"/>
      <c r="AD28" s="288"/>
    </row>
    <row r="29" spans="2:30" ht="18" customHeight="1" x14ac:dyDescent="0.25">
      <c r="B29" s="18" t="s">
        <v>0</v>
      </c>
      <c r="C29" s="18" t="s">
        <v>1</v>
      </c>
      <c r="D29" s="75" t="str">
        <f>DEC2HEX(COUNTA(E29:S29),2)</f>
        <v>0F</v>
      </c>
      <c r="E29" s="19" t="s">
        <v>112</v>
      </c>
      <c r="F29" s="19" t="s">
        <v>712</v>
      </c>
      <c r="G29" s="19" t="s">
        <v>42</v>
      </c>
      <c r="H29" s="3" t="str">
        <f>LEFT(RIGHT(DEC2HEX(W29*10000,8),8),2)</f>
        <v>01</v>
      </c>
      <c r="I29" s="3" t="str">
        <f>LEFT(RIGHT(DEC2HEX(W29*10000,8),6),2)</f>
        <v>31</v>
      </c>
      <c r="J29" s="3" t="str">
        <f>LEFT(RIGHT(DEC2HEX(W29*10000,8),4),2)</f>
        <v>2D</v>
      </c>
      <c r="K29" s="3" t="str">
        <f>RIGHT(DEC2HEX(W29*10000,8),2)</f>
        <v>00</v>
      </c>
      <c r="L29" s="3" t="str">
        <f>LEFT(RIGHT(DEC2HEX(X29*10000,8),8),2)</f>
        <v>01</v>
      </c>
      <c r="M29" s="3" t="str">
        <f>LEFT(RIGHT(DEC2HEX(X29*10000,8),6),2)</f>
        <v>31</v>
      </c>
      <c r="N29" s="3" t="str">
        <f>LEFT(RIGHT(DEC2HEX(X29*10000,8),4),2)</f>
        <v>2D</v>
      </c>
      <c r="O29" s="3" t="str">
        <f>RIGHT(DEC2HEX(X29*10000,8),2)</f>
        <v>00</v>
      </c>
      <c r="P29" s="3" t="str">
        <f>LEFT(RIGHT(DEC2HEX(Y29*10000,8),8),2)</f>
        <v>01</v>
      </c>
      <c r="Q29" s="3" t="str">
        <f>LEFT(RIGHT(DEC2HEX(Y29*10000,8),6),2)</f>
        <v>31</v>
      </c>
      <c r="R29" s="3" t="str">
        <f>LEFT(RIGHT(DEC2HEX(Y29*10000,8),4),2)</f>
        <v>2D</v>
      </c>
      <c r="S29" s="3" t="str">
        <f>RIGHT(DEC2HEX(Y29*10000,8),2)</f>
        <v>00</v>
      </c>
      <c r="T29" s="84" t="str">
        <f>DEC2HEX(MOD(HEX2DEC(C29)+HEX2DEC(D29)+HEX2DEC(E29)+HEX2DEC(F29)+HEX2DEC(G29)+HEX2DEC(H29)+HEX2DEC(I29)+HEX2DEC(J29)+HEX2DEC(K29)+HEX2DEC(L29)+HEX2DEC(M29)+HEX2DEC(N29)+HEX2DEC(O29)+HEX2DEC(P29)+HEX2DEC(Q29)+HEX2DEC(R29)+HEX2DEC(S29),256),2)</f>
        <v>CE</v>
      </c>
      <c r="U29" s="18" t="s">
        <v>5</v>
      </c>
      <c r="V29" s="55" t="str">
        <f>IF(ISBLANK(B29),,B29&amp;" ")&amp;IF(ISBLANK(C29),,C29&amp;" ")&amp;IF(ISBLANK(D29),,D29&amp;" ")&amp;IF(ISBLANK(E29),,E29&amp;" ")&amp;IF(ISBLANK(F29),,F29&amp;" ")&amp;IF(ISBLANK(G29),,G29&amp;" ")&amp;IF(ISBLANK(H29),,H29&amp;" ")&amp;IF(ISBLANK(I29),,I29&amp;" ")&amp;IF(ISBLANK(J29),,J29&amp;" ")&amp;IF(ISBLANK(K29),,K29&amp;" ")&amp;IF(ISBLANK(L29),,L29&amp;" ")&amp;IF(ISBLANK(M29),,M29&amp;" ")&amp;IF(ISBLANK(N29),,N29&amp;" ")&amp;IF(ISBLANK(O29),,O29&amp;" ")&amp;IF(ISBLANK(P29),,P29&amp;" ")&amp;IF(ISBLANK(Q29),,Q29&amp;" ")&amp;IF(ISBLANK(R29),,R29&amp;" ")&amp;IF(ISBLANK(S29),,S29&amp;" ")&amp;IF(ISBLANK(T29),,T29&amp;" ")&amp;IF(ISBLANK(U29),,U29)</f>
        <v>aa 00 0F 62 00 40 01 31 2D 00 01 31 2D 00 01 31 2D 00 CE 55</v>
      </c>
      <c r="W29" s="287">
        <v>2000</v>
      </c>
      <c r="X29" s="287">
        <v>2000</v>
      </c>
      <c r="Y29" s="287">
        <v>2000</v>
      </c>
      <c r="Z29" s="514" t="s">
        <v>708</v>
      </c>
      <c r="AA29" s="514"/>
      <c r="AB29" s="514"/>
      <c r="AC29" s="514"/>
      <c r="AD29" s="514"/>
    </row>
  </sheetData>
  <mergeCells count="29">
    <mergeCell ref="W19:AD19"/>
    <mergeCell ref="W7:AD7"/>
    <mergeCell ref="W10:AD10"/>
    <mergeCell ref="H7:S7"/>
    <mergeCell ref="H10:S10"/>
    <mergeCell ref="W14:AD14"/>
    <mergeCell ref="W15:AD15"/>
    <mergeCell ref="W16:AD16"/>
    <mergeCell ref="W17:AD17"/>
    <mergeCell ref="W13:AD13"/>
    <mergeCell ref="B8:U8"/>
    <mergeCell ref="B18:AD18"/>
    <mergeCell ref="H9:S9"/>
    <mergeCell ref="W9:AD9"/>
    <mergeCell ref="H6:S6"/>
    <mergeCell ref="B2:AD2"/>
    <mergeCell ref="B3:AD3"/>
    <mergeCell ref="H4:S4"/>
    <mergeCell ref="W4:AD4"/>
    <mergeCell ref="W6:AD6"/>
    <mergeCell ref="B5:U5"/>
    <mergeCell ref="Z29:AD29"/>
    <mergeCell ref="X26:AD26"/>
    <mergeCell ref="X27:AD27"/>
    <mergeCell ref="X21:AD21"/>
    <mergeCell ref="X22:AD22"/>
    <mergeCell ref="X23:AD23"/>
    <mergeCell ref="X24:AD24"/>
    <mergeCell ref="X25:AD25"/>
  </mergeCells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1:AB16"/>
  <sheetViews>
    <sheetView zoomScale="115" zoomScaleNormal="115" workbookViewId="0">
      <selection activeCell="U5" sqref="U5:U8"/>
    </sheetView>
  </sheetViews>
  <sheetFormatPr defaultRowHeight="14.4" x14ac:dyDescent="0.25"/>
  <cols>
    <col min="1" max="1" width="3.77734375" customWidth="1"/>
    <col min="2" max="19" width="3.6640625" customWidth="1"/>
    <col min="20" max="20" width="40.6640625" customWidth="1"/>
    <col min="21" max="26" width="4.6640625" customWidth="1"/>
    <col min="27" max="28" width="10.6640625" customWidth="1"/>
  </cols>
  <sheetData>
    <row r="1" spans="2:28" ht="15" thickBot="1" x14ac:dyDescent="0.3">
      <c r="T1" s="97"/>
    </row>
    <row r="2" spans="2:28" ht="22.2" x14ac:dyDescent="0.25">
      <c r="B2" s="465" t="s">
        <v>561</v>
      </c>
      <c r="C2" s="545"/>
      <c r="D2" s="545"/>
      <c r="E2" s="545"/>
      <c r="F2" s="545"/>
      <c r="G2" s="545"/>
      <c r="H2" s="545"/>
      <c r="I2" s="545"/>
      <c r="J2" s="545"/>
      <c r="K2" s="545"/>
      <c r="L2" s="545"/>
      <c r="M2" s="545"/>
      <c r="N2" s="545"/>
      <c r="O2" s="545"/>
      <c r="P2" s="545"/>
      <c r="Q2" s="545"/>
      <c r="R2" s="545"/>
      <c r="S2" s="545"/>
      <c r="T2" s="545"/>
      <c r="U2" s="545"/>
      <c r="V2" s="545"/>
      <c r="W2" s="545"/>
      <c r="X2" s="545"/>
      <c r="Y2" s="545"/>
      <c r="Z2" s="545"/>
      <c r="AA2" s="545"/>
      <c r="AB2" s="546"/>
    </row>
    <row r="3" spans="2:28" x14ac:dyDescent="0.25">
      <c r="B3" s="459" t="s">
        <v>275</v>
      </c>
      <c r="C3" s="388"/>
      <c r="D3" s="388"/>
      <c r="E3" s="388"/>
      <c r="F3" s="388"/>
      <c r="G3" s="388"/>
      <c r="H3" s="388"/>
      <c r="I3" s="388"/>
      <c r="J3" s="388"/>
      <c r="K3" s="388"/>
      <c r="L3" s="388"/>
      <c r="M3" s="388"/>
      <c r="N3" s="388"/>
      <c r="O3" s="388"/>
      <c r="P3" s="388"/>
      <c r="Q3" s="388"/>
      <c r="R3" s="388"/>
      <c r="S3" s="388"/>
      <c r="T3" s="188" t="s">
        <v>266</v>
      </c>
      <c r="U3" s="388" t="s">
        <v>267</v>
      </c>
      <c r="V3" s="388"/>
      <c r="W3" s="388"/>
      <c r="X3" s="388"/>
      <c r="Y3" s="388" t="s">
        <v>268</v>
      </c>
      <c r="Z3" s="388"/>
      <c r="AA3" s="388"/>
      <c r="AB3" s="460"/>
    </row>
    <row r="4" spans="2:28" ht="16.8" x14ac:dyDescent="0.25">
      <c r="B4" s="87" t="s">
        <v>77</v>
      </c>
      <c r="C4" s="189" t="s">
        <v>78</v>
      </c>
      <c r="D4" s="189" t="s">
        <v>10</v>
      </c>
      <c r="E4" s="189" t="s">
        <v>79</v>
      </c>
      <c r="F4" s="189" t="s">
        <v>80</v>
      </c>
      <c r="G4" s="189" t="s">
        <v>11</v>
      </c>
      <c r="H4" s="424" t="s">
        <v>83</v>
      </c>
      <c r="I4" s="424"/>
      <c r="J4" s="424"/>
      <c r="K4" s="424"/>
      <c r="L4" s="424"/>
      <c r="M4" s="424"/>
      <c r="N4" s="424"/>
      <c r="O4" s="424"/>
      <c r="P4" s="424"/>
      <c r="Q4" s="424"/>
      <c r="R4" s="83" t="s">
        <v>81</v>
      </c>
      <c r="S4" s="83" t="s">
        <v>82</v>
      </c>
      <c r="T4" s="51" t="s">
        <v>276</v>
      </c>
      <c r="U4" s="474" t="s">
        <v>6</v>
      </c>
      <c r="V4" s="475"/>
      <c r="W4" s="475"/>
      <c r="X4" s="475"/>
      <c r="Y4" s="475"/>
      <c r="Z4" s="475"/>
      <c r="AA4" s="475"/>
      <c r="AB4" s="547"/>
    </row>
    <row r="5" spans="2:28" ht="15" thickBot="1" x14ac:dyDescent="0.3">
      <c r="B5" s="206" t="s">
        <v>251</v>
      </c>
      <c r="C5" s="75" t="s">
        <v>256</v>
      </c>
      <c r="D5" s="46" t="str">
        <f>DEC2HEX( COUNTA(E5:Q5),2)</f>
        <v>04</v>
      </c>
      <c r="E5" s="76" t="s">
        <v>14</v>
      </c>
      <c r="F5" s="76" t="s">
        <v>256</v>
      </c>
      <c r="G5" s="76" t="s">
        <v>256</v>
      </c>
      <c r="H5" s="54" t="s">
        <v>14</v>
      </c>
      <c r="I5" s="54"/>
      <c r="J5" s="54"/>
      <c r="K5" s="54"/>
      <c r="L5" s="54"/>
      <c r="M5" s="54"/>
      <c r="N5" s="54"/>
      <c r="O5" s="54"/>
      <c r="P5" s="54"/>
      <c r="Q5" s="54"/>
      <c r="R5" s="85" t="str">
        <f>DEC2HEX(MOD(HEX2DEC(C5)+HEX2DEC(D5)+HEX2DEC(E5)+HEX2DEC(F5)+HEX2DEC(G5)+HEX2DEC(H5)+HEX2DEC(I5)+HEX2DEC(J5)+HEX2DEC(K5)+HEX2DEC(L5)+HEX2DEC(M5)+HEX2DEC(N5)+HEX2DEC(O5)+HEX2DEC(P5)+HEX2DEC(Q5),256),2)</f>
        <v>06</v>
      </c>
      <c r="S5" s="84" t="s">
        <v>5</v>
      </c>
      <c r="T5" s="49" t="str">
        <f>IF(ISBLANK(B5),,B5&amp;" ")&amp;IF(ISBLANK(C5),,C5&amp;" ")&amp;IF(ISBLANK(D5),,D5&amp;" ")&amp;IF(ISBLANK(E5),,E5&amp;" ")&amp;IF(ISBLANK(F5),,F5&amp;" ")&amp;IF(ISBLANK(G5),,G5&amp;" ")&amp;IF(ISBLANK(H5),,H5&amp;" ")&amp;IF(ISBLANK(I5),,I5&amp;" ")&amp;IF(ISBLANK(J5),,J5&amp;" ")&amp;IF(ISBLANK(K5),,K5&amp;" ")&amp;IF(ISBLANK(L5),,L5&amp;" ")&amp;IF(ISBLANK(M5),,M5&amp;" ")&amp;IF(ISBLANK(N5),,N5&amp;" ")&amp;IF(ISBLANK(O5),,O5&amp;" ")&amp;IF(ISBLANK(P5),,P5&amp;" ")&amp;IF(ISBLANK(Q5),,Q5&amp;" ")&amp;IF(ISBLANK(R5),,R5&amp;" ")&amp;IF(ISBLANK(S5),,S5)</f>
        <v>aa 00 04 01 00 00 01 06 55</v>
      </c>
      <c r="U5" s="273" t="s">
        <v>562</v>
      </c>
      <c r="V5" s="274"/>
      <c r="W5" s="274"/>
      <c r="X5" s="274"/>
      <c r="Y5" s="274"/>
      <c r="Z5" s="274"/>
      <c r="AA5" s="274"/>
      <c r="AB5" s="345"/>
    </row>
    <row r="6" spans="2:28" ht="15" thickBot="1" x14ac:dyDescent="0.3">
      <c r="B6" s="206" t="s">
        <v>251</v>
      </c>
      <c r="C6" s="75" t="s">
        <v>256</v>
      </c>
      <c r="D6" s="46" t="str">
        <f t="shared" ref="D6:D8" si="0">DEC2HEX( COUNTA(E6:Q6),2)</f>
        <v>04</v>
      </c>
      <c r="E6" s="76" t="s">
        <v>14</v>
      </c>
      <c r="F6" s="76" t="s">
        <v>256</v>
      </c>
      <c r="G6" s="76" t="s">
        <v>256</v>
      </c>
      <c r="H6" s="54" t="s">
        <v>15</v>
      </c>
      <c r="I6" s="54"/>
      <c r="J6" s="54"/>
      <c r="K6" s="54"/>
      <c r="L6" s="54"/>
      <c r="M6" s="54"/>
      <c r="N6" s="54"/>
      <c r="O6" s="54"/>
      <c r="P6" s="54"/>
      <c r="Q6" s="54"/>
      <c r="R6" s="85" t="str">
        <f t="shared" ref="R6:R12" si="1">DEC2HEX(MOD(HEX2DEC(C6)+HEX2DEC(D6)+HEX2DEC(E6)+HEX2DEC(F6)+HEX2DEC(G6)+HEX2DEC(H6)+HEX2DEC(I6)+HEX2DEC(J6)+HEX2DEC(K6)+HEX2DEC(L6)+HEX2DEC(M6)+HEX2DEC(N6)+HEX2DEC(O6)+HEX2DEC(P6)+HEX2DEC(Q6),256),2)</f>
        <v>07</v>
      </c>
      <c r="S6" s="84" t="s">
        <v>5</v>
      </c>
      <c r="T6" s="49" t="str">
        <f>IF(ISBLANK(B6),,B6&amp;" ")&amp;IF(ISBLANK(C6),,C6&amp;" ")&amp;IF(ISBLANK(D6),,D6&amp;" ")&amp;IF(ISBLANK(E6),,E6&amp;" ")&amp;IF(ISBLANK(F6),,F6&amp;" ")&amp;IF(ISBLANK(G6),,G6&amp;" ")&amp;IF(ISBLANK(H6),,H6&amp;" ")&amp;IF(ISBLANK(I6),,I6&amp;" ")&amp;IF(ISBLANK(J6),,J6&amp;" ")&amp;IF(ISBLANK(K6),,K6&amp;" ")&amp;IF(ISBLANK(L6),,L6&amp;" ")&amp;IF(ISBLANK(M6),,M6&amp;" ")&amp;IF(ISBLANK(N6),,N6&amp;" ")&amp;IF(ISBLANK(O6),,O6&amp;" ")&amp;IF(ISBLANK(P6),,P6&amp;" ")&amp;IF(ISBLANK(Q6),,Q6&amp;" ")&amp;IF(ISBLANK(R6),,R6&amp;" ")&amp;IF(ISBLANK(S6),,S6)</f>
        <v>aa 00 04 01 00 00 02 07 55</v>
      </c>
      <c r="U6" s="273" t="s">
        <v>563</v>
      </c>
      <c r="V6" s="274"/>
      <c r="W6" s="274"/>
      <c r="X6" s="274"/>
      <c r="Y6" s="274"/>
      <c r="Z6" s="274"/>
      <c r="AA6" s="274"/>
      <c r="AB6" s="345"/>
    </row>
    <row r="7" spans="2:28" ht="15" thickBot="1" x14ac:dyDescent="0.3">
      <c r="B7" s="206" t="s">
        <v>251</v>
      </c>
      <c r="C7" s="75" t="s">
        <v>256</v>
      </c>
      <c r="D7" s="46" t="str">
        <f t="shared" si="0"/>
        <v>04</v>
      </c>
      <c r="E7" s="76" t="s">
        <v>14</v>
      </c>
      <c r="F7" s="76" t="s">
        <v>256</v>
      </c>
      <c r="G7" s="76" t="s">
        <v>256</v>
      </c>
      <c r="H7" s="54" t="s">
        <v>13</v>
      </c>
      <c r="I7" s="54"/>
      <c r="J7" s="54"/>
      <c r="K7" s="54"/>
      <c r="L7" s="54"/>
      <c r="M7" s="54"/>
      <c r="N7" s="54"/>
      <c r="O7" s="54"/>
      <c r="P7" s="54"/>
      <c r="Q7" s="54"/>
      <c r="R7" s="85" t="str">
        <f t="shared" si="1"/>
        <v>08</v>
      </c>
      <c r="S7" s="84" t="s">
        <v>5</v>
      </c>
      <c r="T7" s="49" t="str">
        <f>IF(ISBLANK(B7),,B7&amp;" ")&amp;IF(ISBLANK(C7),,C7&amp;" ")&amp;IF(ISBLANK(D7),,D7&amp;" ")&amp;IF(ISBLANK(E7),,E7&amp;" ")&amp;IF(ISBLANK(F7),,F7&amp;" ")&amp;IF(ISBLANK(G7),,G7&amp;" ")&amp;IF(ISBLANK(H7),,H7&amp;" ")&amp;IF(ISBLANK(I7),,I7&amp;" ")&amp;IF(ISBLANK(J7),,J7&amp;" ")&amp;IF(ISBLANK(K7),,K7&amp;" ")&amp;IF(ISBLANK(L7),,L7&amp;" ")&amp;IF(ISBLANK(M7),,M7&amp;" ")&amp;IF(ISBLANK(N7),,N7&amp;" ")&amp;IF(ISBLANK(O7),,O7&amp;" ")&amp;IF(ISBLANK(P7),,P7&amp;" ")&amp;IF(ISBLANK(Q7),,Q7&amp;" ")&amp;IF(ISBLANK(R7),,R7&amp;" ")&amp;IF(ISBLANK(S7),,S7)</f>
        <v>aa 00 04 01 00 00 03 08 55</v>
      </c>
      <c r="U7" s="273" t="s">
        <v>564</v>
      </c>
      <c r="V7" s="274"/>
      <c r="W7" s="274"/>
      <c r="X7" s="274"/>
      <c r="Y7" s="274"/>
      <c r="Z7" s="274"/>
      <c r="AA7" s="274"/>
      <c r="AB7" s="345"/>
    </row>
    <row r="8" spans="2:28" ht="15" thickBot="1" x14ac:dyDescent="0.3">
      <c r="B8" s="88" t="s">
        <v>251</v>
      </c>
      <c r="C8" s="46" t="s">
        <v>256</v>
      </c>
      <c r="D8" s="46" t="str">
        <f t="shared" si="0"/>
        <v>03</v>
      </c>
      <c r="E8" s="47" t="s">
        <v>14</v>
      </c>
      <c r="F8" s="47" t="s">
        <v>256</v>
      </c>
      <c r="G8" s="47" t="s">
        <v>14</v>
      </c>
      <c r="H8" s="190"/>
      <c r="I8" s="190"/>
      <c r="J8" s="190"/>
      <c r="K8" s="190"/>
      <c r="L8" s="190"/>
      <c r="M8" s="190"/>
      <c r="N8" s="190"/>
      <c r="O8" s="190"/>
      <c r="P8" s="190"/>
      <c r="Q8" s="190"/>
      <c r="R8" s="85" t="str">
        <f t="shared" si="1"/>
        <v>05</v>
      </c>
      <c r="S8" s="85" t="s">
        <v>5</v>
      </c>
      <c r="T8" s="49" t="str">
        <f>IF(ISBLANK(B8),,B8&amp;" ")&amp;IF(ISBLANK(C8),,C8&amp;" ")&amp;IF(ISBLANK(D8),,D8&amp;" ")&amp;IF(ISBLANK(E8),,E8&amp;" ")&amp;IF(ISBLANK(F8),,F8&amp;" ")&amp;IF(ISBLANK(G8),,G8&amp;" ")&amp;IF(ISBLANK(H8),,H8&amp;" ")&amp;IF(ISBLANK(I8),,I8&amp;" ")&amp;IF(ISBLANK(J8),,J8&amp;" ")&amp;IF(ISBLANK(K8),,K8&amp;" ")&amp;IF(ISBLANK(L8),,L8&amp;" ")&amp;IF(ISBLANK(M8),,M8&amp;" ")&amp;IF(ISBLANK(N8),,N8&amp;" ")&amp;IF(ISBLANK(O8),,O8&amp;" ")&amp;IF(ISBLANK(P8),,P8&amp;" ")&amp;IF(ISBLANK(Q8),,Q8&amp;" ")&amp;IF(ISBLANK(R8),,R8&amp;" ")&amp;IF(ISBLANK(S8),,S8)</f>
        <v>aa 00 03 01 00 01 05 55</v>
      </c>
      <c r="U8" s="341" t="s">
        <v>623</v>
      </c>
      <c r="V8" s="342"/>
      <c r="W8" s="342"/>
      <c r="X8" s="342"/>
      <c r="Y8" s="342"/>
      <c r="Z8" s="342"/>
      <c r="AA8" s="342"/>
      <c r="AB8" s="343"/>
    </row>
    <row r="9" spans="2:28" x14ac:dyDescent="0.25">
      <c r="B9" s="209"/>
      <c r="C9" s="210"/>
      <c r="D9" s="210"/>
      <c r="E9" s="210"/>
      <c r="F9" s="210"/>
      <c r="G9" s="210"/>
      <c r="H9" s="210"/>
      <c r="I9" s="210"/>
      <c r="J9" s="210"/>
      <c r="K9" s="210"/>
      <c r="L9" s="210"/>
      <c r="M9" s="210"/>
      <c r="N9" s="210"/>
      <c r="O9" s="210"/>
      <c r="P9" s="210"/>
      <c r="Q9" s="210"/>
      <c r="R9" s="210"/>
      <c r="S9" s="210"/>
      <c r="T9" s="211" t="s">
        <v>574</v>
      </c>
      <c r="U9" s="210"/>
      <c r="V9" s="210"/>
      <c r="W9" s="210"/>
      <c r="X9" s="210"/>
      <c r="Y9" s="210"/>
      <c r="Z9" s="210"/>
      <c r="AA9" s="210"/>
      <c r="AB9" s="212"/>
    </row>
    <row r="10" spans="2:28" ht="15" thickBot="1" x14ac:dyDescent="0.3">
      <c r="B10" s="206" t="s">
        <v>251</v>
      </c>
      <c r="C10" s="75" t="s">
        <v>256</v>
      </c>
      <c r="D10" s="46" t="str">
        <f>DEC2HEX( COUNTA(E10:Q10),2)</f>
        <v>03</v>
      </c>
      <c r="E10" s="76" t="s">
        <v>14</v>
      </c>
      <c r="F10" s="76" t="s">
        <v>256</v>
      </c>
      <c r="G10" s="76" t="s">
        <v>573</v>
      </c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85" t="str">
        <f t="shared" si="1"/>
        <v>06</v>
      </c>
      <c r="S10" s="84" t="s">
        <v>5</v>
      </c>
      <c r="T10" s="49" t="str">
        <f>IF(ISBLANK(B10),,B10&amp;" ")&amp;IF(ISBLANK(C10),,C10&amp;" ")&amp;IF(ISBLANK(D10),,D10&amp;" ")&amp;IF(ISBLANK(E10),,E10&amp;" ")&amp;IF(ISBLANK(F10),,F10&amp;" ")&amp;IF(ISBLANK(G10),,G10&amp;" ")&amp;IF(ISBLANK(H10),,H10&amp;" ")&amp;IF(ISBLANK(I10),,I10&amp;" ")&amp;IF(ISBLANK(J10),,J10&amp;" ")&amp;IF(ISBLANK(K10),,K10&amp;" ")&amp;IF(ISBLANK(L10),,L10&amp;" ")&amp;IF(ISBLANK(M10),,M10&amp;" ")&amp;IF(ISBLANK(N10),,N10&amp;" ")&amp;IF(ISBLANK(O10),,O10&amp;" ")&amp;IF(ISBLANK(P10),,P10&amp;" ")&amp;IF(ISBLANK(Q10),,Q10&amp;" ")&amp;IF(ISBLANK(R10),,R10&amp;" ")&amp;IF(ISBLANK(S10),,S10)</f>
        <v>aa 00 03 01 00 02 06 55</v>
      </c>
      <c r="U10" s="477" t="s">
        <v>565</v>
      </c>
      <c r="V10" s="472"/>
      <c r="W10" s="472"/>
      <c r="X10" s="472"/>
      <c r="Y10" s="472"/>
      <c r="Z10" s="472"/>
      <c r="AA10" s="472"/>
      <c r="AB10" s="484"/>
    </row>
    <row r="11" spans="2:28" x14ac:dyDescent="0.25">
      <c r="B11" s="206"/>
      <c r="C11" s="75"/>
      <c r="D11" s="75"/>
      <c r="E11" s="76"/>
      <c r="F11" s="76"/>
      <c r="G11" s="76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84"/>
      <c r="S11" s="84"/>
      <c r="T11" s="55"/>
      <c r="U11" s="116" t="s">
        <v>567</v>
      </c>
      <c r="V11" s="116" t="s">
        <v>568</v>
      </c>
      <c r="W11" s="116" t="s">
        <v>569</v>
      </c>
      <c r="X11" s="116" t="s">
        <v>570</v>
      </c>
      <c r="Y11" s="116" t="s">
        <v>571</v>
      </c>
      <c r="Z11" s="116" t="s">
        <v>572</v>
      </c>
      <c r="AA11" s="477"/>
      <c r="AB11" s="484"/>
    </row>
    <row r="12" spans="2:28" ht="15" thickBot="1" x14ac:dyDescent="0.3">
      <c r="B12" s="88" t="s">
        <v>251</v>
      </c>
      <c r="C12" s="46" t="s">
        <v>256</v>
      </c>
      <c r="D12" s="46" t="str">
        <f>DEC2HEX( COUNTA(E12:Q12),2)</f>
        <v>09</v>
      </c>
      <c r="E12" s="47" t="s">
        <v>14</v>
      </c>
      <c r="F12" s="47" t="s">
        <v>256</v>
      </c>
      <c r="G12" s="47" t="s">
        <v>8</v>
      </c>
      <c r="H12" s="190" t="str">
        <f>DEC2HEX(U12,2)</f>
        <v>13</v>
      </c>
      <c r="I12" s="190" t="str">
        <f t="shared" ref="I12:L12" si="2">DEC2HEX(V12,2)</f>
        <v>02</v>
      </c>
      <c r="J12" s="190" t="str">
        <f t="shared" si="2"/>
        <v>1C</v>
      </c>
      <c r="K12" s="190" t="str">
        <f t="shared" si="2"/>
        <v>17</v>
      </c>
      <c r="L12" s="190" t="str">
        <f t="shared" si="2"/>
        <v>3B</v>
      </c>
      <c r="M12" s="190" t="str">
        <f>DEC2HEX(Z12,2)</f>
        <v>3A</v>
      </c>
      <c r="N12" s="190"/>
      <c r="O12" s="190"/>
      <c r="P12" s="190"/>
      <c r="Q12" s="190"/>
      <c r="R12" s="85" t="str">
        <f t="shared" si="1"/>
        <v>CA</v>
      </c>
      <c r="S12" s="85" t="s">
        <v>5</v>
      </c>
      <c r="T12" s="49" t="str">
        <f>IF(ISBLANK(B12),,B12&amp;" ")&amp;IF(ISBLANK(C12),,C12&amp;" ")&amp;IF(ISBLANK(D12),,D12&amp;" ")&amp;IF(ISBLANK(E12),,E12&amp;" ")&amp;IF(ISBLANK(F12),,F12&amp;" ")&amp;IF(ISBLANK(G12),,G12&amp;" ")&amp;IF(ISBLANK(H12),,H12&amp;" ")&amp;IF(ISBLANK(I12),,I12&amp;" ")&amp;IF(ISBLANK(J12),,J12&amp;" ")&amp;IF(ISBLANK(K12),,K12&amp;" ")&amp;IF(ISBLANK(L12),,L12&amp;" ")&amp;IF(ISBLANK(M12),,M12&amp;" ")&amp;IF(ISBLANK(N12),,N12&amp;" ")&amp;IF(ISBLANK(O12),,O12&amp;" ")&amp;IF(ISBLANK(P12),,P12&amp;" ")&amp;IF(ISBLANK(Q12),,Q12&amp;" ")&amp;IF(ISBLANK(R12),,R12&amp;" ")&amp;IF(ISBLANK(S12),,S12)</f>
        <v>aa 00 09 01 00 03 13 02 1C 17 3B 3A CA 55</v>
      </c>
      <c r="U12" s="208">
        <v>19</v>
      </c>
      <c r="V12" s="208">
        <v>2</v>
      </c>
      <c r="W12" s="208">
        <v>28</v>
      </c>
      <c r="X12" s="208">
        <v>23</v>
      </c>
      <c r="Y12" s="208">
        <v>59</v>
      </c>
      <c r="Z12" s="208">
        <v>58</v>
      </c>
      <c r="AA12" s="543" t="s">
        <v>566</v>
      </c>
      <c r="AB12" s="544"/>
    </row>
    <row r="14" spans="2:28" ht="15" thickBot="1" x14ac:dyDescent="0.3">
      <c r="B14" s="206" t="s">
        <v>251</v>
      </c>
      <c r="C14" s="75" t="s">
        <v>256</v>
      </c>
      <c r="D14" s="46" t="str">
        <f t="shared" ref="D14" si="3">DEC2HEX( COUNTA(E14:Q14),2)</f>
        <v>04</v>
      </c>
      <c r="E14" s="76" t="s">
        <v>706</v>
      </c>
      <c r="F14" s="76" t="s">
        <v>256</v>
      </c>
      <c r="G14" s="76" t="s">
        <v>700</v>
      </c>
      <c r="H14" s="286" t="s">
        <v>701</v>
      </c>
      <c r="I14" s="286"/>
      <c r="J14" s="286"/>
      <c r="K14" s="286"/>
      <c r="L14" s="286"/>
      <c r="M14" s="286"/>
      <c r="N14" s="286"/>
      <c r="O14" s="286"/>
      <c r="P14" s="286"/>
      <c r="Q14" s="286"/>
      <c r="R14" s="85" t="str">
        <f t="shared" ref="R14" si="4">DEC2HEX(MOD(HEX2DEC(C14)+HEX2DEC(D14)+HEX2DEC(E14)+HEX2DEC(F14)+HEX2DEC(G14)+HEX2DEC(H14)+HEX2DEC(I14)+HEX2DEC(J14)+HEX2DEC(K14)+HEX2DEC(L14)+HEX2DEC(M14)+HEX2DEC(N14)+HEX2DEC(O14)+HEX2DEC(P14)+HEX2DEC(Q14),256),2)</f>
        <v>16</v>
      </c>
      <c r="S14" s="84" t="s">
        <v>5</v>
      </c>
      <c r="T14" s="49" t="str">
        <f>IF(ISBLANK(B14),,B14&amp;" ")&amp;IF(ISBLANK(C14),,C14&amp;" ")&amp;IF(ISBLANK(D14),,D14&amp;" ")&amp;IF(ISBLANK(E14),,E14&amp;" ")&amp;IF(ISBLANK(F14),,F14&amp;" ")&amp;IF(ISBLANK(G14),,G14&amp;" ")&amp;IF(ISBLANK(H14),,H14&amp;" ")&amp;IF(ISBLANK(I14),,I14&amp;" ")&amp;IF(ISBLANK(J14),,J14&amp;" ")&amp;IF(ISBLANK(K14),,K14&amp;" ")&amp;IF(ISBLANK(L14),,L14&amp;" ")&amp;IF(ISBLANK(M14),,M14&amp;" ")&amp;IF(ISBLANK(N14),,N14&amp;" ")&amp;IF(ISBLANK(O14),,O14&amp;" ")&amp;IF(ISBLANK(P14),,P14&amp;" ")&amp;IF(ISBLANK(Q14),,Q14&amp;" ")&amp;IF(ISBLANK(R14),,R14&amp;" ")&amp;IF(ISBLANK(S14),,S14)</f>
        <v>aa 00 04 E0 00 30 02 16 55</v>
      </c>
      <c r="U14" s="477" t="s">
        <v>705</v>
      </c>
      <c r="V14" s="472"/>
      <c r="W14" s="472"/>
      <c r="X14" s="472"/>
      <c r="Y14" s="472"/>
      <c r="Z14" s="472"/>
      <c r="AA14" s="472"/>
      <c r="AB14" s="484"/>
    </row>
    <row r="15" spans="2:28" ht="13.5" customHeight="1" thickBot="1" x14ac:dyDescent="0.3">
      <c r="B15" s="206" t="s">
        <v>251</v>
      </c>
      <c r="C15" s="75" t="s">
        <v>256</v>
      </c>
      <c r="D15" s="46" t="str">
        <f t="shared" ref="D15:D16" si="5">DEC2HEX( COUNTA(E15:Q15),2)</f>
        <v>04</v>
      </c>
      <c r="E15" s="76" t="s">
        <v>706</v>
      </c>
      <c r="F15" s="76" t="s">
        <v>704</v>
      </c>
      <c r="G15" s="76" t="s">
        <v>700</v>
      </c>
      <c r="H15" s="286" t="s">
        <v>701</v>
      </c>
      <c r="I15" s="286"/>
      <c r="J15" s="286"/>
      <c r="K15" s="286"/>
      <c r="L15" s="286"/>
      <c r="M15" s="286"/>
      <c r="N15" s="286"/>
      <c r="O15" s="286"/>
      <c r="P15" s="286"/>
      <c r="Q15" s="286"/>
      <c r="R15" s="85" t="str">
        <f t="shared" ref="R15:R16" si="6">DEC2HEX(MOD(HEX2DEC(C15)+HEX2DEC(D15)+HEX2DEC(E15)+HEX2DEC(F15)+HEX2DEC(G15)+HEX2DEC(H15)+HEX2DEC(I15)+HEX2DEC(J15)+HEX2DEC(K15)+HEX2DEC(L15)+HEX2DEC(M15)+HEX2DEC(N15)+HEX2DEC(O15)+HEX2DEC(P15)+HEX2DEC(Q15),256),2)</f>
        <v>17</v>
      </c>
      <c r="S15" s="84" t="s">
        <v>5</v>
      </c>
      <c r="T15" s="49" t="str">
        <f t="shared" ref="T15:T16" si="7">IF(ISBLANK(B15),,B15&amp;" ")&amp;IF(ISBLANK(C15),,C15&amp;" ")&amp;IF(ISBLANK(D15),,D15&amp;" ")&amp;IF(ISBLANK(E15),,E15&amp;" ")&amp;IF(ISBLANK(F15),,F15&amp;" ")&amp;IF(ISBLANK(G15),,G15&amp;" ")&amp;IF(ISBLANK(H15),,H15&amp;" ")&amp;IF(ISBLANK(I15),,I15&amp;" ")&amp;IF(ISBLANK(J15),,J15&amp;" ")&amp;IF(ISBLANK(K15),,K15&amp;" ")&amp;IF(ISBLANK(L15),,L15&amp;" ")&amp;IF(ISBLANK(M15),,M15&amp;" ")&amp;IF(ISBLANK(N15),,N15&amp;" ")&amp;IF(ISBLANK(O15),,O15&amp;" ")&amp;IF(ISBLANK(P15),,P15&amp;" ")&amp;IF(ISBLANK(Q15),,Q15&amp;" ")&amp;IF(ISBLANK(R15),,R15&amp;" ")&amp;IF(ISBLANK(S15),,S15)</f>
        <v>aa 00 04 E0 01 30 02 17 55</v>
      </c>
      <c r="U15" s="477" t="s">
        <v>702</v>
      </c>
      <c r="V15" s="472"/>
      <c r="W15" s="472"/>
      <c r="X15" s="472"/>
      <c r="Y15" s="472"/>
      <c r="Z15" s="472"/>
      <c r="AA15" s="472"/>
      <c r="AB15" s="484"/>
    </row>
    <row r="16" spans="2:28" ht="15" thickBot="1" x14ac:dyDescent="0.3">
      <c r="B16" s="206" t="s">
        <v>251</v>
      </c>
      <c r="C16" s="75" t="s">
        <v>256</v>
      </c>
      <c r="D16" s="46" t="str">
        <f t="shared" si="5"/>
        <v>04</v>
      </c>
      <c r="E16" s="76" t="s">
        <v>706</v>
      </c>
      <c r="F16" s="76" t="s">
        <v>701</v>
      </c>
      <c r="G16" s="76" t="s">
        <v>700</v>
      </c>
      <c r="H16" s="286" t="s">
        <v>701</v>
      </c>
      <c r="I16" s="286"/>
      <c r="J16" s="286"/>
      <c r="K16" s="286"/>
      <c r="L16" s="286"/>
      <c r="M16" s="286"/>
      <c r="N16" s="286"/>
      <c r="O16" s="286"/>
      <c r="P16" s="286"/>
      <c r="Q16" s="286"/>
      <c r="R16" s="85" t="str">
        <f t="shared" si="6"/>
        <v>18</v>
      </c>
      <c r="S16" s="84" t="s">
        <v>5</v>
      </c>
      <c r="T16" s="49" t="str">
        <f t="shared" si="7"/>
        <v>aa 00 04 E0 02 30 02 18 55</v>
      </c>
      <c r="U16" s="477" t="s">
        <v>703</v>
      </c>
      <c r="V16" s="472"/>
      <c r="W16" s="472"/>
      <c r="X16" s="472"/>
      <c r="Y16" s="472"/>
      <c r="Z16" s="472"/>
      <c r="AA16" s="472"/>
      <c r="AB16" s="484"/>
    </row>
  </sheetData>
  <mergeCells count="12">
    <mergeCell ref="B2:AB2"/>
    <mergeCell ref="B3:S3"/>
    <mergeCell ref="U3:X3"/>
    <mergeCell ref="Y3:AB3"/>
    <mergeCell ref="H4:Q4"/>
    <mergeCell ref="U4:AB4"/>
    <mergeCell ref="U14:AB14"/>
    <mergeCell ref="U15:AB15"/>
    <mergeCell ref="U16:AB16"/>
    <mergeCell ref="U10:AB10"/>
    <mergeCell ref="AA12:AB12"/>
    <mergeCell ref="AA11:AB11"/>
  </mergeCells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AC55"/>
  <sheetViews>
    <sheetView topLeftCell="H1" zoomScale="85" zoomScaleNormal="85" workbookViewId="0">
      <selection activeCell="O5" sqref="O5:P12"/>
    </sheetView>
  </sheetViews>
  <sheetFormatPr defaultRowHeight="14.4" x14ac:dyDescent="0.25"/>
  <cols>
    <col min="1" max="20" width="3.6640625" customWidth="1"/>
    <col min="21" max="21" width="30.6640625" customWidth="1"/>
    <col min="22" max="29" width="8.6640625" customWidth="1"/>
  </cols>
  <sheetData>
    <row r="1" spans="1:29" ht="22.2" x14ac:dyDescent="0.25">
      <c r="A1" s="515" t="s">
        <v>94</v>
      </c>
      <c r="B1" s="515"/>
      <c r="C1" s="515"/>
      <c r="D1" s="515"/>
      <c r="E1" s="515"/>
      <c r="F1" s="515"/>
      <c r="G1" s="515"/>
      <c r="H1" s="515"/>
      <c r="I1" s="515"/>
      <c r="J1" s="515"/>
      <c r="K1" s="515"/>
      <c r="L1" s="515"/>
      <c r="M1" s="515"/>
      <c r="N1" s="515"/>
      <c r="O1" s="515"/>
      <c r="P1" s="515"/>
      <c r="Q1" s="515"/>
      <c r="R1" s="515"/>
      <c r="S1" s="515"/>
      <c r="T1" s="515"/>
      <c r="U1" s="515"/>
      <c r="V1" s="515"/>
      <c r="W1" s="515"/>
      <c r="X1" s="515"/>
      <c r="Y1" s="515"/>
      <c r="Z1" s="515"/>
      <c r="AA1" s="515"/>
      <c r="AB1" s="515"/>
      <c r="AC1" s="515"/>
    </row>
    <row r="2" spans="1:29" x14ac:dyDescent="0.25">
      <c r="A2" s="16" t="s">
        <v>77</v>
      </c>
      <c r="B2" s="17" t="s">
        <v>78</v>
      </c>
      <c r="C2" s="98" t="s">
        <v>10</v>
      </c>
      <c r="D2" s="98" t="s">
        <v>79</v>
      </c>
      <c r="E2" s="74" t="s">
        <v>80</v>
      </c>
      <c r="F2" s="74" t="s">
        <v>11</v>
      </c>
      <c r="G2" s="548"/>
      <c r="H2" s="548"/>
      <c r="I2" s="548"/>
      <c r="J2" s="548"/>
      <c r="K2" s="548"/>
      <c r="L2" s="548"/>
      <c r="M2" s="548"/>
      <c r="N2" s="548"/>
      <c r="O2" s="548"/>
      <c r="P2" s="548"/>
      <c r="Q2" s="548"/>
      <c r="R2" s="548"/>
      <c r="S2" s="98" t="s">
        <v>81</v>
      </c>
      <c r="T2" s="98" t="s">
        <v>82</v>
      </c>
      <c r="U2" s="15" t="s">
        <v>84</v>
      </c>
      <c r="V2" s="554" t="s">
        <v>6</v>
      </c>
      <c r="W2" s="554"/>
      <c r="X2" s="554"/>
      <c r="Y2" s="554"/>
      <c r="Z2" s="554"/>
      <c r="AA2" s="554"/>
      <c r="AB2" s="554"/>
      <c r="AC2" s="554"/>
    </row>
    <row r="3" spans="1:29" x14ac:dyDescent="0.25">
      <c r="A3" s="16"/>
      <c r="B3" s="17"/>
      <c r="C3" s="98"/>
      <c r="D3" s="98"/>
      <c r="E3" s="98"/>
      <c r="F3" s="98"/>
      <c r="G3" s="548" t="s">
        <v>95</v>
      </c>
      <c r="H3" s="548"/>
      <c r="I3" s="548"/>
      <c r="J3" s="548"/>
      <c r="K3" s="548"/>
      <c r="L3" s="548"/>
      <c r="M3" s="548"/>
      <c r="N3" s="548"/>
      <c r="O3" s="548"/>
      <c r="P3" s="548"/>
      <c r="Q3" s="548"/>
      <c r="R3" s="548"/>
      <c r="S3" s="98"/>
      <c r="T3" s="98"/>
      <c r="U3" s="103"/>
      <c r="V3" s="23" t="s">
        <v>95</v>
      </c>
      <c r="W3" s="554"/>
      <c r="X3" s="554"/>
      <c r="Y3" s="554"/>
      <c r="Z3" s="554"/>
      <c r="AA3" s="554"/>
      <c r="AB3" s="554"/>
      <c r="AC3" s="554"/>
    </row>
    <row r="4" spans="1:29" x14ac:dyDescent="0.25">
      <c r="A4" s="18" t="s">
        <v>0</v>
      </c>
      <c r="B4" s="18" t="s">
        <v>98</v>
      </c>
      <c r="C4" s="18" t="s">
        <v>9</v>
      </c>
      <c r="D4" s="19" t="s">
        <v>70</v>
      </c>
      <c r="E4" s="19" t="s">
        <v>1</v>
      </c>
      <c r="F4" s="19" t="s">
        <v>1</v>
      </c>
      <c r="G4" s="555" t="str">
        <f>LEFT(DEC2HEX(V4,4),2)</f>
        <v>00</v>
      </c>
      <c r="H4" s="555"/>
      <c r="I4" s="555"/>
      <c r="J4" s="555"/>
      <c r="K4" s="555"/>
      <c r="L4" s="555"/>
      <c r="M4" s="555" t="str">
        <f>RIGHT(DEC2HEX(V4,4),2)</f>
        <v>0A</v>
      </c>
      <c r="N4" s="555"/>
      <c r="O4" s="555"/>
      <c r="P4" s="555"/>
      <c r="Q4" s="555"/>
      <c r="R4" s="555"/>
      <c r="S4" s="18" t="str">
        <f>DEC2HEX(MOD(HEX2DEC(B4)+HEX2DEC(C4)+HEX2DEC(D4)+HEX2DEC(E4)+HEX2DEC(F4)+HEX2DEC(G4)+HEX2DEC(H4)+HEX2DEC(I4)+HEX2DEC(J4)+HEX2DEC(K4)+HEX2DEC(L4)+HEX2DEC(M4)+HEX2DEC(R4),256),2)</f>
        <v>60</v>
      </c>
      <c r="T4" s="18" t="s">
        <v>5</v>
      </c>
      <c r="U4" s="12" t="str">
        <f>IF(ISBLANK(A4),,A4&amp;" ")&amp;IF(ISBLANK(B4),,B4&amp;" ")&amp;IF(ISBLANK(C4),,C4&amp;" ")&amp;IF(ISBLANK(D4),,D4&amp;" ")&amp;IF(ISBLANK(E4),,E4&amp;" ")&amp;IF(ISBLANK(F4),,F4&amp;" ")&amp;IF(ISBLANK(G4),,G4&amp;" ")&amp;IF(ISBLANK(H4),,H4&amp;" ")&amp;IF(ISBLANK(I4),,I4&amp;" ")&amp;IF(ISBLANK(J4),,J4&amp;" ")&amp;IF(ISBLANK(K4),,K4&amp;" ")&amp;IF(ISBLANK(L4),,L4&amp;" ")&amp;IF(ISBLANK(M4),,M4&amp;" ")&amp;IF(ISBLANK(N4),,N4&amp;" ")&amp;IF(ISBLANK(O4),,O4&amp;" ")&amp;IF(ISBLANK(P4),,P4&amp;" ")&amp;IF(ISBLANK(Q4),,Q4&amp;" ")&amp;IF(ISBLANK(R4),,R4&amp;" ")&amp;IF(ISBLANK(S4),,S4&amp;" ")&amp;IF(ISBLANK(T4),,T4)</f>
        <v>aa 41 05 10 00 00 00 0A 60 55</v>
      </c>
      <c r="V4" s="24">
        <v>10</v>
      </c>
      <c r="W4" s="387" t="s">
        <v>295</v>
      </c>
      <c r="X4" s="387"/>
      <c r="Y4" s="387"/>
      <c r="Z4" s="387"/>
      <c r="AA4" s="387"/>
      <c r="AB4" s="387"/>
      <c r="AC4" s="387"/>
    </row>
    <row r="5" spans="1:29" x14ac:dyDescent="0.25">
      <c r="A5" s="18"/>
      <c r="B5" s="18"/>
      <c r="C5" s="18"/>
      <c r="D5" s="19"/>
      <c r="E5" s="19"/>
      <c r="F5" s="19"/>
      <c r="G5" s="548" t="s">
        <v>83</v>
      </c>
      <c r="H5" s="548"/>
      <c r="I5" s="548"/>
      <c r="J5" s="548"/>
      <c r="K5" s="548"/>
      <c r="L5" s="548"/>
      <c r="M5" s="548"/>
      <c r="N5" s="548"/>
      <c r="O5" s="548" t="s">
        <v>294</v>
      </c>
      <c r="P5" s="548"/>
      <c r="Q5" s="548" t="s">
        <v>96</v>
      </c>
      <c r="R5" s="548"/>
      <c r="S5" s="18"/>
      <c r="T5" s="18"/>
      <c r="U5" s="35"/>
      <c r="V5" s="26" t="s">
        <v>340</v>
      </c>
      <c r="W5" s="41" t="s">
        <v>101</v>
      </c>
      <c r="X5" s="387"/>
      <c r="Y5" s="387"/>
      <c r="Z5" s="387"/>
      <c r="AA5" s="387"/>
      <c r="AB5" s="387"/>
      <c r="AC5" s="387"/>
    </row>
    <row r="6" spans="1:29" x14ac:dyDescent="0.25">
      <c r="A6" s="18" t="s">
        <v>0</v>
      </c>
      <c r="B6" s="18" t="s">
        <v>99</v>
      </c>
      <c r="C6" s="18" t="s">
        <v>93</v>
      </c>
      <c r="D6" s="19" t="s">
        <v>3</v>
      </c>
      <c r="E6" s="19" t="s">
        <v>37</v>
      </c>
      <c r="F6" s="19" t="s">
        <v>1</v>
      </c>
      <c r="G6" s="99" t="s">
        <v>343</v>
      </c>
      <c r="H6" s="99"/>
      <c r="I6" s="99"/>
      <c r="J6" s="99"/>
      <c r="K6" s="99"/>
      <c r="L6" s="99"/>
      <c r="M6" s="99"/>
      <c r="N6" s="99"/>
      <c r="O6" s="99" t="str">
        <f t="shared" ref="O6:O45" si="0">LEFT(DEC2HEX(V6,4),2)</f>
        <v>00</v>
      </c>
      <c r="P6" s="99" t="str">
        <f t="shared" ref="P6:P45" si="1">RIGHT(DEC2HEX(V6,4),2)</f>
        <v>64</v>
      </c>
      <c r="Q6" s="99" t="str">
        <f t="shared" ref="Q6:Q45" si="2">LEFT(DEC2HEX(W6,4),2)</f>
        <v>00</v>
      </c>
      <c r="R6" s="99" t="str">
        <f t="shared" ref="R6:R45" si="3">RIGHT(DEC2HEX(W6,4),2)</f>
        <v>01</v>
      </c>
      <c r="S6" s="18" t="str">
        <f t="shared" ref="S6:S45" si="4">DEC2HEX(MOD(HEX2DEC(B6)+HEX2DEC(C6)+HEX2DEC(D6)+HEX2DEC(E6)+HEX2DEC(F6)+HEX2DEC(G6)+HEX2DEC(H6)+HEX2DEC(I6)+HEX2DEC(J6)+HEX2DEC(K6)+HEX2DEC(L6)+HEX2DEC(M6)+HEX2DEC(N6)+HEX2DEC(O6)+HEX2DEC(P6)+HEX2DEC(Q6)+HEX2DEC(R6),256),2)</f>
        <v>DB</v>
      </c>
      <c r="T6" s="18" t="s">
        <v>5</v>
      </c>
      <c r="U6" s="12" t="str">
        <f t="shared" ref="U6:U25" si="5">IF(ISBLANK(A6),,A6&amp;" ")&amp;IF(ISBLANK(B6),,B6&amp;" ")&amp;IF(ISBLANK(C6),,C6&amp;" ")&amp;IF(ISBLANK(D6),,D6&amp;" ")&amp;IF(ISBLANK(E6),,E6&amp;" ")&amp;IF(ISBLANK(F6),,F6&amp;" ")&amp;IF(ISBLANK(G6),,G6&amp;" ")&amp;IF(ISBLANK(H6),,H6&amp;" ")&amp;IF(ISBLANK(I6),,I6&amp;" ")&amp;IF(ISBLANK(J6),,J6&amp;" ")&amp;IF(ISBLANK(K6),,K6&amp;" ")&amp;IF(ISBLANK(L6),,L6&amp;" ")&amp;IF(ISBLANK(M6),,M6&amp;" ")&amp;IF(ISBLANK(N6),,N6&amp;" ")&amp;IF(ISBLANK(O6),,O6&amp;" ")&amp;IF(ISBLANK(P6),,P6&amp;" ")&amp;IF(ISBLANK(Q6),,Q6&amp;" ")&amp;IF(ISBLANK(R6),,R6&amp;" ")&amp;IF(ISBLANK(S6),,S6&amp;" ")&amp;IF(ISBLANK(T6),,T6)</f>
        <v>aa 42 08 21 0A 00 01 00 64 00 01 DB 55</v>
      </c>
      <c r="V6" s="41">
        <v>100</v>
      </c>
      <c r="W6" s="41">
        <v>1</v>
      </c>
      <c r="X6" s="387" t="s">
        <v>341</v>
      </c>
      <c r="Y6" s="387"/>
      <c r="Z6" s="387"/>
      <c r="AA6" s="387"/>
      <c r="AB6" s="387"/>
      <c r="AC6" s="387"/>
    </row>
    <row r="7" spans="1:29" x14ac:dyDescent="0.25">
      <c r="A7" s="18" t="s">
        <v>0</v>
      </c>
      <c r="B7" s="18" t="s">
        <v>99</v>
      </c>
      <c r="C7" s="18" t="s">
        <v>345</v>
      </c>
      <c r="D7" s="19" t="s">
        <v>3</v>
      </c>
      <c r="E7" s="19" t="s">
        <v>37</v>
      </c>
      <c r="F7" s="19" t="s">
        <v>1</v>
      </c>
      <c r="G7" s="99" t="s">
        <v>344</v>
      </c>
      <c r="H7" s="99"/>
      <c r="I7" s="99"/>
      <c r="J7" s="99"/>
      <c r="K7" s="99"/>
      <c r="L7" s="99"/>
      <c r="M7" s="99"/>
      <c r="N7" s="99"/>
      <c r="O7" s="99" t="str">
        <f t="shared" si="0"/>
        <v>00</v>
      </c>
      <c r="P7" s="99" t="str">
        <f t="shared" si="1"/>
        <v>64</v>
      </c>
      <c r="Q7" s="99" t="str">
        <f t="shared" si="2"/>
        <v>00</v>
      </c>
      <c r="R7" s="99" t="str">
        <f t="shared" si="3"/>
        <v>02</v>
      </c>
      <c r="S7" s="18" t="str">
        <f t="shared" si="4"/>
        <v>DB</v>
      </c>
      <c r="T7" s="18" t="s">
        <v>5</v>
      </c>
      <c r="U7" s="12" t="str">
        <f t="shared" si="5"/>
        <v>aa 42 08 21 0A 00 00 00 64 00 02 DB 55</v>
      </c>
      <c r="V7" s="41">
        <v>100</v>
      </c>
      <c r="W7" s="41">
        <f>W6+1</f>
        <v>2</v>
      </c>
      <c r="X7" s="387" t="s">
        <v>342</v>
      </c>
      <c r="Y7" s="387"/>
      <c r="Z7" s="387"/>
      <c r="AA7" s="387"/>
      <c r="AB7" s="387"/>
      <c r="AC7" s="387"/>
    </row>
    <row r="8" spans="1:29" x14ac:dyDescent="0.25">
      <c r="A8" s="18" t="s">
        <v>0</v>
      </c>
      <c r="B8" s="18" t="s">
        <v>99</v>
      </c>
      <c r="C8" s="18" t="s">
        <v>345</v>
      </c>
      <c r="D8" s="19" t="s">
        <v>169</v>
      </c>
      <c r="E8" s="19" t="s">
        <v>14</v>
      </c>
      <c r="F8" s="19" t="s">
        <v>256</v>
      </c>
      <c r="G8" s="99" t="s">
        <v>14</v>
      </c>
      <c r="H8" s="99"/>
      <c r="I8" s="99"/>
      <c r="J8" s="99"/>
      <c r="K8" s="99"/>
      <c r="L8" s="99"/>
      <c r="M8" s="99"/>
      <c r="N8" s="99"/>
      <c r="O8" s="99" t="str">
        <f t="shared" si="0"/>
        <v>00</v>
      </c>
      <c r="P8" s="99" t="str">
        <f t="shared" si="1"/>
        <v>64</v>
      </c>
      <c r="Q8" s="99" t="str">
        <f t="shared" si="2"/>
        <v>00</v>
      </c>
      <c r="R8" s="99" t="str">
        <f t="shared" si="3"/>
        <v>03</v>
      </c>
      <c r="S8" s="18" t="str">
        <f t="shared" si="4"/>
        <v>D5</v>
      </c>
      <c r="T8" s="18" t="s">
        <v>5</v>
      </c>
      <c r="U8" s="12" t="str">
        <f t="shared" si="5"/>
        <v>aa 42 08 22 01 00 01 00 64 00 03 D5 55</v>
      </c>
      <c r="V8" s="41">
        <v>100</v>
      </c>
      <c r="W8" s="41">
        <f t="shared" ref="W8:W19" si="6">W7+1</f>
        <v>3</v>
      </c>
      <c r="X8" s="387" t="s">
        <v>347</v>
      </c>
      <c r="Y8" s="387"/>
      <c r="Z8" s="387"/>
      <c r="AA8" s="387"/>
      <c r="AB8" s="387"/>
      <c r="AC8" s="387"/>
    </row>
    <row r="9" spans="1:29" x14ac:dyDescent="0.25">
      <c r="A9" s="18" t="s">
        <v>0</v>
      </c>
      <c r="B9" s="18" t="s">
        <v>99</v>
      </c>
      <c r="C9" s="18" t="s">
        <v>93</v>
      </c>
      <c r="D9" s="19" t="s">
        <v>14</v>
      </c>
      <c r="E9" s="19" t="s">
        <v>256</v>
      </c>
      <c r="F9" s="19" t="s">
        <v>256</v>
      </c>
      <c r="G9" s="99" t="s">
        <v>13</v>
      </c>
      <c r="H9" s="99"/>
      <c r="I9" s="99"/>
      <c r="J9" s="99"/>
      <c r="K9" s="99"/>
      <c r="L9" s="99"/>
      <c r="M9" s="99"/>
      <c r="N9" s="99"/>
      <c r="O9" s="99" t="str">
        <f t="shared" si="0"/>
        <v>00</v>
      </c>
      <c r="P9" s="99" t="str">
        <f t="shared" si="1"/>
        <v>64</v>
      </c>
      <c r="Q9" s="99" t="str">
        <f t="shared" si="2"/>
        <v>00</v>
      </c>
      <c r="R9" s="99" t="str">
        <f t="shared" si="3"/>
        <v>04</v>
      </c>
      <c r="S9" s="18" t="str">
        <f t="shared" si="4"/>
        <v>B6</v>
      </c>
      <c r="T9" s="18" t="s">
        <v>5</v>
      </c>
      <c r="U9" s="12" t="str">
        <f t="shared" si="5"/>
        <v>aa 42 08 01 00 00 03 00 64 00 04 B6 55</v>
      </c>
      <c r="V9" s="41">
        <v>100</v>
      </c>
      <c r="W9" s="41">
        <f t="shared" si="6"/>
        <v>4</v>
      </c>
      <c r="X9" s="387" t="s">
        <v>350</v>
      </c>
      <c r="Y9" s="387"/>
      <c r="Z9" s="387"/>
      <c r="AA9" s="387"/>
      <c r="AB9" s="387"/>
      <c r="AC9" s="387"/>
    </row>
    <row r="10" spans="1:29" x14ac:dyDescent="0.25">
      <c r="A10" s="18" t="s">
        <v>0</v>
      </c>
      <c r="B10" s="18" t="s">
        <v>99</v>
      </c>
      <c r="C10" s="18" t="s">
        <v>45</v>
      </c>
      <c r="D10" s="19" t="s">
        <v>12</v>
      </c>
      <c r="E10" s="19" t="s">
        <v>346</v>
      </c>
      <c r="F10" s="19" t="s">
        <v>1</v>
      </c>
      <c r="G10" s="99"/>
      <c r="H10" s="99"/>
      <c r="I10" s="99"/>
      <c r="J10" s="99"/>
      <c r="K10" s="99"/>
      <c r="L10" s="99"/>
      <c r="M10" s="99"/>
      <c r="N10" s="99"/>
      <c r="O10" s="99" t="str">
        <f t="shared" si="0"/>
        <v>00</v>
      </c>
      <c r="P10" s="99" t="str">
        <f t="shared" si="1"/>
        <v>64</v>
      </c>
      <c r="Q10" s="99" t="str">
        <f t="shared" si="2"/>
        <v>00</v>
      </c>
      <c r="R10" s="99" t="str">
        <f t="shared" si="3"/>
        <v>05</v>
      </c>
      <c r="S10" s="18" t="str">
        <f t="shared" si="4"/>
        <v>94</v>
      </c>
      <c r="T10" s="18" t="s">
        <v>5</v>
      </c>
      <c r="U10" s="12" t="str">
        <f t="shared" si="5"/>
        <v>aa 42 07 E1 01 00 00 64 00 05 94 55</v>
      </c>
      <c r="V10" s="41">
        <v>100</v>
      </c>
      <c r="W10" s="41">
        <f t="shared" si="6"/>
        <v>5</v>
      </c>
      <c r="X10" s="387" t="s">
        <v>349</v>
      </c>
      <c r="Y10" s="387"/>
      <c r="Z10" s="387"/>
      <c r="AA10" s="387"/>
      <c r="AB10" s="387"/>
      <c r="AC10" s="387"/>
    </row>
    <row r="11" spans="1:29" x14ac:dyDescent="0.25">
      <c r="A11" s="18" t="s">
        <v>0</v>
      </c>
      <c r="B11" s="18" t="s">
        <v>99</v>
      </c>
      <c r="C11" s="18" t="s">
        <v>93</v>
      </c>
      <c r="D11" s="19" t="s">
        <v>169</v>
      </c>
      <c r="E11" s="19" t="s">
        <v>14</v>
      </c>
      <c r="F11" s="19" t="s">
        <v>256</v>
      </c>
      <c r="G11" s="99" t="s">
        <v>14</v>
      </c>
      <c r="H11" s="99"/>
      <c r="I11" s="99"/>
      <c r="J11" s="99"/>
      <c r="K11" s="99"/>
      <c r="L11" s="99"/>
      <c r="M11" s="99"/>
      <c r="N11" s="99"/>
      <c r="O11" s="99" t="str">
        <f t="shared" si="0"/>
        <v>00</v>
      </c>
      <c r="P11" s="99" t="str">
        <f t="shared" si="1"/>
        <v>64</v>
      </c>
      <c r="Q11" s="99" t="str">
        <f t="shared" si="2"/>
        <v>00</v>
      </c>
      <c r="R11" s="99" t="str">
        <f t="shared" si="3"/>
        <v>06</v>
      </c>
      <c r="S11" s="18" t="str">
        <f t="shared" si="4"/>
        <v>D8</v>
      </c>
      <c r="T11" s="18" t="s">
        <v>5</v>
      </c>
      <c r="U11" s="12" t="str">
        <f t="shared" si="5"/>
        <v>aa 42 08 22 01 00 01 00 64 00 06 D8 55</v>
      </c>
      <c r="V11" s="41">
        <v>100</v>
      </c>
      <c r="W11" s="41">
        <f t="shared" si="6"/>
        <v>6</v>
      </c>
      <c r="X11" s="387" t="s">
        <v>348</v>
      </c>
      <c r="Y11" s="387"/>
      <c r="Z11" s="387"/>
      <c r="AA11" s="387"/>
      <c r="AB11" s="387"/>
      <c r="AC11" s="387"/>
    </row>
    <row r="12" spans="1:29" x14ac:dyDescent="0.25">
      <c r="A12" s="18" t="s">
        <v>0</v>
      </c>
      <c r="B12" s="18" t="s">
        <v>99</v>
      </c>
      <c r="C12" s="18" t="s">
        <v>93</v>
      </c>
      <c r="D12" s="19" t="s">
        <v>3</v>
      </c>
      <c r="E12" s="19" t="s">
        <v>351</v>
      </c>
      <c r="F12" s="19" t="s">
        <v>1</v>
      </c>
      <c r="G12" s="99" t="s">
        <v>343</v>
      </c>
      <c r="H12" s="99"/>
      <c r="I12" s="99"/>
      <c r="J12" s="99"/>
      <c r="K12" s="99"/>
      <c r="L12" s="99"/>
      <c r="M12" s="99"/>
      <c r="N12" s="99"/>
      <c r="O12" s="99" t="str">
        <f t="shared" si="0"/>
        <v>00</v>
      </c>
      <c r="P12" s="99" t="str">
        <f t="shared" si="1"/>
        <v>64</v>
      </c>
      <c r="Q12" s="99" t="str">
        <f t="shared" si="2"/>
        <v>00</v>
      </c>
      <c r="R12" s="99" t="str">
        <f t="shared" si="3"/>
        <v>07</v>
      </c>
      <c r="S12" s="18" t="str">
        <f t="shared" si="4"/>
        <v>E2</v>
      </c>
      <c r="T12" s="18" t="s">
        <v>5</v>
      </c>
      <c r="U12" s="12" t="str">
        <f t="shared" si="5"/>
        <v>aa 42 08 21 0B 00 01 00 64 00 07 E2 55</v>
      </c>
      <c r="V12" s="41">
        <v>100</v>
      </c>
      <c r="W12" s="41">
        <f t="shared" si="6"/>
        <v>7</v>
      </c>
      <c r="X12" s="387" t="s">
        <v>356</v>
      </c>
      <c r="Y12" s="387"/>
      <c r="Z12" s="387"/>
      <c r="AA12" s="387"/>
      <c r="AB12" s="387"/>
      <c r="AC12" s="387"/>
    </row>
    <row r="13" spans="1:29" x14ac:dyDescent="0.25">
      <c r="A13" s="18" t="s">
        <v>0</v>
      </c>
      <c r="B13" s="18" t="s">
        <v>99</v>
      </c>
      <c r="C13" s="18" t="s">
        <v>345</v>
      </c>
      <c r="D13" s="19" t="s">
        <v>3</v>
      </c>
      <c r="E13" s="19" t="s">
        <v>351</v>
      </c>
      <c r="F13" s="19" t="s">
        <v>1</v>
      </c>
      <c r="G13" s="99" t="s">
        <v>344</v>
      </c>
      <c r="H13" s="99"/>
      <c r="I13" s="99"/>
      <c r="J13" s="99"/>
      <c r="K13" s="99"/>
      <c r="L13" s="99"/>
      <c r="M13" s="99"/>
      <c r="N13" s="99"/>
      <c r="O13" s="99" t="str">
        <f t="shared" si="0"/>
        <v>00</v>
      </c>
      <c r="P13" s="99" t="str">
        <f t="shared" si="1"/>
        <v>64</v>
      </c>
      <c r="Q13" s="99" t="str">
        <f t="shared" si="2"/>
        <v>00</v>
      </c>
      <c r="R13" s="99" t="str">
        <f t="shared" si="3"/>
        <v>08</v>
      </c>
      <c r="S13" s="18" t="str">
        <f t="shared" si="4"/>
        <v>E2</v>
      </c>
      <c r="T13" s="18" t="s">
        <v>5</v>
      </c>
      <c r="U13" s="12" t="str">
        <f t="shared" si="5"/>
        <v>aa 42 08 21 0B 00 00 00 64 00 08 E2 55</v>
      </c>
      <c r="V13" s="41">
        <v>100</v>
      </c>
      <c r="W13" s="41">
        <f t="shared" si="6"/>
        <v>8</v>
      </c>
      <c r="X13" s="387" t="s">
        <v>357</v>
      </c>
      <c r="Y13" s="387"/>
      <c r="Z13" s="387"/>
      <c r="AA13" s="387"/>
      <c r="AB13" s="387"/>
      <c r="AC13" s="387"/>
    </row>
    <row r="14" spans="1:29" s="93" customFormat="1" x14ac:dyDescent="0.25">
      <c r="A14" s="18" t="s">
        <v>0</v>
      </c>
      <c r="B14" s="18" t="s">
        <v>99</v>
      </c>
      <c r="C14" s="18" t="s">
        <v>93</v>
      </c>
      <c r="D14" s="19" t="s">
        <v>3</v>
      </c>
      <c r="E14" s="19" t="s">
        <v>352</v>
      </c>
      <c r="F14" s="19" t="s">
        <v>1</v>
      </c>
      <c r="G14" s="99" t="s">
        <v>343</v>
      </c>
      <c r="H14" s="99"/>
      <c r="I14" s="99"/>
      <c r="J14" s="99"/>
      <c r="K14" s="99"/>
      <c r="L14" s="99"/>
      <c r="M14" s="99"/>
      <c r="N14" s="99"/>
      <c r="O14" s="99" t="str">
        <f t="shared" si="0"/>
        <v>00</v>
      </c>
      <c r="P14" s="99" t="str">
        <f t="shared" si="1"/>
        <v>64</v>
      </c>
      <c r="Q14" s="99" t="str">
        <f t="shared" si="2"/>
        <v>00</v>
      </c>
      <c r="R14" s="99" t="str">
        <f t="shared" si="3"/>
        <v>09</v>
      </c>
      <c r="S14" s="18" t="str">
        <f t="shared" si="4"/>
        <v>E5</v>
      </c>
      <c r="T14" s="18" t="s">
        <v>5</v>
      </c>
      <c r="U14" s="12" t="str">
        <f t="shared" si="5"/>
        <v>aa 42 08 21 0C 00 01 00 64 00 09 E5 55</v>
      </c>
      <c r="V14" s="41">
        <v>100</v>
      </c>
      <c r="W14" s="41">
        <f t="shared" si="6"/>
        <v>9</v>
      </c>
      <c r="X14" s="387" t="s">
        <v>366</v>
      </c>
      <c r="Y14" s="387"/>
      <c r="Z14" s="387"/>
      <c r="AA14" s="387"/>
      <c r="AB14" s="387"/>
      <c r="AC14" s="387"/>
    </row>
    <row r="15" spans="1:29" s="93" customFormat="1" x14ac:dyDescent="0.25">
      <c r="A15" s="18" t="s">
        <v>0</v>
      </c>
      <c r="B15" s="18" t="s">
        <v>99</v>
      </c>
      <c r="C15" s="18" t="s">
        <v>345</v>
      </c>
      <c r="D15" s="19" t="s">
        <v>3</v>
      </c>
      <c r="E15" s="19" t="s">
        <v>352</v>
      </c>
      <c r="F15" s="19" t="s">
        <v>1</v>
      </c>
      <c r="G15" s="99" t="s">
        <v>344</v>
      </c>
      <c r="H15" s="99"/>
      <c r="I15" s="99"/>
      <c r="J15" s="99"/>
      <c r="K15" s="99"/>
      <c r="L15" s="99"/>
      <c r="M15" s="99"/>
      <c r="N15" s="99"/>
      <c r="O15" s="99" t="str">
        <f t="shared" si="0"/>
        <v>00</v>
      </c>
      <c r="P15" s="99" t="str">
        <f t="shared" si="1"/>
        <v>64</v>
      </c>
      <c r="Q15" s="99" t="str">
        <f t="shared" si="2"/>
        <v>00</v>
      </c>
      <c r="R15" s="99" t="str">
        <f t="shared" si="3"/>
        <v>0A</v>
      </c>
      <c r="S15" s="18" t="str">
        <f t="shared" si="4"/>
        <v>E5</v>
      </c>
      <c r="T15" s="18" t="s">
        <v>5</v>
      </c>
      <c r="U15" s="12" t="str">
        <f t="shared" si="5"/>
        <v>aa 42 08 21 0C 00 00 00 64 00 0A E5 55</v>
      </c>
      <c r="V15" s="41">
        <v>100</v>
      </c>
      <c r="W15" s="41">
        <f t="shared" si="6"/>
        <v>10</v>
      </c>
      <c r="X15" s="387" t="s">
        <v>358</v>
      </c>
      <c r="Y15" s="387"/>
      <c r="Z15" s="387"/>
      <c r="AA15" s="387"/>
      <c r="AB15" s="387"/>
      <c r="AC15" s="387"/>
    </row>
    <row r="16" spans="1:29" s="93" customFormat="1" x14ac:dyDescent="0.25">
      <c r="A16" s="18" t="s">
        <v>0</v>
      </c>
      <c r="B16" s="18" t="s">
        <v>99</v>
      </c>
      <c r="C16" s="18" t="s">
        <v>93</v>
      </c>
      <c r="D16" s="19" t="s">
        <v>3</v>
      </c>
      <c r="E16" s="19" t="s">
        <v>353</v>
      </c>
      <c r="F16" s="19" t="s">
        <v>1</v>
      </c>
      <c r="G16" s="99" t="s">
        <v>343</v>
      </c>
      <c r="H16" s="99"/>
      <c r="I16" s="99"/>
      <c r="J16" s="99"/>
      <c r="K16" s="99"/>
      <c r="L16" s="99"/>
      <c r="M16" s="99"/>
      <c r="N16" s="99"/>
      <c r="O16" s="99" t="str">
        <f t="shared" si="0"/>
        <v>00</v>
      </c>
      <c r="P16" s="99" t="str">
        <f t="shared" si="1"/>
        <v>C8</v>
      </c>
      <c r="Q16" s="99" t="str">
        <f t="shared" si="2"/>
        <v>00</v>
      </c>
      <c r="R16" s="99" t="str">
        <f t="shared" si="3"/>
        <v>0B</v>
      </c>
      <c r="S16" s="18" t="str">
        <f t="shared" si="4"/>
        <v>4C</v>
      </c>
      <c r="T16" s="18" t="s">
        <v>5</v>
      </c>
      <c r="U16" s="12" t="str">
        <f t="shared" si="5"/>
        <v>aa 42 08 21 0D 00 01 00 C8 00 0B 4C 55</v>
      </c>
      <c r="V16" s="41">
        <f>V15+100</f>
        <v>200</v>
      </c>
      <c r="W16" s="41">
        <f t="shared" si="6"/>
        <v>11</v>
      </c>
      <c r="X16" s="387" t="s">
        <v>359</v>
      </c>
      <c r="Y16" s="387"/>
      <c r="Z16" s="387"/>
      <c r="AA16" s="387"/>
      <c r="AB16" s="387"/>
      <c r="AC16" s="387"/>
    </row>
    <row r="17" spans="1:29" s="93" customFormat="1" x14ac:dyDescent="0.25">
      <c r="A17" s="18" t="s">
        <v>0</v>
      </c>
      <c r="B17" s="18" t="s">
        <v>99</v>
      </c>
      <c r="C17" s="18" t="s">
        <v>345</v>
      </c>
      <c r="D17" s="19" t="s">
        <v>3</v>
      </c>
      <c r="E17" s="19" t="s">
        <v>353</v>
      </c>
      <c r="F17" s="19" t="s">
        <v>1</v>
      </c>
      <c r="G17" s="99" t="s">
        <v>344</v>
      </c>
      <c r="H17" s="99"/>
      <c r="I17" s="99"/>
      <c r="J17" s="99"/>
      <c r="K17" s="99"/>
      <c r="L17" s="99"/>
      <c r="M17" s="99"/>
      <c r="N17" s="99"/>
      <c r="O17" s="99" t="str">
        <f t="shared" si="0"/>
        <v>01</v>
      </c>
      <c r="P17" s="99" t="str">
        <f t="shared" si="1"/>
        <v>2C</v>
      </c>
      <c r="Q17" s="99" t="str">
        <f t="shared" si="2"/>
        <v>00</v>
      </c>
      <c r="R17" s="99" t="str">
        <f t="shared" si="3"/>
        <v>0C</v>
      </c>
      <c r="S17" s="18" t="str">
        <f t="shared" si="4"/>
        <v>B1</v>
      </c>
      <c r="T17" s="18" t="s">
        <v>5</v>
      </c>
      <c r="U17" s="12" t="str">
        <f t="shared" si="5"/>
        <v>aa 42 08 21 0D 00 00 01 2C 00 0C B1 55</v>
      </c>
      <c r="V17" s="41">
        <f t="shared" ref="V17:V29" si="7">V16+100</f>
        <v>300</v>
      </c>
      <c r="W17" s="41">
        <f t="shared" si="6"/>
        <v>12</v>
      </c>
      <c r="X17" s="387" t="s">
        <v>360</v>
      </c>
      <c r="Y17" s="387"/>
      <c r="Z17" s="387"/>
      <c r="AA17" s="387"/>
      <c r="AB17" s="387"/>
      <c r="AC17" s="387"/>
    </row>
    <row r="18" spans="1:29" s="93" customFormat="1" x14ac:dyDescent="0.25">
      <c r="A18" s="18" t="s">
        <v>0</v>
      </c>
      <c r="B18" s="18" t="s">
        <v>99</v>
      </c>
      <c r="C18" s="18" t="s">
        <v>93</v>
      </c>
      <c r="D18" s="19" t="s">
        <v>3</v>
      </c>
      <c r="E18" s="19" t="s">
        <v>227</v>
      </c>
      <c r="F18" s="19" t="s">
        <v>1</v>
      </c>
      <c r="G18" s="102" t="s">
        <v>4</v>
      </c>
      <c r="H18" s="102"/>
      <c r="I18" s="102"/>
      <c r="J18" s="102"/>
      <c r="K18" s="102"/>
      <c r="L18" s="102"/>
      <c r="M18" s="102"/>
      <c r="N18" s="102"/>
      <c r="O18" s="102" t="str">
        <f t="shared" si="0"/>
        <v>01</v>
      </c>
      <c r="P18" s="102" t="str">
        <f t="shared" si="1"/>
        <v>90</v>
      </c>
      <c r="Q18" s="102" t="str">
        <f t="shared" si="2"/>
        <v>00</v>
      </c>
      <c r="R18" s="102" t="str">
        <f t="shared" si="3"/>
        <v>0D</v>
      </c>
      <c r="S18" s="18" t="str">
        <f t="shared" si="4"/>
        <v>18</v>
      </c>
      <c r="T18" s="18" t="s">
        <v>5</v>
      </c>
      <c r="U18" s="12" t="str">
        <f t="shared" si="5"/>
        <v>aa 42 08 21 0E 00 01 01 90 00 0D 18 55</v>
      </c>
      <c r="V18" s="41">
        <f t="shared" si="7"/>
        <v>400</v>
      </c>
      <c r="W18" s="41">
        <f t="shared" si="6"/>
        <v>13</v>
      </c>
      <c r="X18" s="387" t="s">
        <v>361</v>
      </c>
      <c r="Y18" s="387"/>
      <c r="Z18" s="387"/>
      <c r="AA18" s="387"/>
      <c r="AB18" s="387"/>
      <c r="AC18" s="387"/>
    </row>
    <row r="19" spans="1:29" s="93" customFormat="1" x14ac:dyDescent="0.25">
      <c r="A19" s="18" t="s">
        <v>0</v>
      </c>
      <c r="B19" s="18" t="s">
        <v>99</v>
      </c>
      <c r="C19" s="18" t="s">
        <v>93</v>
      </c>
      <c r="D19" s="19" t="s">
        <v>3</v>
      </c>
      <c r="E19" s="19" t="s">
        <v>355</v>
      </c>
      <c r="F19" s="19" t="s">
        <v>1</v>
      </c>
      <c r="G19" s="102" t="s">
        <v>1</v>
      </c>
      <c r="H19" s="102"/>
      <c r="I19" s="102"/>
      <c r="J19" s="102"/>
      <c r="K19" s="102"/>
      <c r="L19" s="102"/>
      <c r="M19" s="102"/>
      <c r="N19" s="102"/>
      <c r="O19" s="102" t="str">
        <f t="shared" si="0"/>
        <v>01</v>
      </c>
      <c r="P19" s="102" t="str">
        <f t="shared" si="1"/>
        <v>F4</v>
      </c>
      <c r="Q19" s="102" t="str">
        <f t="shared" si="2"/>
        <v>00</v>
      </c>
      <c r="R19" s="102" t="str">
        <f t="shared" si="3"/>
        <v>0E</v>
      </c>
      <c r="S19" s="18" t="str">
        <f t="shared" si="4"/>
        <v>7C</v>
      </c>
      <c r="T19" s="18" t="s">
        <v>5</v>
      </c>
      <c r="U19" s="12" t="str">
        <f t="shared" si="5"/>
        <v>aa 42 08 21 0E 00 00 01 F4 00 0E 7C 55</v>
      </c>
      <c r="V19" s="41">
        <f t="shared" si="7"/>
        <v>500</v>
      </c>
      <c r="W19" s="41">
        <f t="shared" si="6"/>
        <v>14</v>
      </c>
      <c r="X19" s="387" t="s">
        <v>362</v>
      </c>
      <c r="Y19" s="387"/>
      <c r="Z19" s="387"/>
      <c r="AA19" s="387"/>
      <c r="AB19" s="387"/>
      <c r="AC19" s="387"/>
    </row>
    <row r="20" spans="1:29" s="93" customFormat="1" x14ac:dyDescent="0.25">
      <c r="A20" s="18" t="s">
        <v>0</v>
      </c>
      <c r="B20" s="18" t="s">
        <v>99</v>
      </c>
      <c r="C20" s="18" t="s">
        <v>93</v>
      </c>
      <c r="D20" s="19" t="s">
        <v>3</v>
      </c>
      <c r="E20" s="19" t="s">
        <v>363</v>
      </c>
      <c r="F20" s="19" t="s">
        <v>1</v>
      </c>
      <c r="G20" s="102" t="s">
        <v>4</v>
      </c>
      <c r="H20" s="102"/>
      <c r="I20" s="102"/>
      <c r="J20" s="102"/>
      <c r="K20" s="102"/>
      <c r="L20" s="102"/>
      <c r="M20" s="102"/>
      <c r="N20" s="102"/>
      <c r="O20" s="102" t="str">
        <f t="shared" si="0"/>
        <v>02</v>
      </c>
      <c r="P20" s="102" t="str">
        <f t="shared" si="1"/>
        <v>58</v>
      </c>
      <c r="Q20" s="102" t="str">
        <f t="shared" si="2"/>
        <v>00</v>
      </c>
      <c r="R20" s="102" t="str">
        <f t="shared" si="3"/>
        <v>0F</v>
      </c>
      <c r="S20" s="18" t="str">
        <f t="shared" si="4"/>
        <v>E4</v>
      </c>
      <c r="T20" s="18" t="s">
        <v>5</v>
      </c>
      <c r="U20" s="12" t="str">
        <f t="shared" si="5"/>
        <v>aa 42 08 21 0F 00 01 02 58 00 0F E4 55</v>
      </c>
      <c r="V20" s="41">
        <f t="shared" si="7"/>
        <v>600</v>
      </c>
      <c r="W20" s="41">
        <f t="shared" ref="W20:W27" si="8">W19+1</f>
        <v>15</v>
      </c>
      <c r="X20" s="387" t="s">
        <v>364</v>
      </c>
      <c r="Y20" s="387"/>
      <c r="Z20" s="387"/>
      <c r="AA20" s="387"/>
      <c r="AB20" s="387"/>
      <c r="AC20" s="387"/>
    </row>
    <row r="21" spans="1:29" s="93" customFormat="1" x14ac:dyDescent="0.25">
      <c r="A21" s="18" t="s">
        <v>0</v>
      </c>
      <c r="B21" s="18" t="s">
        <v>99</v>
      </c>
      <c r="C21" s="18" t="s">
        <v>93</v>
      </c>
      <c r="D21" s="19" t="s">
        <v>3</v>
      </c>
      <c r="E21" s="19" t="s">
        <v>363</v>
      </c>
      <c r="F21" s="19" t="s">
        <v>1</v>
      </c>
      <c r="G21" s="102" t="s">
        <v>1</v>
      </c>
      <c r="H21" s="102"/>
      <c r="I21" s="102"/>
      <c r="J21" s="102"/>
      <c r="K21" s="102"/>
      <c r="L21" s="102"/>
      <c r="M21" s="102"/>
      <c r="N21" s="102"/>
      <c r="O21" s="102" t="str">
        <f t="shared" si="0"/>
        <v>02</v>
      </c>
      <c r="P21" s="102" t="str">
        <f t="shared" si="1"/>
        <v>BC</v>
      </c>
      <c r="Q21" s="102" t="str">
        <f t="shared" si="2"/>
        <v>00</v>
      </c>
      <c r="R21" s="102" t="str">
        <f t="shared" si="3"/>
        <v>10</v>
      </c>
      <c r="S21" s="18" t="str">
        <f t="shared" si="4"/>
        <v>48</v>
      </c>
      <c r="T21" s="18" t="s">
        <v>5</v>
      </c>
      <c r="U21" s="12" t="str">
        <f t="shared" si="5"/>
        <v>aa 42 08 21 0F 00 00 02 BC 00 10 48 55</v>
      </c>
      <c r="V21" s="41">
        <f t="shared" si="7"/>
        <v>700</v>
      </c>
      <c r="W21" s="41">
        <f t="shared" si="8"/>
        <v>16</v>
      </c>
      <c r="X21" s="387" t="s">
        <v>365</v>
      </c>
      <c r="Y21" s="387"/>
      <c r="Z21" s="387"/>
      <c r="AA21" s="387"/>
      <c r="AB21" s="387"/>
      <c r="AC21" s="387"/>
    </row>
    <row r="22" spans="1:29" s="93" customFormat="1" x14ac:dyDescent="0.25">
      <c r="A22" s="18" t="s">
        <v>0</v>
      </c>
      <c r="B22" s="18" t="s">
        <v>99</v>
      </c>
      <c r="C22" s="18" t="s">
        <v>93</v>
      </c>
      <c r="D22" s="19" t="s">
        <v>3</v>
      </c>
      <c r="E22" s="19" t="s">
        <v>375</v>
      </c>
      <c r="F22" s="19" t="s">
        <v>1</v>
      </c>
      <c r="G22" s="102" t="s">
        <v>4</v>
      </c>
      <c r="H22" s="102"/>
      <c r="I22" s="102"/>
      <c r="J22" s="102"/>
      <c r="K22" s="102"/>
      <c r="L22" s="102"/>
      <c r="M22" s="102"/>
      <c r="N22" s="102"/>
      <c r="O22" s="102" t="str">
        <f t="shared" si="0"/>
        <v>03</v>
      </c>
      <c r="P22" s="102" t="str">
        <f t="shared" si="1"/>
        <v>20</v>
      </c>
      <c r="Q22" s="102" t="str">
        <f t="shared" si="2"/>
        <v>00</v>
      </c>
      <c r="R22" s="102" t="str">
        <f t="shared" si="3"/>
        <v>11</v>
      </c>
      <c r="S22" s="18" t="str">
        <f t="shared" si="4"/>
        <v>B0</v>
      </c>
      <c r="T22" s="18" t="s">
        <v>5</v>
      </c>
      <c r="U22" s="12" t="str">
        <f t="shared" si="5"/>
        <v>aa 42 08 21 10 00 01 03 20 00 11 B0 55</v>
      </c>
      <c r="V22" s="41">
        <f t="shared" si="7"/>
        <v>800</v>
      </c>
      <c r="W22" s="41">
        <f t="shared" si="8"/>
        <v>17</v>
      </c>
      <c r="X22" s="387" t="s">
        <v>367</v>
      </c>
      <c r="Y22" s="387"/>
      <c r="Z22" s="387"/>
      <c r="AA22" s="387"/>
      <c r="AB22" s="387"/>
      <c r="AC22" s="387"/>
    </row>
    <row r="23" spans="1:29" s="93" customFormat="1" x14ac:dyDescent="0.25">
      <c r="A23" s="18" t="s">
        <v>0</v>
      </c>
      <c r="B23" s="18" t="s">
        <v>99</v>
      </c>
      <c r="C23" s="18" t="s">
        <v>93</v>
      </c>
      <c r="D23" s="19" t="s">
        <v>3</v>
      </c>
      <c r="E23" s="19" t="s">
        <v>375</v>
      </c>
      <c r="F23" s="19" t="s">
        <v>1</v>
      </c>
      <c r="G23" s="102" t="s">
        <v>1</v>
      </c>
      <c r="H23" s="102"/>
      <c r="I23" s="102"/>
      <c r="J23" s="102"/>
      <c r="K23" s="102"/>
      <c r="L23" s="102"/>
      <c r="M23" s="102"/>
      <c r="N23" s="102"/>
      <c r="O23" s="102" t="str">
        <f t="shared" si="0"/>
        <v>03</v>
      </c>
      <c r="P23" s="102" t="str">
        <f t="shared" si="1"/>
        <v>84</v>
      </c>
      <c r="Q23" s="102" t="str">
        <f t="shared" si="2"/>
        <v>00</v>
      </c>
      <c r="R23" s="102" t="str">
        <f t="shared" si="3"/>
        <v>12</v>
      </c>
      <c r="S23" s="18" t="str">
        <f t="shared" si="4"/>
        <v>14</v>
      </c>
      <c r="T23" s="18" t="s">
        <v>5</v>
      </c>
      <c r="U23" s="12" t="str">
        <f t="shared" si="5"/>
        <v>aa 42 08 21 10 00 00 03 84 00 12 14 55</v>
      </c>
      <c r="V23" s="41">
        <f t="shared" si="7"/>
        <v>900</v>
      </c>
      <c r="W23" s="41">
        <f t="shared" si="8"/>
        <v>18</v>
      </c>
      <c r="X23" s="387" t="s">
        <v>368</v>
      </c>
      <c r="Y23" s="387"/>
      <c r="Z23" s="387"/>
      <c r="AA23" s="387"/>
      <c r="AB23" s="387"/>
      <c r="AC23" s="387"/>
    </row>
    <row r="24" spans="1:29" s="93" customFormat="1" x14ac:dyDescent="0.25">
      <c r="A24" s="18" t="s">
        <v>0</v>
      </c>
      <c r="B24" s="18" t="s">
        <v>99</v>
      </c>
      <c r="C24" s="18" t="s">
        <v>93</v>
      </c>
      <c r="D24" s="19" t="s">
        <v>3</v>
      </c>
      <c r="E24" s="19" t="s">
        <v>28</v>
      </c>
      <c r="F24" s="19" t="s">
        <v>1</v>
      </c>
      <c r="G24" s="102" t="s">
        <v>4</v>
      </c>
      <c r="H24" s="102"/>
      <c r="I24" s="102"/>
      <c r="J24" s="102"/>
      <c r="K24" s="102"/>
      <c r="L24" s="102"/>
      <c r="M24" s="102"/>
      <c r="N24" s="102"/>
      <c r="O24" s="102" t="str">
        <f t="shared" si="0"/>
        <v>03</v>
      </c>
      <c r="P24" s="102" t="str">
        <f t="shared" si="1"/>
        <v>E8</v>
      </c>
      <c r="Q24" s="102" t="str">
        <f t="shared" si="2"/>
        <v>00</v>
      </c>
      <c r="R24" s="102" t="str">
        <f t="shared" si="3"/>
        <v>13</v>
      </c>
      <c r="S24" s="18" t="str">
        <f t="shared" si="4"/>
        <v>7B</v>
      </c>
      <c r="T24" s="18" t="s">
        <v>5</v>
      </c>
      <c r="U24" s="12" t="str">
        <f t="shared" si="5"/>
        <v>aa 42 08 21 11 00 01 03 E8 00 13 7B 55</v>
      </c>
      <c r="V24" s="41">
        <f t="shared" si="7"/>
        <v>1000</v>
      </c>
      <c r="W24" s="41">
        <f t="shared" si="8"/>
        <v>19</v>
      </c>
      <c r="X24" s="387" t="s">
        <v>369</v>
      </c>
      <c r="Y24" s="387"/>
      <c r="Z24" s="387"/>
      <c r="AA24" s="387"/>
      <c r="AB24" s="387"/>
      <c r="AC24" s="387"/>
    </row>
    <row r="25" spans="1:29" s="93" customFormat="1" x14ac:dyDescent="0.25">
      <c r="A25" s="18" t="s">
        <v>0</v>
      </c>
      <c r="B25" s="18" t="s">
        <v>99</v>
      </c>
      <c r="C25" s="18" t="s">
        <v>93</v>
      </c>
      <c r="D25" s="19" t="s">
        <v>3</v>
      </c>
      <c r="E25" s="19" t="s">
        <v>28</v>
      </c>
      <c r="F25" s="19" t="s">
        <v>1</v>
      </c>
      <c r="G25" s="102" t="s">
        <v>1</v>
      </c>
      <c r="H25" s="102"/>
      <c r="I25" s="102"/>
      <c r="J25" s="102"/>
      <c r="K25" s="102"/>
      <c r="L25" s="102"/>
      <c r="M25" s="102"/>
      <c r="N25" s="102"/>
      <c r="O25" s="102" t="str">
        <f t="shared" si="0"/>
        <v>04</v>
      </c>
      <c r="P25" s="102" t="str">
        <f t="shared" si="1"/>
        <v>4C</v>
      </c>
      <c r="Q25" s="102" t="str">
        <f t="shared" si="2"/>
        <v>00</v>
      </c>
      <c r="R25" s="102" t="str">
        <f t="shared" si="3"/>
        <v>14</v>
      </c>
      <c r="S25" s="18" t="str">
        <f t="shared" si="4"/>
        <v>E0</v>
      </c>
      <c r="T25" s="18" t="s">
        <v>5</v>
      </c>
      <c r="U25" s="12" t="str">
        <f t="shared" si="5"/>
        <v>aa 42 08 21 11 00 00 04 4C 00 14 E0 55</v>
      </c>
      <c r="V25" s="41">
        <f t="shared" si="7"/>
        <v>1100</v>
      </c>
      <c r="W25" s="41">
        <f t="shared" si="8"/>
        <v>20</v>
      </c>
      <c r="X25" s="387" t="s">
        <v>370</v>
      </c>
      <c r="Y25" s="387"/>
      <c r="Z25" s="387"/>
      <c r="AA25" s="387"/>
      <c r="AB25" s="387"/>
      <c r="AC25" s="387"/>
    </row>
    <row r="26" spans="1:29" s="93" customFormat="1" x14ac:dyDescent="0.25">
      <c r="A26" s="18" t="s">
        <v>0</v>
      </c>
      <c r="B26" s="18" t="s">
        <v>99</v>
      </c>
      <c r="C26" s="18" t="s">
        <v>93</v>
      </c>
      <c r="D26" s="19" t="s">
        <v>3</v>
      </c>
      <c r="E26" s="19" t="s">
        <v>376</v>
      </c>
      <c r="F26" s="19" t="s">
        <v>1</v>
      </c>
      <c r="G26" s="102" t="s">
        <v>4</v>
      </c>
      <c r="H26" s="102"/>
      <c r="I26" s="102"/>
      <c r="J26" s="102"/>
      <c r="K26" s="102"/>
      <c r="L26" s="102"/>
      <c r="M26" s="102"/>
      <c r="N26" s="102"/>
      <c r="O26" s="102" t="str">
        <f t="shared" si="0"/>
        <v>04</v>
      </c>
      <c r="P26" s="102" t="str">
        <f t="shared" si="1"/>
        <v>B0</v>
      </c>
      <c r="Q26" s="102" t="str">
        <f t="shared" si="2"/>
        <v>00</v>
      </c>
      <c r="R26" s="102" t="str">
        <f t="shared" si="3"/>
        <v>15</v>
      </c>
      <c r="S26" s="18" t="str">
        <f t="shared" si="4"/>
        <v>47</v>
      </c>
      <c r="T26" s="18" t="s">
        <v>5</v>
      </c>
      <c r="U26" s="12" t="str">
        <f t="shared" ref="U26:U45" si="9">IF(ISBLANK(A26),,A26&amp;" ")&amp;IF(ISBLANK(B26),,B26&amp;" ")&amp;IF(ISBLANK(C26),,C26&amp;" ")&amp;IF(ISBLANK(D26),,D26&amp;" ")&amp;IF(ISBLANK(E26),,E26&amp;" ")&amp;IF(ISBLANK(F26),,F26&amp;" ")&amp;IF(ISBLANK(G26),,G26&amp;" ")&amp;IF(ISBLANK(H26),,H26&amp;" ")&amp;IF(ISBLANK(I26),,I26&amp;" ")&amp;IF(ISBLANK(J26),,J26&amp;" ")&amp;IF(ISBLANK(K26),,K26&amp;" ")&amp;IF(ISBLANK(L26),,L26&amp;" ")&amp;IF(ISBLANK(M26),,M26&amp;" ")&amp;IF(ISBLANK(N26),,N26&amp;" ")&amp;IF(ISBLANK(O26),,O26&amp;" ")&amp;IF(ISBLANK(P26),,P26&amp;" ")&amp;IF(ISBLANK(Q26),,Q26&amp;" ")&amp;IF(ISBLANK(R26),,R26&amp;" ")&amp;IF(ISBLANK(S26),,S26&amp;" ")&amp;IF(ISBLANK(T26),,T26)</f>
        <v>aa 42 08 21 12 00 01 04 B0 00 15 47 55</v>
      </c>
      <c r="V26" s="41">
        <f t="shared" si="7"/>
        <v>1200</v>
      </c>
      <c r="W26" s="41">
        <f t="shared" si="8"/>
        <v>21</v>
      </c>
      <c r="X26" s="387" t="s">
        <v>371</v>
      </c>
      <c r="Y26" s="387"/>
      <c r="Z26" s="387"/>
      <c r="AA26" s="387"/>
      <c r="AB26" s="387"/>
      <c r="AC26" s="387"/>
    </row>
    <row r="27" spans="1:29" s="93" customFormat="1" x14ac:dyDescent="0.25">
      <c r="A27" s="18" t="s">
        <v>0</v>
      </c>
      <c r="B27" s="18" t="s">
        <v>99</v>
      </c>
      <c r="C27" s="18" t="s">
        <v>93</v>
      </c>
      <c r="D27" s="19" t="s">
        <v>3</v>
      </c>
      <c r="E27" s="19" t="s">
        <v>376</v>
      </c>
      <c r="F27" s="19" t="s">
        <v>1</v>
      </c>
      <c r="G27" s="102" t="s">
        <v>1</v>
      </c>
      <c r="H27" s="102"/>
      <c r="I27" s="102"/>
      <c r="J27" s="102"/>
      <c r="K27" s="102"/>
      <c r="L27" s="102"/>
      <c r="M27" s="102"/>
      <c r="N27" s="102"/>
      <c r="O27" s="102" t="str">
        <f t="shared" si="0"/>
        <v>05</v>
      </c>
      <c r="P27" s="102" t="str">
        <f t="shared" si="1"/>
        <v>14</v>
      </c>
      <c r="Q27" s="102" t="str">
        <f t="shared" si="2"/>
        <v>00</v>
      </c>
      <c r="R27" s="102" t="str">
        <f t="shared" si="3"/>
        <v>16</v>
      </c>
      <c r="S27" s="18" t="str">
        <f t="shared" si="4"/>
        <v>AC</v>
      </c>
      <c r="T27" s="18" t="s">
        <v>5</v>
      </c>
      <c r="U27" s="12" t="str">
        <f t="shared" si="9"/>
        <v>aa 42 08 21 12 00 00 05 14 00 16 AC 55</v>
      </c>
      <c r="V27" s="41">
        <f t="shared" si="7"/>
        <v>1300</v>
      </c>
      <c r="W27" s="41">
        <f t="shared" si="8"/>
        <v>22</v>
      </c>
      <c r="X27" s="387" t="s">
        <v>372</v>
      </c>
      <c r="Y27" s="387"/>
      <c r="Z27" s="387"/>
      <c r="AA27" s="387"/>
      <c r="AB27" s="387"/>
      <c r="AC27" s="387"/>
    </row>
    <row r="28" spans="1:29" s="93" customFormat="1" x14ac:dyDescent="0.25">
      <c r="A28" s="18" t="s">
        <v>0</v>
      </c>
      <c r="B28" s="18" t="s">
        <v>99</v>
      </c>
      <c r="C28" s="18" t="s">
        <v>93</v>
      </c>
      <c r="D28" s="19" t="s">
        <v>3</v>
      </c>
      <c r="E28" s="19" t="s">
        <v>377</v>
      </c>
      <c r="F28" s="19" t="s">
        <v>1</v>
      </c>
      <c r="G28" s="102" t="s">
        <v>4</v>
      </c>
      <c r="H28" s="102"/>
      <c r="I28" s="102"/>
      <c r="J28" s="102"/>
      <c r="K28" s="102"/>
      <c r="L28" s="102"/>
      <c r="M28" s="102"/>
      <c r="N28" s="102"/>
      <c r="O28" s="102" t="str">
        <f t="shared" si="0"/>
        <v>05</v>
      </c>
      <c r="P28" s="102" t="str">
        <f t="shared" si="1"/>
        <v>78</v>
      </c>
      <c r="Q28" s="102" t="str">
        <f t="shared" si="2"/>
        <v>00</v>
      </c>
      <c r="R28" s="102" t="str">
        <f t="shared" si="3"/>
        <v>17</v>
      </c>
      <c r="S28" s="18" t="str">
        <f t="shared" si="4"/>
        <v>13</v>
      </c>
      <c r="T28" s="18" t="s">
        <v>5</v>
      </c>
      <c r="U28" s="12" t="str">
        <f t="shared" si="9"/>
        <v>aa 42 08 21 13 00 01 05 78 00 17 13 55</v>
      </c>
      <c r="V28" s="41">
        <f t="shared" si="7"/>
        <v>1400</v>
      </c>
      <c r="W28" s="41">
        <f>W27+1</f>
        <v>23</v>
      </c>
      <c r="X28" s="387" t="s">
        <v>373</v>
      </c>
      <c r="Y28" s="387"/>
      <c r="Z28" s="387"/>
      <c r="AA28" s="387"/>
      <c r="AB28" s="387"/>
      <c r="AC28" s="387"/>
    </row>
    <row r="29" spans="1:29" s="93" customFormat="1" x14ac:dyDescent="0.25">
      <c r="A29" s="18" t="s">
        <v>0</v>
      </c>
      <c r="B29" s="18" t="s">
        <v>99</v>
      </c>
      <c r="C29" s="18" t="s">
        <v>93</v>
      </c>
      <c r="D29" s="19" t="s">
        <v>3</v>
      </c>
      <c r="E29" s="19" t="s">
        <v>377</v>
      </c>
      <c r="F29" s="19" t="s">
        <v>1</v>
      </c>
      <c r="G29" s="102" t="s">
        <v>1</v>
      </c>
      <c r="H29" s="102"/>
      <c r="I29" s="102"/>
      <c r="J29" s="102"/>
      <c r="K29" s="102"/>
      <c r="L29" s="102"/>
      <c r="M29" s="102"/>
      <c r="N29" s="102"/>
      <c r="O29" s="102" t="str">
        <f t="shared" si="0"/>
        <v>05</v>
      </c>
      <c r="P29" s="102" t="str">
        <f t="shared" si="1"/>
        <v>DC</v>
      </c>
      <c r="Q29" s="102" t="str">
        <f t="shared" si="2"/>
        <v>00</v>
      </c>
      <c r="R29" s="102" t="str">
        <f t="shared" si="3"/>
        <v>18</v>
      </c>
      <c r="S29" s="18" t="str">
        <f t="shared" si="4"/>
        <v>77</v>
      </c>
      <c r="T29" s="18" t="s">
        <v>5</v>
      </c>
      <c r="U29" s="12" t="str">
        <f t="shared" si="9"/>
        <v>aa 42 08 21 13 00 00 05 DC 00 18 77 55</v>
      </c>
      <c r="V29" s="41">
        <f t="shared" si="7"/>
        <v>1500</v>
      </c>
      <c r="W29" s="41">
        <f>W28+1</f>
        <v>24</v>
      </c>
      <c r="X29" s="387" t="s">
        <v>374</v>
      </c>
      <c r="Y29" s="387"/>
      <c r="Z29" s="387"/>
      <c r="AA29" s="387"/>
      <c r="AB29" s="387"/>
      <c r="AC29" s="387"/>
    </row>
    <row r="30" spans="1:29" s="93" customFormat="1" x14ac:dyDescent="0.25">
      <c r="A30" s="18" t="s">
        <v>0</v>
      </c>
      <c r="B30" s="18" t="s">
        <v>99</v>
      </c>
      <c r="C30" s="18" t="s">
        <v>93</v>
      </c>
      <c r="D30" s="19" t="s">
        <v>3</v>
      </c>
      <c r="E30" s="19" t="s">
        <v>377</v>
      </c>
      <c r="F30" s="19" t="s">
        <v>1</v>
      </c>
      <c r="G30" s="102" t="s">
        <v>4</v>
      </c>
      <c r="H30" s="102"/>
      <c r="I30" s="102"/>
      <c r="J30" s="102"/>
      <c r="K30" s="102"/>
      <c r="L30" s="102"/>
      <c r="M30" s="102"/>
      <c r="N30" s="102"/>
      <c r="O30" s="102" t="str">
        <f t="shared" si="0"/>
        <v>06</v>
      </c>
      <c r="P30" s="102" t="str">
        <f t="shared" si="1"/>
        <v>40</v>
      </c>
      <c r="Q30" s="102" t="str">
        <f t="shared" si="2"/>
        <v>00</v>
      </c>
      <c r="R30" s="102" t="str">
        <f t="shared" si="3"/>
        <v>19</v>
      </c>
      <c r="S30" s="18" t="str">
        <f t="shared" si="4"/>
        <v>DE</v>
      </c>
      <c r="T30" s="18" t="s">
        <v>5</v>
      </c>
      <c r="U30" s="12" t="str">
        <f t="shared" si="9"/>
        <v>aa 42 08 21 13 00 01 06 40 00 19 DE 55</v>
      </c>
      <c r="V30" s="41">
        <f t="shared" ref="V30:V35" si="10">V29+100</f>
        <v>1600</v>
      </c>
      <c r="W30" s="41">
        <f t="shared" ref="W30:W35" si="11">W29+1</f>
        <v>25</v>
      </c>
      <c r="X30" s="387" t="s">
        <v>373</v>
      </c>
      <c r="Y30" s="387"/>
      <c r="Z30" s="387"/>
      <c r="AA30" s="387"/>
      <c r="AB30" s="387"/>
      <c r="AC30" s="387"/>
    </row>
    <row r="31" spans="1:29" s="93" customFormat="1" x14ac:dyDescent="0.25">
      <c r="A31" s="18" t="s">
        <v>0</v>
      </c>
      <c r="B31" s="18" t="s">
        <v>99</v>
      </c>
      <c r="C31" s="18" t="s">
        <v>93</v>
      </c>
      <c r="D31" s="19" t="s">
        <v>3</v>
      </c>
      <c r="E31" s="19" t="s">
        <v>377</v>
      </c>
      <c r="F31" s="19" t="s">
        <v>1</v>
      </c>
      <c r="G31" s="102" t="s">
        <v>1</v>
      </c>
      <c r="H31" s="102"/>
      <c r="I31" s="102"/>
      <c r="J31" s="102"/>
      <c r="K31" s="102"/>
      <c r="L31" s="102"/>
      <c r="M31" s="102"/>
      <c r="N31" s="102"/>
      <c r="O31" s="102" t="str">
        <f t="shared" si="0"/>
        <v>06</v>
      </c>
      <c r="P31" s="102" t="str">
        <f t="shared" si="1"/>
        <v>A4</v>
      </c>
      <c r="Q31" s="102" t="str">
        <f t="shared" si="2"/>
        <v>00</v>
      </c>
      <c r="R31" s="102" t="str">
        <f t="shared" si="3"/>
        <v>1A</v>
      </c>
      <c r="S31" s="18" t="str">
        <f t="shared" si="4"/>
        <v>42</v>
      </c>
      <c r="T31" s="18" t="s">
        <v>5</v>
      </c>
      <c r="U31" s="12" t="str">
        <f t="shared" si="9"/>
        <v>aa 42 08 21 13 00 00 06 A4 00 1A 42 55</v>
      </c>
      <c r="V31" s="41">
        <f t="shared" si="10"/>
        <v>1700</v>
      </c>
      <c r="W31" s="41">
        <f t="shared" si="11"/>
        <v>26</v>
      </c>
      <c r="X31" s="387" t="s">
        <v>374</v>
      </c>
      <c r="Y31" s="387"/>
      <c r="Z31" s="387"/>
      <c r="AA31" s="387"/>
      <c r="AB31" s="387"/>
      <c r="AC31" s="387"/>
    </row>
    <row r="32" spans="1:29" s="93" customFormat="1" x14ac:dyDescent="0.25">
      <c r="A32" s="18" t="s">
        <v>0</v>
      </c>
      <c r="B32" s="18" t="s">
        <v>99</v>
      </c>
      <c r="C32" s="18" t="s">
        <v>93</v>
      </c>
      <c r="D32" s="19" t="s">
        <v>3</v>
      </c>
      <c r="E32" s="19" t="s">
        <v>377</v>
      </c>
      <c r="F32" s="19" t="s">
        <v>1</v>
      </c>
      <c r="G32" s="102" t="s">
        <v>4</v>
      </c>
      <c r="H32" s="102"/>
      <c r="I32" s="102"/>
      <c r="J32" s="102"/>
      <c r="K32" s="102"/>
      <c r="L32" s="102"/>
      <c r="M32" s="102"/>
      <c r="N32" s="102"/>
      <c r="O32" s="102" t="str">
        <f t="shared" si="0"/>
        <v>07</v>
      </c>
      <c r="P32" s="102" t="str">
        <f t="shared" si="1"/>
        <v>08</v>
      </c>
      <c r="Q32" s="102" t="str">
        <f t="shared" si="2"/>
        <v>00</v>
      </c>
      <c r="R32" s="102" t="str">
        <f t="shared" si="3"/>
        <v>1B</v>
      </c>
      <c r="S32" s="18" t="str">
        <f t="shared" si="4"/>
        <v>A9</v>
      </c>
      <c r="T32" s="18" t="s">
        <v>5</v>
      </c>
      <c r="U32" s="12" t="str">
        <f t="shared" si="9"/>
        <v>aa 42 08 21 13 00 01 07 08 00 1B A9 55</v>
      </c>
      <c r="V32" s="41">
        <f t="shared" si="10"/>
        <v>1800</v>
      </c>
      <c r="W32" s="41">
        <f t="shared" si="11"/>
        <v>27</v>
      </c>
      <c r="X32" s="387" t="s">
        <v>373</v>
      </c>
      <c r="Y32" s="387"/>
      <c r="Z32" s="387"/>
      <c r="AA32" s="387"/>
      <c r="AB32" s="387"/>
      <c r="AC32" s="387"/>
    </row>
    <row r="33" spans="1:29" s="93" customFormat="1" x14ac:dyDescent="0.25">
      <c r="A33" s="18" t="s">
        <v>0</v>
      </c>
      <c r="B33" s="18" t="s">
        <v>99</v>
      </c>
      <c r="C33" s="18" t="s">
        <v>93</v>
      </c>
      <c r="D33" s="19" t="s">
        <v>3</v>
      </c>
      <c r="E33" s="19" t="s">
        <v>377</v>
      </c>
      <c r="F33" s="19" t="s">
        <v>1</v>
      </c>
      <c r="G33" s="102" t="s">
        <v>1</v>
      </c>
      <c r="H33" s="102"/>
      <c r="I33" s="102"/>
      <c r="J33" s="102"/>
      <c r="K33" s="102"/>
      <c r="L33" s="102"/>
      <c r="M33" s="102"/>
      <c r="N33" s="102"/>
      <c r="O33" s="102" t="str">
        <f t="shared" si="0"/>
        <v>07</v>
      </c>
      <c r="P33" s="102" t="str">
        <f t="shared" si="1"/>
        <v>6C</v>
      </c>
      <c r="Q33" s="102" t="str">
        <f t="shared" si="2"/>
        <v>00</v>
      </c>
      <c r="R33" s="102" t="str">
        <f t="shared" si="3"/>
        <v>1C</v>
      </c>
      <c r="S33" s="18" t="str">
        <f t="shared" si="4"/>
        <v>0D</v>
      </c>
      <c r="T33" s="18" t="s">
        <v>5</v>
      </c>
      <c r="U33" s="12" t="str">
        <f t="shared" si="9"/>
        <v>aa 42 08 21 13 00 00 07 6C 00 1C 0D 55</v>
      </c>
      <c r="V33" s="41">
        <f t="shared" si="10"/>
        <v>1900</v>
      </c>
      <c r="W33" s="41">
        <f t="shared" si="11"/>
        <v>28</v>
      </c>
      <c r="X33" s="387" t="s">
        <v>374</v>
      </c>
      <c r="Y33" s="387"/>
      <c r="Z33" s="387"/>
      <c r="AA33" s="387"/>
      <c r="AB33" s="387"/>
      <c r="AC33" s="387"/>
    </row>
    <row r="34" spans="1:29" x14ac:dyDescent="0.25">
      <c r="A34" s="18" t="s">
        <v>0</v>
      </c>
      <c r="B34" s="18" t="s">
        <v>99</v>
      </c>
      <c r="C34" s="18" t="s">
        <v>93</v>
      </c>
      <c r="D34" s="19" t="s">
        <v>3</v>
      </c>
      <c r="E34" s="19" t="s">
        <v>377</v>
      </c>
      <c r="F34" s="19" t="s">
        <v>1</v>
      </c>
      <c r="G34" s="102" t="s">
        <v>4</v>
      </c>
      <c r="H34" s="102"/>
      <c r="I34" s="102"/>
      <c r="J34" s="102"/>
      <c r="K34" s="102"/>
      <c r="L34" s="102"/>
      <c r="M34" s="102"/>
      <c r="N34" s="102"/>
      <c r="O34" s="102" t="str">
        <f t="shared" si="0"/>
        <v>07</v>
      </c>
      <c r="P34" s="102" t="str">
        <f t="shared" si="1"/>
        <v>D0</v>
      </c>
      <c r="Q34" s="102" t="str">
        <f t="shared" si="2"/>
        <v>00</v>
      </c>
      <c r="R34" s="102" t="str">
        <f t="shared" si="3"/>
        <v>1D</v>
      </c>
      <c r="S34" s="18" t="str">
        <f t="shared" si="4"/>
        <v>73</v>
      </c>
      <c r="T34" s="18" t="s">
        <v>5</v>
      </c>
      <c r="U34" s="12" t="str">
        <f t="shared" si="9"/>
        <v>aa 42 08 21 13 00 01 07 D0 00 1D 73 55</v>
      </c>
      <c r="V34" s="41">
        <f t="shared" si="10"/>
        <v>2000</v>
      </c>
      <c r="W34" s="41">
        <f t="shared" si="11"/>
        <v>29</v>
      </c>
      <c r="X34" s="387" t="s">
        <v>373</v>
      </c>
      <c r="Y34" s="387"/>
      <c r="Z34" s="387"/>
      <c r="AA34" s="387"/>
      <c r="AB34" s="387"/>
      <c r="AC34" s="387"/>
    </row>
    <row r="35" spans="1:29" x14ac:dyDescent="0.25">
      <c r="A35" s="18" t="s">
        <v>0</v>
      </c>
      <c r="B35" s="18" t="s">
        <v>99</v>
      </c>
      <c r="C35" s="18" t="s">
        <v>93</v>
      </c>
      <c r="D35" s="19" t="s">
        <v>3</v>
      </c>
      <c r="E35" s="19" t="s">
        <v>377</v>
      </c>
      <c r="F35" s="19" t="s">
        <v>1</v>
      </c>
      <c r="G35" s="102" t="s">
        <v>1</v>
      </c>
      <c r="H35" s="102"/>
      <c r="I35" s="102"/>
      <c r="J35" s="102"/>
      <c r="K35" s="102"/>
      <c r="L35" s="102"/>
      <c r="M35" s="102"/>
      <c r="N35" s="102"/>
      <c r="O35" s="102" t="str">
        <f t="shared" si="0"/>
        <v>08</v>
      </c>
      <c r="P35" s="102" t="str">
        <f t="shared" si="1"/>
        <v>34</v>
      </c>
      <c r="Q35" s="102" t="str">
        <f t="shared" si="2"/>
        <v>00</v>
      </c>
      <c r="R35" s="102" t="str">
        <f t="shared" si="3"/>
        <v>1E</v>
      </c>
      <c r="S35" s="18" t="str">
        <f t="shared" si="4"/>
        <v>D8</v>
      </c>
      <c r="T35" s="18" t="s">
        <v>5</v>
      </c>
      <c r="U35" s="12" t="str">
        <f t="shared" si="9"/>
        <v>aa 42 08 21 13 00 00 08 34 00 1E D8 55</v>
      </c>
      <c r="V35" s="41">
        <f t="shared" si="10"/>
        <v>2100</v>
      </c>
      <c r="W35" s="41">
        <f t="shared" si="11"/>
        <v>30</v>
      </c>
      <c r="X35" s="387" t="s">
        <v>374</v>
      </c>
      <c r="Y35" s="387"/>
      <c r="Z35" s="387"/>
      <c r="AA35" s="387"/>
      <c r="AB35" s="387"/>
      <c r="AC35" s="387"/>
    </row>
    <row r="36" spans="1:29" x14ac:dyDescent="0.25">
      <c r="A36" s="18" t="s">
        <v>0</v>
      </c>
      <c r="B36" s="18" t="s">
        <v>99</v>
      </c>
      <c r="C36" s="18" t="s">
        <v>93</v>
      </c>
      <c r="D36" s="19" t="s">
        <v>3</v>
      </c>
      <c r="E36" s="19" t="s">
        <v>377</v>
      </c>
      <c r="F36" s="19" t="s">
        <v>1</v>
      </c>
      <c r="G36" s="102" t="s">
        <v>4</v>
      </c>
      <c r="H36" s="102"/>
      <c r="I36" s="102"/>
      <c r="J36" s="102"/>
      <c r="K36" s="102"/>
      <c r="L36" s="102"/>
      <c r="M36" s="102"/>
      <c r="N36" s="102"/>
      <c r="O36" s="102" t="str">
        <f t="shared" si="0"/>
        <v>08</v>
      </c>
      <c r="P36" s="102" t="str">
        <f t="shared" si="1"/>
        <v>98</v>
      </c>
      <c r="Q36" s="102" t="str">
        <f t="shared" si="2"/>
        <v>00</v>
      </c>
      <c r="R36" s="102" t="str">
        <f t="shared" si="3"/>
        <v>1F</v>
      </c>
      <c r="S36" s="18" t="str">
        <f t="shared" si="4"/>
        <v>3E</v>
      </c>
      <c r="T36" s="18" t="s">
        <v>5</v>
      </c>
      <c r="U36" s="12" t="str">
        <f t="shared" si="9"/>
        <v>aa 42 08 21 13 00 01 08 98 00 1F 3E 55</v>
      </c>
      <c r="V36" s="41">
        <f t="shared" ref="V36:V45" si="12">V35+100</f>
        <v>2200</v>
      </c>
      <c r="W36" s="41">
        <f t="shared" ref="W36:W45" si="13">W35+1</f>
        <v>31</v>
      </c>
      <c r="X36" s="387" t="s">
        <v>373</v>
      </c>
      <c r="Y36" s="387"/>
      <c r="Z36" s="387"/>
      <c r="AA36" s="387"/>
      <c r="AB36" s="387"/>
      <c r="AC36" s="387"/>
    </row>
    <row r="37" spans="1:29" x14ac:dyDescent="0.25">
      <c r="A37" s="18" t="s">
        <v>0</v>
      </c>
      <c r="B37" s="18" t="s">
        <v>99</v>
      </c>
      <c r="C37" s="18" t="s">
        <v>93</v>
      </c>
      <c r="D37" s="19" t="s">
        <v>3</v>
      </c>
      <c r="E37" s="19" t="s">
        <v>377</v>
      </c>
      <c r="F37" s="19" t="s">
        <v>1</v>
      </c>
      <c r="G37" s="102" t="s">
        <v>1</v>
      </c>
      <c r="H37" s="102"/>
      <c r="I37" s="102"/>
      <c r="J37" s="102"/>
      <c r="K37" s="102"/>
      <c r="L37" s="102"/>
      <c r="M37" s="102"/>
      <c r="N37" s="102"/>
      <c r="O37" s="102" t="str">
        <f t="shared" si="0"/>
        <v>08</v>
      </c>
      <c r="P37" s="102" t="str">
        <f t="shared" si="1"/>
        <v>FC</v>
      </c>
      <c r="Q37" s="102" t="str">
        <f t="shared" si="2"/>
        <v>00</v>
      </c>
      <c r="R37" s="102" t="str">
        <f t="shared" si="3"/>
        <v>20</v>
      </c>
      <c r="S37" s="18" t="str">
        <f t="shared" si="4"/>
        <v>A2</v>
      </c>
      <c r="T37" s="18" t="s">
        <v>5</v>
      </c>
      <c r="U37" s="12" t="str">
        <f t="shared" si="9"/>
        <v>aa 42 08 21 13 00 00 08 FC 00 20 A2 55</v>
      </c>
      <c r="V37" s="41">
        <f t="shared" si="12"/>
        <v>2300</v>
      </c>
      <c r="W37" s="41">
        <f t="shared" si="13"/>
        <v>32</v>
      </c>
      <c r="X37" s="387" t="s">
        <v>374</v>
      </c>
      <c r="Y37" s="387"/>
      <c r="Z37" s="387"/>
      <c r="AA37" s="387"/>
      <c r="AB37" s="387"/>
      <c r="AC37" s="387"/>
    </row>
    <row r="38" spans="1:29" x14ac:dyDescent="0.25">
      <c r="A38" s="18" t="s">
        <v>0</v>
      </c>
      <c r="B38" s="18" t="s">
        <v>99</v>
      </c>
      <c r="C38" s="18" t="s">
        <v>93</v>
      </c>
      <c r="D38" s="19" t="s">
        <v>3</v>
      </c>
      <c r="E38" s="19" t="s">
        <v>377</v>
      </c>
      <c r="F38" s="19" t="s">
        <v>1</v>
      </c>
      <c r="G38" s="102" t="s">
        <v>4</v>
      </c>
      <c r="H38" s="102"/>
      <c r="I38" s="102"/>
      <c r="J38" s="102"/>
      <c r="K38" s="102"/>
      <c r="L38" s="102"/>
      <c r="M38" s="102"/>
      <c r="N38" s="102"/>
      <c r="O38" s="102" t="str">
        <f t="shared" si="0"/>
        <v>09</v>
      </c>
      <c r="P38" s="102" t="str">
        <f t="shared" si="1"/>
        <v>60</v>
      </c>
      <c r="Q38" s="102" t="str">
        <f t="shared" si="2"/>
        <v>00</v>
      </c>
      <c r="R38" s="102" t="str">
        <f t="shared" si="3"/>
        <v>21</v>
      </c>
      <c r="S38" s="18" t="str">
        <f t="shared" si="4"/>
        <v>09</v>
      </c>
      <c r="T38" s="18" t="s">
        <v>5</v>
      </c>
      <c r="U38" s="12" t="str">
        <f t="shared" si="9"/>
        <v>aa 42 08 21 13 00 01 09 60 00 21 09 55</v>
      </c>
      <c r="V38" s="41">
        <f t="shared" si="12"/>
        <v>2400</v>
      </c>
      <c r="W38" s="41">
        <f t="shared" si="13"/>
        <v>33</v>
      </c>
      <c r="X38" s="387" t="s">
        <v>373</v>
      </c>
      <c r="Y38" s="387"/>
      <c r="Z38" s="387"/>
      <c r="AA38" s="387"/>
      <c r="AB38" s="387"/>
      <c r="AC38" s="387"/>
    </row>
    <row r="39" spans="1:29" x14ac:dyDescent="0.25">
      <c r="A39" s="18" t="s">
        <v>0</v>
      </c>
      <c r="B39" s="18" t="s">
        <v>99</v>
      </c>
      <c r="C39" s="18" t="s">
        <v>93</v>
      </c>
      <c r="D39" s="19" t="s">
        <v>3</v>
      </c>
      <c r="E39" s="19" t="s">
        <v>377</v>
      </c>
      <c r="F39" s="19" t="s">
        <v>1</v>
      </c>
      <c r="G39" s="102" t="s">
        <v>1</v>
      </c>
      <c r="H39" s="102"/>
      <c r="I39" s="102"/>
      <c r="J39" s="102"/>
      <c r="K39" s="102"/>
      <c r="L39" s="102"/>
      <c r="M39" s="102"/>
      <c r="N39" s="102"/>
      <c r="O39" s="102" t="str">
        <f t="shared" si="0"/>
        <v>09</v>
      </c>
      <c r="P39" s="102" t="str">
        <f t="shared" si="1"/>
        <v>C4</v>
      </c>
      <c r="Q39" s="102" t="str">
        <f t="shared" si="2"/>
        <v>00</v>
      </c>
      <c r="R39" s="102" t="str">
        <f t="shared" si="3"/>
        <v>22</v>
      </c>
      <c r="S39" s="18" t="str">
        <f t="shared" si="4"/>
        <v>6D</v>
      </c>
      <c r="T39" s="18" t="s">
        <v>5</v>
      </c>
      <c r="U39" s="12" t="str">
        <f t="shared" si="9"/>
        <v>aa 42 08 21 13 00 00 09 C4 00 22 6D 55</v>
      </c>
      <c r="V39" s="41">
        <f t="shared" si="12"/>
        <v>2500</v>
      </c>
      <c r="W39" s="41">
        <f t="shared" si="13"/>
        <v>34</v>
      </c>
      <c r="X39" s="387" t="s">
        <v>374</v>
      </c>
      <c r="Y39" s="387"/>
      <c r="Z39" s="387"/>
      <c r="AA39" s="387"/>
      <c r="AB39" s="387"/>
      <c r="AC39" s="387"/>
    </row>
    <row r="40" spans="1:29" x14ac:dyDescent="0.25">
      <c r="A40" s="18" t="s">
        <v>0</v>
      </c>
      <c r="B40" s="18" t="s">
        <v>99</v>
      </c>
      <c r="C40" s="18" t="s">
        <v>93</v>
      </c>
      <c r="D40" s="19" t="s">
        <v>3</v>
      </c>
      <c r="E40" s="19" t="s">
        <v>377</v>
      </c>
      <c r="F40" s="19" t="s">
        <v>1</v>
      </c>
      <c r="G40" s="102" t="s">
        <v>4</v>
      </c>
      <c r="H40" s="102"/>
      <c r="I40" s="102"/>
      <c r="J40" s="102"/>
      <c r="K40" s="102"/>
      <c r="L40" s="102"/>
      <c r="M40" s="102"/>
      <c r="N40" s="102"/>
      <c r="O40" s="102" t="str">
        <f t="shared" si="0"/>
        <v>0A</v>
      </c>
      <c r="P40" s="102" t="str">
        <f t="shared" si="1"/>
        <v>28</v>
      </c>
      <c r="Q40" s="102" t="str">
        <f t="shared" si="2"/>
        <v>00</v>
      </c>
      <c r="R40" s="102" t="str">
        <f t="shared" si="3"/>
        <v>23</v>
      </c>
      <c r="S40" s="18" t="str">
        <f t="shared" si="4"/>
        <v>D4</v>
      </c>
      <c r="T40" s="18" t="s">
        <v>5</v>
      </c>
      <c r="U40" s="12" t="str">
        <f t="shared" si="9"/>
        <v>aa 42 08 21 13 00 01 0A 28 00 23 D4 55</v>
      </c>
      <c r="V40" s="41">
        <f t="shared" si="12"/>
        <v>2600</v>
      </c>
      <c r="W40" s="41">
        <f t="shared" si="13"/>
        <v>35</v>
      </c>
      <c r="X40" s="387" t="s">
        <v>373</v>
      </c>
      <c r="Y40" s="387"/>
      <c r="Z40" s="387"/>
      <c r="AA40" s="387"/>
      <c r="AB40" s="387"/>
      <c r="AC40" s="387"/>
    </row>
    <row r="41" spans="1:29" x14ac:dyDescent="0.25">
      <c r="A41" s="18" t="s">
        <v>0</v>
      </c>
      <c r="B41" s="18" t="s">
        <v>99</v>
      </c>
      <c r="C41" s="18" t="s">
        <v>93</v>
      </c>
      <c r="D41" s="19" t="s">
        <v>3</v>
      </c>
      <c r="E41" s="19" t="s">
        <v>377</v>
      </c>
      <c r="F41" s="19" t="s">
        <v>1</v>
      </c>
      <c r="G41" s="102" t="s">
        <v>1</v>
      </c>
      <c r="H41" s="102"/>
      <c r="I41" s="102"/>
      <c r="J41" s="102"/>
      <c r="K41" s="102"/>
      <c r="L41" s="102"/>
      <c r="M41" s="102"/>
      <c r="N41" s="102"/>
      <c r="O41" s="102" t="str">
        <f t="shared" si="0"/>
        <v>0A</v>
      </c>
      <c r="P41" s="102" t="str">
        <f t="shared" si="1"/>
        <v>8C</v>
      </c>
      <c r="Q41" s="102" t="str">
        <f t="shared" si="2"/>
        <v>00</v>
      </c>
      <c r="R41" s="102" t="str">
        <f t="shared" si="3"/>
        <v>24</v>
      </c>
      <c r="S41" s="18" t="str">
        <f t="shared" si="4"/>
        <v>38</v>
      </c>
      <c r="T41" s="18" t="s">
        <v>5</v>
      </c>
      <c r="U41" s="12" t="str">
        <f t="shared" si="9"/>
        <v>aa 42 08 21 13 00 00 0A 8C 00 24 38 55</v>
      </c>
      <c r="V41" s="41">
        <f t="shared" si="12"/>
        <v>2700</v>
      </c>
      <c r="W41" s="41">
        <f t="shared" si="13"/>
        <v>36</v>
      </c>
      <c r="X41" s="387" t="s">
        <v>374</v>
      </c>
      <c r="Y41" s="387"/>
      <c r="Z41" s="387"/>
      <c r="AA41" s="387"/>
      <c r="AB41" s="387"/>
      <c r="AC41" s="387"/>
    </row>
    <row r="42" spans="1:29" x14ac:dyDescent="0.25">
      <c r="A42" s="18" t="s">
        <v>0</v>
      </c>
      <c r="B42" s="18" t="s">
        <v>99</v>
      </c>
      <c r="C42" s="18" t="s">
        <v>93</v>
      </c>
      <c r="D42" s="19" t="s">
        <v>3</v>
      </c>
      <c r="E42" s="19" t="s">
        <v>377</v>
      </c>
      <c r="F42" s="19" t="s">
        <v>1</v>
      </c>
      <c r="G42" s="102" t="s">
        <v>4</v>
      </c>
      <c r="H42" s="102"/>
      <c r="I42" s="102"/>
      <c r="J42" s="102"/>
      <c r="K42" s="102"/>
      <c r="L42" s="102"/>
      <c r="M42" s="102"/>
      <c r="N42" s="102"/>
      <c r="O42" s="102" t="str">
        <f t="shared" si="0"/>
        <v>0A</v>
      </c>
      <c r="P42" s="102" t="str">
        <f t="shared" si="1"/>
        <v>F0</v>
      </c>
      <c r="Q42" s="102" t="str">
        <f t="shared" si="2"/>
        <v>00</v>
      </c>
      <c r="R42" s="102" t="str">
        <f t="shared" si="3"/>
        <v>25</v>
      </c>
      <c r="S42" s="18" t="str">
        <f t="shared" si="4"/>
        <v>9E</v>
      </c>
      <c r="T42" s="18" t="s">
        <v>5</v>
      </c>
      <c r="U42" s="12" t="str">
        <f t="shared" si="9"/>
        <v>aa 42 08 21 13 00 01 0A F0 00 25 9E 55</v>
      </c>
      <c r="V42" s="41">
        <f t="shared" si="12"/>
        <v>2800</v>
      </c>
      <c r="W42" s="41">
        <f t="shared" si="13"/>
        <v>37</v>
      </c>
      <c r="X42" s="387" t="s">
        <v>373</v>
      </c>
      <c r="Y42" s="387"/>
      <c r="Z42" s="387"/>
      <c r="AA42" s="387"/>
      <c r="AB42" s="387"/>
      <c r="AC42" s="387"/>
    </row>
    <row r="43" spans="1:29" x14ac:dyDescent="0.25">
      <c r="A43" s="18" t="s">
        <v>0</v>
      </c>
      <c r="B43" s="18" t="s">
        <v>99</v>
      </c>
      <c r="C43" s="18" t="s">
        <v>93</v>
      </c>
      <c r="D43" s="19" t="s">
        <v>3</v>
      </c>
      <c r="E43" s="19" t="s">
        <v>377</v>
      </c>
      <c r="F43" s="19" t="s">
        <v>1</v>
      </c>
      <c r="G43" s="102" t="s">
        <v>1</v>
      </c>
      <c r="H43" s="102"/>
      <c r="I43" s="102"/>
      <c r="J43" s="102"/>
      <c r="K43" s="102"/>
      <c r="L43" s="102"/>
      <c r="M43" s="102"/>
      <c r="N43" s="102"/>
      <c r="O43" s="102" t="str">
        <f t="shared" si="0"/>
        <v>0B</v>
      </c>
      <c r="P43" s="102" t="str">
        <f t="shared" si="1"/>
        <v>54</v>
      </c>
      <c r="Q43" s="102" t="str">
        <f t="shared" si="2"/>
        <v>00</v>
      </c>
      <c r="R43" s="102" t="str">
        <f t="shared" si="3"/>
        <v>26</v>
      </c>
      <c r="S43" s="18" t="str">
        <f t="shared" si="4"/>
        <v>03</v>
      </c>
      <c r="T43" s="18" t="s">
        <v>5</v>
      </c>
      <c r="U43" s="12" t="str">
        <f t="shared" si="9"/>
        <v>aa 42 08 21 13 00 00 0B 54 00 26 03 55</v>
      </c>
      <c r="V43" s="41">
        <f t="shared" si="12"/>
        <v>2900</v>
      </c>
      <c r="W43" s="41">
        <f t="shared" si="13"/>
        <v>38</v>
      </c>
      <c r="X43" s="387" t="s">
        <v>374</v>
      </c>
      <c r="Y43" s="387"/>
      <c r="Z43" s="387"/>
      <c r="AA43" s="387"/>
      <c r="AB43" s="387"/>
      <c r="AC43" s="387"/>
    </row>
    <row r="44" spans="1:29" x14ac:dyDescent="0.25">
      <c r="A44" s="18" t="s">
        <v>0</v>
      </c>
      <c r="B44" s="18" t="s">
        <v>99</v>
      </c>
      <c r="C44" s="18" t="s">
        <v>93</v>
      </c>
      <c r="D44" s="19" t="s">
        <v>3</v>
      </c>
      <c r="E44" s="19" t="s">
        <v>377</v>
      </c>
      <c r="F44" s="19" t="s">
        <v>1</v>
      </c>
      <c r="G44" s="102" t="s">
        <v>4</v>
      </c>
      <c r="H44" s="102"/>
      <c r="I44" s="102"/>
      <c r="J44" s="102"/>
      <c r="K44" s="102"/>
      <c r="L44" s="102"/>
      <c r="M44" s="102"/>
      <c r="N44" s="102"/>
      <c r="O44" s="102" t="str">
        <f t="shared" si="0"/>
        <v>0B</v>
      </c>
      <c r="P44" s="102" t="str">
        <f t="shared" si="1"/>
        <v>B8</v>
      </c>
      <c r="Q44" s="102" t="str">
        <f t="shared" si="2"/>
        <v>00</v>
      </c>
      <c r="R44" s="102" t="str">
        <f t="shared" si="3"/>
        <v>27</v>
      </c>
      <c r="S44" s="18" t="str">
        <f t="shared" si="4"/>
        <v>69</v>
      </c>
      <c r="T44" s="18" t="s">
        <v>5</v>
      </c>
      <c r="U44" s="12" t="str">
        <f t="shared" si="9"/>
        <v>aa 42 08 21 13 00 01 0B B8 00 27 69 55</v>
      </c>
      <c r="V44" s="41">
        <f t="shared" si="12"/>
        <v>3000</v>
      </c>
      <c r="W44" s="41">
        <f t="shared" si="13"/>
        <v>39</v>
      </c>
      <c r="X44" s="387" t="s">
        <v>373</v>
      </c>
      <c r="Y44" s="387"/>
      <c r="Z44" s="387"/>
      <c r="AA44" s="387"/>
      <c r="AB44" s="387"/>
      <c r="AC44" s="387"/>
    </row>
    <row r="45" spans="1:29" x14ac:dyDescent="0.25">
      <c r="A45" s="18" t="s">
        <v>0</v>
      </c>
      <c r="B45" s="18" t="s">
        <v>99</v>
      </c>
      <c r="C45" s="18" t="s">
        <v>93</v>
      </c>
      <c r="D45" s="19" t="s">
        <v>3</v>
      </c>
      <c r="E45" s="19" t="s">
        <v>377</v>
      </c>
      <c r="F45" s="19" t="s">
        <v>1</v>
      </c>
      <c r="G45" s="102" t="s">
        <v>1</v>
      </c>
      <c r="H45" s="102"/>
      <c r="I45" s="102"/>
      <c r="J45" s="102"/>
      <c r="K45" s="102"/>
      <c r="L45" s="102"/>
      <c r="M45" s="102"/>
      <c r="N45" s="102"/>
      <c r="O45" s="102" t="str">
        <f t="shared" si="0"/>
        <v>0C</v>
      </c>
      <c r="P45" s="102" t="str">
        <f t="shared" si="1"/>
        <v>1C</v>
      </c>
      <c r="Q45" s="102" t="str">
        <f t="shared" si="2"/>
        <v>00</v>
      </c>
      <c r="R45" s="102" t="str">
        <f t="shared" si="3"/>
        <v>28</v>
      </c>
      <c r="S45" s="18" t="str">
        <f t="shared" si="4"/>
        <v>CE</v>
      </c>
      <c r="T45" s="18" t="s">
        <v>5</v>
      </c>
      <c r="U45" s="12" t="str">
        <f t="shared" si="9"/>
        <v>aa 42 08 21 13 00 00 0C 1C 00 28 CE 55</v>
      </c>
      <c r="V45" s="41">
        <f t="shared" si="12"/>
        <v>3100</v>
      </c>
      <c r="W45" s="41">
        <f t="shared" si="13"/>
        <v>40</v>
      </c>
      <c r="X45" s="387" t="s">
        <v>374</v>
      </c>
      <c r="Y45" s="387"/>
      <c r="Z45" s="387"/>
      <c r="AA45" s="387"/>
      <c r="AB45" s="387"/>
      <c r="AC45" s="387"/>
    </row>
    <row r="46" spans="1:29" s="27" customFormat="1" x14ac:dyDescent="0.25">
      <c r="A46" s="20"/>
      <c r="B46" s="20"/>
      <c r="C46" s="20"/>
      <c r="D46" s="21"/>
      <c r="E46" s="21"/>
      <c r="F46" s="21"/>
      <c r="G46" s="548" t="s">
        <v>97</v>
      </c>
      <c r="H46" s="549"/>
      <c r="I46" s="549"/>
      <c r="J46" s="549"/>
      <c r="K46" s="549"/>
      <c r="L46" s="549"/>
      <c r="M46" s="549"/>
      <c r="N46" s="549"/>
      <c r="O46" s="549"/>
      <c r="P46" s="549"/>
      <c r="Q46" s="549"/>
      <c r="R46" s="549"/>
      <c r="S46" s="20"/>
      <c r="T46" s="20"/>
      <c r="U46" s="35"/>
      <c r="V46" s="25" t="s">
        <v>102</v>
      </c>
      <c r="W46" s="550"/>
      <c r="X46" s="550"/>
      <c r="Y46" s="550"/>
      <c r="Z46" s="550"/>
      <c r="AA46" s="550"/>
      <c r="AB46" s="550"/>
      <c r="AC46" s="550"/>
    </row>
    <row r="47" spans="1:29" x14ac:dyDescent="0.25">
      <c r="A47" s="18" t="s">
        <v>0</v>
      </c>
      <c r="B47" s="18" t="s">
        <v>100</v>
      </c>
      <c r="C47" s="18" t="s">
        <v>9</v>
      </c>
      <c r="D47" s="19" t="s">
        <v>70</v>
      </c>
      <c r="E47" s="19" t="s">
        <v>1</v>
      </c>
      <c r="F47" s="19" t="s">
        <v>4</v>
      </c>
      <c r="G47" s="555" t="str">
        <f>LEFT(DEC2HEX(V47,4),2)</f>
        <v>00</v>
      </c>
      <c r="H47" s="555"/>
      <c r="I47" s="555"/>
      <c r="J47" s="555"/>
      <c r="K47" s="555"/>
      <c r="L47" s="555"/>
      <c r="M47" s="555" t="str">
        <f>RIGHT(DEC2HEX(V47,4),2)</f>
        <v>2A</v>
      </c>
      <c r="N47" s="555"/>
      <c r="O47" s="555"/>
      <c r="P47" s="555"/>
      <c r="Q47" s="555"/>
      <c r="R47" s="555"/>
      <c r="S47" s="18" t="str">
        <f>DEC2HEX(MOD(HEX2DEC(B47)+HEX2DEC(C47)+HEX2DEC(D47)+HEX2DEC(E47)+HEX2DEC(F47)+HEX2DEC(G47)+HEX2DEC(H47)+HEX2DEC(I47)+HEX2DEC(J47)+HEX2DEC(K47)+HEX2DEC(L47)+HEX2DEC(M47)+HEX2DEC(R47),256),2)</f>
        <v>83</v>
      </c>
      <c r="T47" s="18" t="s">
        <v>5</v>
      </c>
      <c r="U47" s="12" t="str">
        <f>IF(ISBLANK(A47),,A47&amp;" ")&amp;IF(ISBLANK(B47),,B47&amp;" ")&amp;IF(ISBLANK(C47),,C47&amp;" ")&amp;IF(ISBLANK(D47),,D47&amp;" ")&amp;IF(ISBLANK(E47),,E47&amp;" ")&amp;IF(ISBLANK(F47),,F47&amp;" ")&amp;IF(ISBLANK(G47),,G47&amp;" ")&amp;IF(ISBLANK(H47),,H47&amp;" ")&amp;IF(ISBLANK(I47),,I47&amp;" ")&amp;IF(ISBLANK(J47),,J47&amp;" ")&amp;IF(ISBLANK(K47),,K47&amp;" ")&amp;IF(ISBLANK(L47),,L47&amp;" ")&amp;IF(ISBLANK(M47),,M47&amp;" ")&amp;IF(ISBLANK(N47),,N47&amp;" ")&amp;IF(ISBLANK(O47),,O47&amp;" ")&amp;IF(ISBLANK(P47),,P47&amp;" ")&amp;IF(ISBLANK(Q47),,Q47&amp;" ")&amp;IF(ISBLANK(R47),,R47&amp;" ")&amp;IF(ISBLANK(S47),,S47&amp;" ")&amp;IF(ISBLANK(T47),,T47)</f>
        <v>aa 43 05 10 00 01 00 2A 83 55</v>
      </c>
      <c r="V47" s="41">
        <v>42</v>
      </c>
      <c r="W47" s="550" t="s">
        <v>103</v>
      </c>
      <c r="X47" s="550"/>
      <c r="Y47" s="550"/>
      <c r="Z47" s="550"/>
      <c r="AA47" s="550"/>
      <c r="AB47" s="550"/>
      <c r="AC47" s="550"/>
    </row>
    <row r="48" spans="1:29" x14ac:dyDescent="0.25">
      <c r="A48" s="89"/>
      <c r="B48" s="89"/>
      <c r="C48" s="89"/>
      <c r="D48" s="90"/>
      <c r="E48" s="90"/>
      <c r="F48" s="90"/>
      <c r="G48" s="91"/>
      <c r="H48" s="91"/>
      <c r="I48" s="91"/>
      <c r="J48" s="91"/>
      <c r="K48" s="91"/>
      <c r="L48" s="91"/>
      <c r="M48" s="91"/>
      <c r="N48" s="91"/>
      <c r="O48" s="91"/>
      <c r="P48" s="91"/>
      <c r="Q48" s="91"/>
      <c r="R48" s="91"/>
      <c r="S48" s="89"/>
      <c r="T48" s="89"/>
      <c r="U48" s="35"/>
      <c r="V48" s="92"/>
      <c r="W48" s="92"/>
      <c r="X48" s="92"/>
      <c r="Y48" s="92"/>
      <c r="Z48" s="92"/>
      <c r="AA48" s="92"/>
      <c r="AB48" s="92"/>
      <c r="AC48" s="92"/>
    </row>
    <row r="49" spans="1:29" x14ac:dyDescent="0.25">
      <c r="A49" s="89"/>
      <c r="B49" s="89"/>
      <c r="C49" s="89"/>
      <c r="D49" s="90"/>
      <c r="E49" s="90"/>
      <c r="F49" s="90"/>
      <c r="G49" s="91"/>
      <c r="H49" s="91"/>
      <c r="I49" s="91"/>
      <c r="J49" s="91"/>
      <c r="K49" s="91"/>
      <c r="L49" s="91"/>
      <c r="M49" s="91"/>
      <c r="N49" s="91"/>
      <c r="O49" s="91"/>
      <c r="P49" s="91"/>
      <c r="Q49" s="91"/>
      <c r="R49" s="91"/>
      <c r="S49" s="89"/>
      <c r="T49" s="89"/>
      <c r="U49" s="35"/>
      <c r="V49" s="92"/>
      <c r="W49" s="92"/>
      <c r="X49" s="92"/>
      <c r="Y49" s="92"/>
      <c r="Z49" s="92"/>
      <c r="AA49" s="92"/>
      <c r="AB49" s="92"/>
      <c r="AC49" s="92"/>
    </row>
    <row r="50" spans="1:29" x14ac:dyDescent="0.25">
      <c r="U50" s="35"/>
    </row>
    <row r="51" spans="1:29" x14ac:dyDescent="0.25">
      <c r="A51" s="16"/>
      <c r="B51" s="40"/>
      <c r="C51" s="40"/>
      <c r="D51" s="40"/>
      <c r="E51" s="40"/>
      <c r="F51" s="40"/>
      <c r="G51" s="523" t="s">
        <v>95</v>
      </c>
      <c r="H51" s="524"/>
      <c r="I51" s="524"/>
      <c r="J51" s="524"/>
      <c r="K51" s="524"/>
      <c r="L51" s="524"/>
      <c r="M51" s="524"/>
      <c r="N51" s="524"/>
      <c r="O51" s="524"/>
      <c r="P51" s="524"/>
      <c r="Q51" s="524"/>
      <c r="R51" s="525"/>
      <c r="S51" s="40"/>
      <c r="T51" s="40"/>
      <c r="U51" s="12"/>
      <c r="V51" s="23" t="s">
        <v>95</v>
      </c>
      <c r="W51" s="551"/>
      <c r="X51" s="552"/>
      <c r="Y51" s="552"/>
      <c r="Z51" s="552"/>
      <c r="AA51" s="552"/>
      <c r="AB51" s="552"/>
      <c r="AC51" s="553"/>
    </row>
    <row r="52" spans="1:29" x14ac:dyDescent="0.25">
      <c r="A52" s="18" t="s">
        <v>0</v>
      </c>
      <c r="B52" s="18" t="s">
        <v>1</v>
      </c>
      <c r="C52" s="18" t="s">
        <v>9</v>
      </c>
      <c r="D52" s="19" t="s">
        <v>70</v>
      </c>
      <c r="E52" s="19" t="s">
        <v>1</v>
      </c>
      <c r="F52" s="19" t="s">
        <v>70</v>
      </c>
      <c r="G52" s="537" t="str">
        <f>LEFT(DEC2HEX(V52,4),2)</f>
        <v>00</v>
      </c>
      <c r="H52" s="538"/>
      <c r="I52" s="538"/>
      <c r="J52" s="538"/>
      <c r="K52" s="538"/>
      <c r="L52" s="539"/>
      <c r="M52" s="537" t="str">
        <f>RIGHT(DEC2HEX(V52,4),2)</f>
        <v>0A</v>
      </c>
      <c r="N52" s="538"/>
      <c r="O52" s="538"/>
      <c r="P52" s="538"/>
      <c r="Q52" s="538"/>
      <c r="R52" s="539"/>
      <c r="S52" s="18" t="str">
        <f>DEC2HEX(MOD(HEX2DEC(B52)+HEX2DEC(C52)+HEX2DEC(D52)+HEX2DEC(E52)+HEX2DEC(F52)+HEX2DEC(G52)+HEX2DEC(H52)+HEX2DEC(I52)+HEX2DEC(J52)+HEX2DEC(K52)+HEX2DEC(L52)+HEX2DEC(M52)+HEX2DEC(R52),256),2)</f>
        <v>2F</v>
      </c>
      <c r="T52" s="18" t="s">
        <v>5</v>
      </c>
      <c r="U52" s="12" t="str">
        <f>IF(ISBLANK(A52),,A52&amp;" ")&amp;IF(ISBLANK(B52),,B52&amp;" ")&amp;IF(ISBLANK(C52),,C52&amp;" ")&amp;IF(ISBLANK(D52),,D52&amp;" ")&amp;IF(ISBLANK(E52),,E52&amp;" ")&amp;IF(ISBLANK(F52),,F52&amp;" ")&amp;IF(ISBLANK(G52),,G52&amp;" ")&amp;IF(ISBLANK(H52),,H52&amp;" ")&amp;IF(ISBLANK(I52),,I52&amp;" ")&amp;IF(ISBLANK(J52),,J52&amp;" ")&amp;IF(ISBLANK(K52),,K52&amp;" ")&amp;IF(ISBLANK(L52),,L52&amp;" ")&amp;IF(ISBLANK(M52),,M52&amp;" ")&amp;IF(ISBLANK(N52),,N52&amp;" ")&amp;IF(ISBLANK(O52),,O52&amp;" ")&amp;IF(ISBLANK(P52),,P52&amp;" ")&amp;IF(ISBLANK(Q52),,Q52&amp;" ")&amp;IF(ISBLANK(R52),,R52&amp;" ")&amp;IF(ISBLANK(S52),,S52&amp;" ")&amp;IF(ISBLANK(T52),,T52)</f>
        <v>aa 00 05 10 00 10 00 0A 2F 55</v>
      </c>
      <c r="V52" s="24">
        <v>10</v>
      </c>
      <c r="W52" s="411" t="s">
        <v>104</v>
      </c>
      <c r="X52" s="556"/>
      <c r="Y52" s="556"/>
      <c r="Z52" s="556"/>
      <c r="AA52" s="556"/>
      <c r="AB52" s="556"/>
      <c r="AC52" s="412"/>
    </row>
    <row r="53" spans="1:29" x14ac:dyDescent="0.25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35"/>
      <c r="V53" s="27"/>
      <c r="W53" s="27"/>
      <c r="X53" s="27"/>
      <c r="Y53" s="27"/>
      <c r="Z53" s="27"/>
      <c r="AA53" s="27"/>
      <c r="AB53" s="27"/>
      <c r="AC53" s="27"/>
    </row>
    <row r="54" spans="1:29" x14ac:dyDescent="0.25">
      <c r="A54" s="16"/>
      <c r="B54" s="17"/>
      <c r="C54" s="17"/>
      <c r="D54" s="17"/>
      <c r="E54" s="17"/>
      <c r="F54" s="17"/>
      <c r="G54" s="548"/>
      <c r="H54" s="548"/>
      <c r="I54" s="548"/>
      <c r="J54" s="548"/>
      <c r="K54" s="548"/>
      <c r="L54" s="548"/>
      <c r="M54" s="548"/>
      <c r="N54" s="548"/>
      <c r="O54" s="548"/>
      <c r="P54" s="548"/>
      <c r="Q54" s="548"/>
      <c r="R54" s="548"/>
      <c r="S54" s="17"/>
      <c r="T54" s="17"/>
      <c r="U54" s="12"/>
      <c r="V54" s="387" t="s">
        <v>105</v>
      </c>
      <c r="W54" s="387"/>
      <c r="X54" s="387"/>
      <c r="Y54" s="387"/>
      <c r="Z54" s="387"/>
      <c r="AA54" s="387"/>
      <c r="AB54" s="387"/>
      <c r="AC54" s="387"/>
    </row>
    <row r="55" spans="1:29" x14ac:dyDescent="0.25">
      <c r="A55" s="18" t="s">
        <v>0</v>
      </c>
      <c r="B55" s="18" t="s">
        <v>1</v>
      </c>
      <c r="C55" s="18" t="s">
        <v>8</v>
      </c>
      <c r="D55" s="19" t="s">
        <v>70</v>
      </c>
      <c r="E55" s="19" t="s">
        <v>1</v>
      </c>
      <c r="F55" s="19" t="s">
        <v>28</v>
      </c>
      <c r="G55" s="555"/>
      <c r="H55" s="555"/>
      <c r="I55" s="555"/>
      <c r="J55" s="555"/>
      <c r="K55" s="555"/>
      <c r="L55" s="555"/>
      <c r="M55" s="555"/>
      <c r="N55" s="555"/>
      <c r="O55" s="555"/>
      <c r="P55" s="555"/>
      <c r="Q55" s="555"/>
      <c r="R55" s="555"/>
      <c r="S55" s="18" t="str">
        <f>DEC2HEX(MOD(HEX2DEC(B55)+HEX2DEC(C55)+HEX2DEC(D55)+HEX2DEC(E55)+HEX2DEC(F55)+HEX2DEC(G55)+HEX2DEC(H55)+HEX2DEC(I55)+HEX2DEC(J55)+HEX2DEC(K55)+HEX2DEC(L55)+HEX2DEC(M55)+HEX2DEC(R55),256),2)</f>
        <v>24</v>
      </c>
      <c r="T55" s="18" t="s">
        <v>5</v>
      </c>
      <c r="U55" s="12" t="str">
        <f>IF(ISBLANK(A55),,A55&amp;" ")&amp;IF(ISBLANK(B55),,B55&amp;" ")&amp;IF(ISBLANK(C55),,C55&amp;" ")&amp;IF(ISBLANK(D55),,D55&amp;" ")&amp;IF(ISBLANK(E55),,E55&amp;" ")&amp;IF(ISBLANK(F55),,F55&amp;" ")&amp;IF(ISBLANK(G55),,G55&amp;" ")&amp;IF(ISBLANK(H55),,H55&amp;" ")&amp;IF(ISBLANK(I55),,I55&amp;" ")&amp;IF(ISBLANK(J55),,J55&amp;" ")&amp;IF(ISBLANK(K55),,K55&amp;" ")&amp;IF(ISBLANK(L55),,L55&amp;" ")&amp;IF(ISBLANK(M55),,M55&amp;" ")&amp;IF(ISBLANK(N55),,N55&amp;" ")&amp;IF(ISBLANK(O55),,O55&amp;" ")&amp;IF(ISBLANK(P55),,P55&amp;" ")&amp;IF(ISBLANK(Q55),,Q55&amp;" ")&amp;IF(ISBLANK(R55),,R55&amp;" ")&amp;IF(ISBLANK(S55),,S55&amp;" ")&amp;IF(ISBLANK(T55),,T55)</f>
        <v>aa 00 03 10 00 11 24 55</v>
      </c>
      <c r="V55" s="387" t="s">
        <v>106</v>
      </c>
      <c r="W55" s="387"/>
      <c r="X55" s="387"/>
      <c r="Y55" s="387"/>
      <c r="Z55" s="387"/>
      <c r="AA55" s="387"/>
      <c r="AB55" s="387"/>
      <c r="AC55" s="387"/>
    </row>
  </sheetData>
  <mergeCells count="66">
    <mergeCell ref="X44:AC44"/>
    <mergeCell ref="X45:AC45"/>
    <mergeCell ref="X40:AC40"/>
    <mergeCell ref="X41:AC41"/>
    <mergeCell ref="X42:AC42"/>
    <mergeCell ref="X43:AC43"/>
    <mergeCell ref="X39:AC39"/>
    <mergeCell ref="X34:AC34"/>
    <mergeCell ref="X35:AC35"/>
    <mergeCell ref="X36:AC36"/>
    <mergeCell ref="X37:AC37"/>
    <mergeCell ref="X38:AC38"/>
    <mergeCell ref="X29:AC29"/>
    <mergeCell ref="X30:AC30"/>
    <mergeCell ref="X31:AC31"/>
    <mergeCell ref="X32:AC32"/>
    <mergeCell ref="X33:AC33"/>
    <mergeCell ref="X24:AC24"/>
    <mergeCell ref="X25:AC25"/>
    <mergeCell ref="X26:AC26"/>
    <mergeCell ref="X27:AC27"/>
    <mergeCell ref="X28:AC28"/>
    <mergeCell ref="X19:AC19"/>
    <mergeCell ref="X20:AC20"/>
    <mergeCell ref="X21:AC21"/>
    <mergeCell ref="X22:AC22"/>
    <mergeCell ref="X23:AC23"/>
    <mergeCell ref="V55:AC55"/>
    <mergeCell ref="V54:AC54"/>
    <mergeCell ref="G55:R55"/>
    <mergeCell ref="G52:L52"/>
    <mergeCell ref="M52:R52"/>
    <mergeCell ref="W52:AC52"/>
    <mergeCell ref="G54:R54"/>
    <mergeCell ref="W47:AC47"/>
    <mergeCell ref="W51:AC51"/>
    <mergeCell ref="G51:R51"/>
    <mergeCell ref="A1:AC1"/>
    <mergeCell ref="G2:R2"/>
    <mergeCell ref="V2:AC2"/>
    <mergeCell ref="G47:L47"/>
    <mergeCell ref="M47:R47"/>
    <mergeCell ref="G3:R3"/>
    <mergeCell ref="G4:L4"/>
    <mergeCell ref="M4:R4"/>
    <mergeCell ref="W4:AC4"/>
    <mergeCell ref="W3:AC3"/>
    <mergeCell ref="Q5:R5"/>
    <mergeCell ref="O5:P5"/>
    <mergeCell ref="X12:AC12"/>
    <mergeCell ref="G5:N5"/>
    <mergeCell ref="G46:R46"/>
    <mergeCell ref="X6:AC6"/>
    <mergeCell ref="X7:AC7"/>
    <mergeCell ref="X8:AC8"/>
    <mergeCell ref="W46:AC46"/>
    <mergeCell ref="X5:AC5"/>
    <mergeCell ref="X9:AC9"/>
    <mergeCell ref="X10:AC10"/>
    <mergeCell ref="X11:AC11"/>
    <mergeCell ref="X13:AC13"/>
    <mergeCell ref="X14:AC14"/>
    <mergeCell ref="X15:AC15"/>
    <mergeCell ref="X16:AC16"/>
    <mergeCell ref="X17:AC17"/>
    <mergeCell ref="X18:AC18"/>
  </mergeCells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W39"/>
  <sheetViews>
    <sheetView topLeftCell="A4" workbookViewId="0">
      <selection activeCell="T11" sqref="T11:W14"/>
    </sheetView>
  </sheetViews>
  <sheetFormatPr defaultRowHeight="14.4" x14ac:dyDescent="0.25"/>
  <cols>
    <col min="1" max="18" width="3.6640625" customWidth="1"/>
    <col min="19" max="19" width="34.33203125" customWidth="1"/>
    <col min="20" max="20" width="9.6640625" customWidth="1"/>
    <col min="21" max="22" width="7.33203125" customWidth="1"/>
    <col min="23" max="23" width="35.77734375" customWidth="1"/>
  </cols>
  <sheetData>
    <row r="1" spans="1:23" ht="22.2" x14ac:dyDescent="0.25">
      <c r="A1" s="564" t="s">
        <v>64</v>
      </c>
      <c r="B1" s="565"/>
      <c r="C1" s="565"/>
      <c r="D1" s="565"/>
      <c r="E1" s="565"/>
      <c r="F1" s="565"/>
      <c r="G1" s="565"/>
      <c r="H1" s="565"/>
      <c r="I1" s="565"/>
      <c r="J1" s="565"/>
      <c r="K1" s="565"/>
      <c r="L1" s="565"/>
      <c r="M1" s="565"/>
      <c r="N1" s="565"/>
      <c r="O1" s="565"/>
      <c r="P1" s="565"/>
      <c r="Q1" s="565"/>
      <c r="R1" s="565"/>
      <c r="S1" s="565"/>
      <c r="T1" s="565"/>
      <c r="U1" s="565"/>
      <c r="V1" s="565"/>
      <c r="W1" s="565"/>
    </row>
    <row r="2" spans="1:23" x14ac:dyDescent="0.25">
      <c r="A2" s="559" t="s">
        <v>834</v>
      </c>
      <c r="B2" s="559"/>
      <c r="C2" s="559"/>
      <c r="D2" s="559"/>
      <c r="E2" s="559"/>
      <c r="F2" s="559"/>
      <c r="G2" s="559"/>
      <c r="H2" s="559"/>
      <c r="I2" s="559"/>
      <c r="J2" s="559"/>
      <c r="K2" s="559"/>
      <c r="L2" s="559"/>
      <c r="M2" s="559"/>
      <c r="N2" s="559"/>
      <c r="O2" s="559"/>
      <c r="P2" s="559"/>
      <c r="Q2" s="559"/>
      <c r="R2" s="559"/>
      <c r="S2" s="15" t="s">
        <v>84</v>
      </c>
      <c r="T2" s="387" t="s">
        <v>833</v>
      </c>
      <c r="U2" s="550"/>
      <c r="V2" s="550"/>
      <c r="W2" s="550"/>
    </row>
    <row r="3" spans="1:23" x14ac:dyDescent="0.25">
      <c r="A3" s="1" t="s">
        <v>0</v>
      </c>
      <c r="B3" s="1" t="s">
        <v>1</v>
      </c>
      <c r="C3" s="1" t="s">
        <v>8</v>
      </c>
      <c r="D3" s="2" t="s">
        <v>16</v>
      </c>
      <c r="E3" s="2" t="s">
        <v>1</v>
      </c>
      <c r="F3" s="2" t="s">
        <v>17</v>
      </c>
      <c r="G3" s="71"/>
      <c r="H3" s="71"/>
      <c r="I3" s="71"/>
      <c r="J3" s="71"/>
      <c r="K3" s="71"/>
      <c r="L3" s="71"/>
      <c r="M3" s="71"/>
      <c r="N3" s="71"/>
      <c r="O3" s="71"/>
      <c r="P3" s="71"/>
      <c r="Q3" s="84" t="str">
        <f>DEC2HEX(MOD(HEX2DEC(B3)+HEX2DEC(C3)+HEX2DEC(D3)+HEX2DEC(E3)+HEX2DEC(F3)+HEX2DEC(G3)+HEX2DEC(H3)+HEX2DEC(I3)+HEX2DEC(J3)+HEX2DEC(K3)+HEX2DEC(L3)+HEX2DEC(M3)+HEX2DEC(N3)+HEX2DEC(O3)+HEX2DEC(P3),256),2)</f>
        <v>78</v>
      </c>
      <c r="R3" s="13" t="s">
        <v>5</v>
      </c>
      <c r="S3" s="55" t="str">
        <f>IF(ISBLANK(A3),,A3&amp;" ")&amp;IF(ISBLANK(B3),,B3&amp;" ")&amp;IF(ISBLANK(C3),,C3&amp;" ")&amp;IF(ISBLANK(D3),,D3&amp;" ")&amp;IF(ISBLANK(E3),,E3&amp;" ")&amp;IF(ISBLANK(F3),,F3&amp;" ")&amp;IF(ISBLANK(G3),,G3&amp;" ")&amp;IF(ISBLANK(H3),,H3&amp;" ")&amp;IF(ISBLANK(I3),,I3&amp;" ")&amp;IF(ISBLANK(J3),,J3&amp;" ")&amp;IF(ISBLANK(K3),,K3&amp;" ")&amp;IF(ISBLANK(L3),,L3&amp;" ")&amp;IF(ISBLANK(M3),,M3&amp;" ")&amp;IF(ISBLANK(P3),,P3&amp;" ")&amp;IF(ISBLANK(Q3),,Q3&amp;" ")&amp;IF(ISBLANK(R3),,R3)</f>
        <v>aa 00 03 63 00 12 78 55</v>
      </c>
      <c r="T3" s="566" t="s">
        <v>553</v>
      </c>
      <c r="U3" s="567"/>
      <c r="V3" s="567"/>
      <c r="W3" s="567"/>
    </row>
    <row r="4" spans="1:23" x14ac:dyDescent="0.25">
      <c r="A4" s="1" t="s">
        <v>0</v>
      </c>
      <c r="B4" s="1" t="s">
        <v>1</v>
      </c>
      <c r="C4" s="1" t="s">
        <v>8</v>
      </c>
      <c r="D4" s="2" t="s">
        <v>16</v>
      </c>
      <c r="E4" s="2" t="s">
        <v>14</v>
      </c>
      <c r="F4" s="2" t="s">
        <v>17</v>
      </c>
      <c r="G4" s="71"/>
      <c r="H4" s="71"/>
      <c r="I4" s="71"/>
      <c r="J4" s="71"/>
      <c r="K4" s="71"/>
      <c r="L4" s="71"/>
      <c r="M4" s="71"/>
      <c r="N4" s="71"/>
      <c r="O4" s="71"/>
      <c r="P4" s="71"/>
      <c r="Q4" s="84" t="str">
        <f t="shared" ref="Q4:Q7" si="0">DEC2HEX(MOD(HEX2DEC(B4)+HEX2DEC(C4)+HEX2DEC(D4)+HEX2DEC(E4)+HEX2DEC(F4)+HEX2DEC(G4)+HEX2DEC(H4)+HEX2DEC(I4)+HEX2DEC(J4)+HEX2DEC(K4)+HEX2DEC(L4)+HEX2DEC(M4)+HEX2DEC(N4)+HEX2DEC(O4)+HEX2DEC(P4),256),2)</f>
        <v>79</v>
      </c>
      <c r="R4" s="13" t="s">
        <v>5</v>
      </c>
      <c r="S4" s="55" t="str">
        <f t="shared" ref="S4:S7" si="1">IF(ISBLANK(A4),,A4&amp;" ")&amp;IF(ISBLANK(B4),,B4&amp;" ")&amp;IF(ISBLANK(C4),,C4&amp;" ")&amp;IF(ISBLANK(D4),,D4&amp;" ")&amp;IF(ISBLANK(E4),,E4&amp;" ")&amp;IF(ISBLANK(F4),,F4&amp;" ")&amp;IF(ISBLANK(G4),,G4&amp;" ")&amp;IF(ISBLANK(H4),,H4&amp;" ")&amp;IF(ISBLANK(I4),,I4&amp;" ")&amp;IF(ISBLANK(J4),,J4&amp;" ")&amp;IF(ISBLANK(K4),,K4&amp;" ")&amp;IF(ISBLANK(L4),,L4&amp;" ")&amp;IF(ISBLANK(M4),,M4&amp;" ")&amp;IF(ISBLANK(P4),,P4&amp;" ")&amp;IF(ISBLANK(Q4),,Q4&amp;" ")&amp;IF(ISBLANK(R4),,R4)</f>
        <v>aa 00 03 63 01 12 79 55</v>
      </c>
      <c r="T4" s="550" t="s">
        <v>554</v>
      </c>
      <c r="U4" s="550"/>
      <c r="V4" s="550"/>
      <c r="W4" s="550"/>
    </row>
    <row r="5" spans="1:23" x14ac:dyDescent="0.25">
      <c r="A5" s="1" t="s">
        <v>0</v>
      </c>
      <c r="B5" s="1" t="s">
        <v>1</v>
      </c>
      <c r="C5" s="1" t="s">
        <v>8</v>
      </c>
      <c r="D5" s="2" t="s">
        <v>16</v>
      </c>
      <c r="E5" s="2" t="s">
        <v>15</v>
      </c>
      <c r="F5" s="2" t="s">
        <v>17</v>
      </c>
      <c r="G5" s="71"/>
      <c r="H5" s="71"/>
      <c r="I5" s="71"/>
      <c r="J5" s="71"/>
      <c r="K5" s="71"/>
      <c r="L5" s="71"/>
      <c r="M5" s="71"/>
      <c r="N5" s="71"/>
      <c r="O5" s="71"/>
      <c r="P5" s="71"/>
      <c r="Q5" s="84" t="str">
        <f t="shared" si="0"/>
        <v>7A</v>
      </c>
      <c r="R5" s="13" t="s">
        <v>5</v>
      </c>
      <c r="S5" s="55" t="str">
        <f t="shared" si="1"/>
        <v>aa 00 03 63 02 12 7A 55</v>
      </c>
      <c r="T5" s="550" t="s">
        <v>555</v>
      </c>
      <c r="U5" s="550"/>
      <c r="V5" s="550"/>
      <c r="W5" s="550"/>
    </row>
    <row r="6" spans="1:23" x14ac:dyDescent="0.25">
      <c r="A6" s="1" t="s">
        <v>0</v>
      </c>
      <c r="B6" s="1" t="s">
        <v>1</v>
      </c>
      <c r="C6" s="1" t="s">
        <v>8</v>
      </c>
      <c r="D6" s="2" t="s">
        <v>16</v>
      </c>
      <c r="E6" s="2" t="s">
        <v>13</v>
      </c>
      <c r="F6" s="2" t="s">
        <v>17</v>
      </c>
      <c r="G6" s="71"/>
      <c r="H6" s="71"/>
      <c r="I6" s="71"/>
      <c r="J6" s="71"/>
      <c r="K6" s="71"/>
      <c r="L6" s="71"/>
      <c r="M6" s="71"/>
      <c r="N6" s="71"/>
      <c r="O6" s="71"/>
      <c r="P6" s="71"/>
      <c r="Q6" s="84" t="str">
        <f t="shared" si="0"/>
        <v>7B</v>
      </c>
      <c r="R6" s="13" t="s">
        <v>5</v>
      </c>
      <c r="S6" s="55" t="str">
        <f t="shared" si="1"/>
        <v>aa 00 03 63 03 12 7B 55</v>
      </c>
      <c r="T6" s="550" t="s">
        <v>556</v>
      </c>
      <c r="U6" s="550"/>
      <c r="V6" s="550"/>
      <c r="W6" s="550"/>
    </row>
    <row r="7" spans="1:23" x14ac:dyDescent="0.25">
      <c r="A7" s="1" t="s">
        <v>0</v>
      </c>
      <c r="B7" s="1" t="s">
        <v>1</v>
      </c>
      <c r="C7" s="1" t="s">
        <v>8</v>
      </c>
      <c r="D7" s="2" t="s">
        <v>16</v>
      </c>
      <c r="E7" s="2" t="s">
        <v>724</v>
      </c>
      <c r="F7" s="2" t="s">
        <v>17</v>
      </c>
      <c r="G7" s="71"/>
      <c r="H7" s="71"/>
      <c r="I7" s="71"/>
      <c r="J7" s="71"/>
      <c r="K7" s="71"/>
      <c r="L7" s="71"/>
      <c r="M7" s="71"/>
      <c r="N7" s="71"/>
      <c r="O7" s="71"/>
      <c r="P7" s="71"/>
      <c r="Q7" s="84" t="str">
        <f t="shared" si="0"/>
        <v>7C</v>
      </c>
      <c r="R7" s="13" t="s">
        <v>5</v>
      </c>
      <c r="S7" s="55" t="str">
        <f t="shared" si="1"/>
        <v>aa 00 03 63 04 12 7C 55</v>
      </c>
      <c r="T7" s="550" t="s">
        <v>723</v>
      </c>
      <c r="U7" s="550"/>
      <c r="V7" s="550"/>
      <c r="W7" s="550"/>
    </row>
    <row r="8" spans="1:23" x14ac:dyDescent="0.25">
      <c r="A8" s="1"/>
      <c r="B8" s="1"/>
      <c r="C8" s="1"/>
      <c r="D8" s="2"/>
      <c r="E8" s="2"/>
      <c r="F8" s="2"/>
      <c r="G8" s="71"/>
      <c r="H8" s="71"/>
      <c r="I8" s="71"/>
      <c r="J8" s="71"/>
      <c r="K8" s="71"/>
      <c r="L8" s="71"/>
      <c r="M8" s="71"/>
      <c r="N8" s="71"/>
      <c r="O8" s="71"/>
      <c r="P8" s="71"/>
      <c r="Q8" s="84"/>
      <c r="R8" s="13"/>
      <c r="S8" s="55"/>
      <c r="T8" s="550"/>
      <c r="U8" s="550"/>
      <c r="V8" s="550"/>
      <c r="W8" s="550"/>
    </row>
    <row r="9" spans="1:23" x14ac:dyDescent="0.25">
      <c r="A9" s="1"/>
      <c r="B9" s="1"/>
      <c r="C9" s="1"/>
      <c r="D9" s="2"/>
      <c r="E9" s="2"/>
      <c r="F9" s="2"/>
      <c r="G9" s="71"/>
      <c r="H9" s="71"/>
      <c r="I9" s="71"/>
      <c r="J9" s="71"/>
      <c r="K9" s="71"/>
      <c r="L9" s="71"/>
      <c r="M9" s="71"/>
      <c r="N9" s="71"/>
      <c r="O9" s="71"/>
      <c r="P9" s="71"/>
      <c r="Q9" s="84"/>
      <c r="R9" s="13"/>
      <c r="S9" s="55"/>
      <c r="T9" s="293"/>
      <c r="U9" s="293"/>
      <c r="V9" s="293"/>
      <c r="W9" s="293"/>
    </row>
    <row r="10" spans="1:23" x14ac:dyDescent="0.25">
      <c r="A10" s="559" t="s">
        <v>31</v>
      </c>
      <c r="B10" s="560"/>
      <c r="C10" s="560"/>
      <c r="D10" s="560"/>
      <c r="E10" s="560"/>
      <c r="F10" s="560"/>
      <c r="G10" s="560"/>
      <c r="H10" s="560"/>
      <c r="I10" s="560"/>
      <c r="J10" s="560"/>
      <c r="K10" s="560"/>
      <c r="L10" s="560"/>
      <c r="M10" s="560"/>
      <c r="N10" s="560"/>
      <c r="O10" s="560"/>
      <c r="P10" s="560"/>
      <c r="Q10" s="560"/>
      <c r="R10" s="560"/>
      <c r="S10" s="100"/>
      <c r="T10" s="30"/>
      <c r="U10" s="30"/>
      <c r="V10" s="30"/>
      <c r="W10" s="30"/>
    </row>
    <row r="11" spans="1:23" x14ac:dyDescent="0.25">
      <c r="A11" s="1" t="s">
        <v>0</v>
      </c>
      <c r="B11" s="1" t="s">
        <v>1</v>
      </c>
      <c r="C11" s="1" t="s">
        <v>8</v>
      </c>
      <c r="D11" s="2" t="s">
        <v>16</v>
      </c>
      <c r="E11" s="2" t="s">
        <v>1</v>
      </c>
      <c r="F11" s="2" t="s">
        <v>20</v>
      </c>
      <c r="G11" s="2"/>
      <c r="H11" s="2"/>
      <c r="I11" s="31"/>
      <c r="J11" s="31"/>
      <c r="K11" s="31"/>
      <c r="L11" s="31"/>
      <c r="M11" s="31"/>
      <c r="N11" s="31"/>
      <c r="O11" s="31"/>
      <c r="P11" s="31"/>
      <c r="Q11" s="84" t="str">
        <f t="shared" ref="Q11" si="2">DEC2HEX(MOD(HEX2DEC(B11)+HEX2DEC(C11)+HEX2DEC(D11)+HEX2DEC(E11)+HEX2DEC(F11)+HEX2DEC(G11)+HEX2DEC(H11)+HEX2DEC(I11)+HEX2DEC(J11)+HEX2DEC(K11)+HEX2DEC(L11)+HEX2DEC(M11)+HEX2DEC(N11)+HEX2DEC(O11)+HEX2DEC(P11),256),2)</f>
        <v>96</v>
      </c>
      <c r="R11" s="13" t="s">
        <v>5</v>
      </c>
      <c r="S11" s="55" t="str">
        <f t="shared" ref="S11" si="3">IF(ISBLANK(A11),,A11&amp;" ")&amp;IF(ISBLANK(B11),,B11&amp;" ")&amp;IF(ISBLANK(C11),,C11&amp;" ")&amp;IF(ISBLANK(D11),,D11&amp;" ")&amp;IF(ISBLANK(E11),,E11&amp;" ")&amp;IF(ISBLANK(F11),,F11&amp;" ")&amp;IF(ISBLANK(G11),,G11&amp;" ")&amp;IF(ISBLANK(H11),,H11&amp;" ")&amp;IF(ISBLANK(I11),,I11&amp;" ")&amp;IF(ISBLANK(J11),,J11&amp;" ")&amp;IF(ISBLANK(K11),,K11&amp;" ")&amp;IF(ISBLANK(L11),,L11&amp;" ")&amp;IF(ISBLANK(M11),,M11&amp;" ")&amp;IF(ISBLANK(P11),,P11&amp;" ")&amp;IF(ISBLANK(Q11),,Q11&amp;" ")&amp;IF(ISBLANK(R11),,R11)</f>
        <v>aa 00 03 63 00 30 96 55</v>
      </c>
      <c r="T11" s="387" t="s">
        <v>48</v>
      </c>
      <c r="U11" s="387"/>
      <c r="V11" s="387"/>
      <c r="W11" s="387"/>
    </row>
    <row r="12" spans="1:23" x14ac:dyDescent="0.25">
      <c r="A12" s="1" t="s">
        <v>0</v>
      </c>
      <c r="B12" s="1" t="s">
        <v>1</v>
      </c>
      <c r="C12" s="1" t="s">
        <v>8</v>
      </c>
      <c r="D12" s="2" t="s">
        <v>16</v>
      </c>
      <c r="E12" s="2" t="s">
        <v>14</v>
      </c>
      <c r="F12" s="2" t="s">
        <v>20</v>
      </c>
      <c r="G12" s="2"/>
      <c r="H12" s="2"/>
      <c r="I12" s="31"/>
      <c r="J12" s="31"/>
      <c r="K12" s="31"/>
      <c r="L12" s="31"/>
      <c r="M12" s="31"/>
      <c r="N12" s="31"/>
      <c r="O12" s="31"/>
      <c r="P12" s="31"/>
      <c r="Q12" s="84" t="str">
        <f t="shared" ref="Q12:Q14" si="4">DEC2HEX(MOD(HEX2DEC(B12)+HEX2DEC(C12)+HEX2DEC(D12)+HEX2DEC(E12)+HEX2DEC(F12)+HEX2DEC(G12)+HEX2DEC(H12)+HEX2DEC(I12)+HEX2DEC(J12)+HEX2DEC(K12)+HEX2DEC(L12)+HEX2DEC(M12)+HEX2DEC(N12)+HEX2DEC(O12)+HEX2DEC(P12),256),2)</f>
        <v>97</v>
      </c>
      <c r="R12" s="13" t="s">
        <v>5</v>
      </c>
      <c r="S12" s="55" t="str">
        <f t="shared" ref="S12:S14" si="5">IF(ISBLANK(A12),,A12&amp;" ")&amp;IF(ISBLANK(B12),,B12&amp;" ")&amp;IF(ISBLANK(C12),,C12&amp;" ")&amp;IF(ISBLANK(D12),,D12&amp;" ")&amp;IF(ISBLANK(E12),,E12&amp;" ")&amp;IF(ISBLANK(F12),,F12&amp;" ")&amp;IF(ISBLANK(G12),,G12&amp;" ")&amp;IF(ISBLANK(H12),,H12&amp;" ")&amp;IF(ISBLANK(I12),,I12&amp;" ")&amp;IF(ISBLANK(J12),,J12&amp;" ")&amp;IF(ISBLANK(K12),,K12&amp;" ")&amp;IF(ISBLANK(L12),,L12&amp;" ")&amp;IF(ISBLANK(M12),,M12&amp;" ")&amp;IF(ISBLANK(P12),,P12&amp;" ")&amp;IF(ISBLANK(Q12),,Q12&amp;" ")&amp;IF(ISBLANK(R12),,R12)</f>
        <v>aa 00 03 63 01 30 97 55</v>
      </c>
      <c r="T12" s="387" t="s">
        <v>19</v>
      </c>
      <c r="U12" s="387"/>
      <c r="V12" s="387"/>
      <c r="W12" s="387"/>
    </row>
    <row r="13" spans="1:23" x14ac:dyDescent="0.25">
      <c r="A13" s="1" t="s">
        <v>0</v>
      </c>
      <c r="B13" s="1" t="s">
        <v>1</v>
      </c>
      <c r="C13" s="1" t="s">
        <v>8</v>
      </c>
      <c r="D13" s="2" t="s">
        <v>16</v>
      </c>
      <c r="E13" s="2" t="s">
        <v>15</v>
      </c>
      <c r="F13" s="2" t="s">
        <v>20</v>
      </c>
      <c r="G13" s="2"/>
      <c r="H13" s="2"/>
      <c r="I13" s="31"/>
      <c r="J13" s="31"/>
      <c r="K13" s="31"/>
      <c r="L13" s="31"/>
      <c r="M13" s="31"/>
      <c r="N13" s="31"/>
      <c r="O13" s="31"/>
      <c r="P13" s="31"/>
      <c r="Q13" s="84" t="str">
        <f t="shared" si="4"/>
        <v>98</v>
      </c>
      <c r="R13" s="13" t="s">
        <v>5</v>
      </c>
      <c r="S13" s="55" t="str">
        <f t="shared" si="5"/>
        <v>aa 00 03 63 02 30 98 55</v>
      </c>
      <c r="T13" s="387" t="s">
        <v>21</v>
      </c>
      <c r="U13" s="387"/>
      <c r="V13" s="387"/>
      <c r="W13" s="387"/>
    </row>
    <row r="14" spans="1:23" x14ac:dyDescent="0.25">
      <c r="A14" s="1" t="s">
        <v>0</v>
      </c>
      <c r="B14" s="1" t="s">
        <v>1</v>
      </c>
      <c r="C14" s="1" t="s">
        <v>8</v>
      </c>
      <c r="D14" s="2" t="s">
        <v>16</v>
      </c>
      <c r="E14" s="2" t="s">
        <v>13</v>
      </c>
      <c r="F14" s="2" t="s">
        <v>20</v>
      </c>
      <c r="G14" s="2"/>
      <c r="H14" s="2"/>
      <c r="I14" s="31"/>
      <c r="J14" s="31"/>
      <c r="K14" s="31"/>
      <c r="L14" s="31"/>
      <c r="M14" s="31"/>
      <c r="N14" s="31"/>
      <c r="O14" s="31"/>
      <c r="P14" s="31"/>
      <c r="Q14" s="84" t="str">
        <f t="shared" si="4"/>
        <v>99</v>
      </c>
      <c r="R14" s="13" t="s">
        <v>5</v>
      </c>
      <c r="S14" s="55" t="str">
        <f t="shared" si="5"/>
        <v>aa 00 03 63 03 30 99 55</v>
      </c>
      <c r="T14" s="387" t="s">
        <v>22</v>
      </c>
      <c r="U14" s="387"/>
      <c r="V14" s="387"/>
      <c r="W14" s="387"/>
    </row>
    <row r="15" spans="1:23" x14ac:dyDescent="0.25">
      <c r="A15" s="559" t="s">
        <v>32</v>
      </c>
      <c r="B15" s="559"/>
      <c r="C15" s="559"/>
      <c r="D15" s="559"/>
      <c r="E15" s="559"/>
      <c r="F15" s="559"/>
      <c r="G15" s="559"/>
      <c r="H15" s="559"/>
      <c r="I15" s="559"/>
      <c r="J15" s="559"/>
      <c r="K15" s="559"/>
      <c r="L15" s="559"/>
      <c r="M15" s="559"/>
      <c r="N15" s="559"/>
      <c r="O15" s="559"/>
      <c r="P15" s="559"/>
      <c r="Q15" s="559"/>
      <c r="R15" s="559"/>
      <c r="S15" s="100"/>
      <c r="T15" s="41" t="s">
        <v>29</v>
      </c>
      <c r="U15" s="41" t="s">
        <v>30</v>
      </c>
      <c r="V15" s="387" t="s">
        <v>624</v>
      </c>
      <c r="W15" s="387"/>
    </row>
    <row r="16" spans="1:23" x14ac:dyDescent="0.25">
      <c r="A16" s="1" t="s">
        <v>0</v>
      </c>
      <c r="B16" s="1" t="s">
        <v>1</v>
      </c>
      <c r="C16" s="1" t="s">
        <v>36</v>
      </c>
      <c r="D16" s="2" t="s">
        <v>16</v>
      </c>
      <c r="E16" s="2" t="s">
        <v>1</v>
      </c>
      <c r="F16" s="2" t="s">
        <v>27</v>
      </c>
      <c r="G16" s="2"/>
      <c r="H16" s="2"/>
      <c r="I16" s="3" t="str">
        <f>LEFT(RIGHT(DEC2HEX(T16,8),8),2)</f>
        <v>FF</v>
      </c>
      <c r="J16" s="3" t="str">
        <f>LEFT(RIGHT(DEC2HEX(T16,8),6),2)</f>
        <v>FF</v>
      </c>
      <c r="K16" s="3" t="str">
        <f>LEFT(RIGHT(DEC2HEX(T16,8),4),2)</f>
        <v>D8</v>
      </c>
      <c r="L16" s="3" t="str">
        <f>RIGHT(DEC2HEX(T16,8),2)</f>
        <v>F0</v>
      </c>
      <c r="M16" s="3" t="str">
        <f>LEFT(RIGHT(DEC2HEX(U16,8),8),2)</f>
        <v>00</v>
      </c>
      <c r="N16" s="3" t="str">
        <f>LEFT(RIGHT(DEC2HEX(U16,8),6),2)</f>
        <v>00</v>
      </c>
      <c r="O16" s="3" t="str">
        <f>LEFT(RIGHT(DEC2HEX(U16,8),4),2)</f>
        <v>27</v>
      </c>
      <c r="P16" s="3" t="str">
        <f>RIGHT(DEC2HEX(U16,8),2)</f>
        <v>10</v>
      </c>
      <c r="Q16" s="84" t="str">
        <f t="shared" ref="Q16" si="6">DEC2HEX(MOD(HEX2DEC(B16)+HEX2DEC(C16)+HEX2DEC(D16)+HEX2DEC(E16)+HEX2DEC(F16)+HEX2DEC(G16)+HEX2DEC(H16)+HEX2DEC(I16)+HEX2DEC(J16)+HEX2DEC(K16)+HEX2DEC(L16)+HEX2DEC(M16)+HEX2DEC(N16)+HEX2DEC(O16)+HEX2DEC(P16),256),2)</f>
        <v>9C</v>
      </c>
      <c r="R16" s="13" t="s">
        <v>5</v>
      </c>
      <c r="S16" s="55" t="str">
        <f t="shared" ref="S16" si="7">IF(ISBLANK(A16),,A16&amp;" ")&amp;IF(ISBLANK(B16),,B16&amp;" ")&amp;IF(ISBLANK(C16),,C16&amp;" ")&amp;IF(ISBLANK(D16),,D16&amp;" ")&amp;IF(ISBLANK(E16),,E16&amp;" ")&amp;IF(ISBLANK(F16),,F16&amp;" ")&amp;IF(ISBLANK(G16),,G16&amp;" ")&amp;IF(ISBLANK(H16),,H16&amp;" ")&amp;IF(ISBLANK(I16),,I16&amp;" ")&amp;IF(ISBLANK(J16),,J16&amp;" ")&amp;IF(ISBLANK(K16),,K16&amp;" ")&amp;IF(ISBLANK(L16),,L16&amp;" ")&amp;IF(ISBLANK(M16),,M16&amp;" ")&amp;IF(ISBLANK(P16),,P16&amp;" ")&amp;IF(ISBLANK(Q16),,Q16&amp;" ")&amp;IF(ISBLANK(R16),,R16)</f>
        <v>aa 00 0B 63 00 31 FF FF D8 F0 00 10 9C 55</v>
      </c>
      <c r="T16" s="73">
        <v>-10000</v>
      </c>
      <c r="U16" s="73">
        <v>10000</v>
      </c>
      <c r="V16" s="387" t="s">
        <v>47</v>
      </c>
      <c r="W16" s="387"/>
    </row>
    <row r="17" spans="1:23" x14ac:dyDescent="0.25">
      <c r="A17" s="1" t="s">
        <v>0</v>
      </c>
      <c r="B17" s="1" t="s">
        <v>1</v>
      </c>
      <c r="C17" s="1" t="s">
        <v>36</v>
      </c>
      <c r="D17" s="2" t="s">
        <v>16</v>
      </c>
      <c r="E17" s="2" t="s">
        <v>14</v>
      </c>
      <c r="F17" s="2" t="s">
        <v>27</v>
      </c>
      <c r="G17" s="2"/>
      <c r="H17" s="2"/>
      <c r="I17" s="3" t="str">
        <f>LEFT(RIGHT(DEC2HEX(T17,8),8),2)</f>
        <v>FF</v>
      </c>
      <c r="J17" s="3" t="str">
        <f>LEFT(RIGHT(DEC2HEX(T17,8),6),2)</f>
        <v>FC</v>
      </c>
      <c r="K17" s="3" t="str">
        <f>LEFT(RIGHT(DEC2HEX(T17,8),4),2)</f>
        <v>CB</v>
      </c>
      <c r="L17" s="3" t="str">
        <f>RIGHT(DEC2HEX(T17,8),2)</f>
        <v>B0</v>
      </c>
      <c r="M17" s="3" t="str">
        <f>LEFT(RIGHT(DEC2HEX(U17,8),8),2)</f>
        <v>00</v>
      </c>
      <c r="N17" s="3" t="str">
        <f>LEFT(RIGHT(DEC2HEX(U17,8),6),2)</f>
        <v>00</v>
      </c>
      <c r="O17" s="3" t="str">
        <f>LEFT(RIGHT(DEC2HEX(U17,8),4),2)</f>
        <v>4E</v>
      </c>
      <c r="P17" s="3" t="str">
        <f>RIGHT(DEC2HEX(U17,8),2)</f>
        <v>20</v>
      </c>
      <c r="Q17" s="84" t="str">
        <f t="shared" ref="Q17:Q19" si="8">DEC2HEX(MOD(HEX2DEC(B17)+HEX2DEC(C17)+HEX2DEC(D17)+HEX2DEC(E17)+HEX2DEC(F17)+HEX2DEC(G17)+HEX2DEC(H17)+HEX2DEC(I17)+HEX2DEC(J17)+HEX2DEC(K17)+HEX2DEC(L17)+HEX2DEC(M17)+HEX2DEC(N17)+HEX2DEC(O17)+HEX2DEC(P17),256),2)</f>
        <v>84</v>
      </c>
      <c r="R17" s="13" t="s">
        <v>5</v>
      </c>
      <c r="S17" s="55" t="str">
        <f t="shared" ref="S17:S19" si="9">IF(ISBLANK(A17),,A17&amp;" ")&amp;IF(ISBLANK(B17),,B17&amp;" ")&amp;IF(ISBLANK(C17),,C17&amp;" ")&amp;IF(ISBLANK(D17),,D17&amp;" ")&amp;IF(ISBLANK(E17),,E17&amp;" ")&amp;IF(ISBLANK(F17),,F17&amp;" ")&amp;IF(ISBLANK(G17),,G17&amp;" ")&amp;IF(ISBLANK(H17),,H17&amp;" ")&amp;IF(ISBLANK(I17),,I17&amp;" ")&amp;IF(ISBLANK(J17),,J17&amp;" ")&amp;IF(ISBLANK(K17),,K17&amp;" ")&amp;IF(ISBLANK(L17),,L17&amp;" ")&amp;IF(ISBLANK(M17),,M17&amp;" ")&amp;IF(ISBLANK(P17),,P17&amp;" ")&amp;IF(ISBLANK(Q17),,Q17&amp;" ")&amp;IF(ISBLANK(R17),,R17)</f>
        <v>aa 00 0B 63 01 31 FF FC CB B0 00 20 84 55</v>
      </c>
      <c r="T17" s="73">
        <v>-210000</v>
      </c>
      <c r="U17" s="73">
        <v>20000</v>
      </c>
      <c r="V17" s="387" t="s">
        <v>24</v>
      </c>
      <c r="W17" s="387"/>
    </row>
    <row r="18" spans="1:23" x14ac:dyDescent="0.25">
      <c r="A18" s="1" t="s">
        <v>0</v>
      </c>
      <c r="B18" s="1" t="s">
        <v>1</v>
      </c>
      <c r="C18" s="1" t="s">
        <v>36</v>
      </c>
      <c r="D18" s="2" t="s">
        <v>16</v>
      </c>
      <c r="E18" s="2" t="s">
        <v>15</v>
      </c>
      <c r="F18" s="2" t="s">
        <v>27</v>
      </c>
      <c r="G18" s="2"/>
      <c r="H18" s="2"/>
      <c r="I18" s="3" t="str">
        <f t="shared" ref="I18:I19" si="10">LEFT(RIGHT(DEC2HEX(T18,8),8),2)</f>
        <v>FF</v>
      </c>
      <c r="J18" s="3" t="str">
        <f>LEFT(RIGHT(DEC2HEX(T18,8),6),2)</f>
        <v>F9</v>
      </c>
      <c r="K18" s="3" t="str">
        <f>LEFT(RIGHT(DEC2HEX(T18,8),4),2)</f>
        <v>BE</v>
      </c>
      <c r="L18" s="3" t="str">
        <f>RIGHT(DEC2HEX(T18,8),2)</f>
        <v>70</v>
      </c>
      <c r="M18" s="3" t="str">
        <f>LEFT(RIGHT(DEC2HEX(U18,8),8),2)</f>
        <v>00</v>
      </c>
      <c r="N18" s="3" t="str">
        <f>LEFT(RIGHT(DEC2HEX(U18,8),6),2)</f>
        <v>00</v>
      </c>
      <c r="O18" s="3" t="str">
        <f>LEFT(RIGHT(DEC2HEX(U18,8),4),2)</f>
        <v>75</v>
      </c>
      <c r="P18" s="3" t="str">
        <f>RIGHT(DEC2HEX(U18,8),2)</f>
        <v>30</v>
      </c>
      <c r="Q18" s="84" t="str">
        <f t="shared" si="8"/>
        <v>6C</v>
      </c>
      <c r="R18" s="13" t="s">
        <v>5</v>
      </c>
      <c r="S18" s="55" t="str">
        <f t="shared" si="9"/>
        <v>aa 00 0B 63 02 31 FF F9 BE 70 00 30 6C 55</v>
      </c>
      <c r="T18" s="73">
        <v>-410000</v>
      </c>
      <c r="U18" s="73">
        <v>30000</v>
      </c>
      <c r="V18" s="387" t="s">
        <v>25</v>
      </c>
      <c r="W18" s="387"/>
    </row>
    <row r="19" spans="1:23" x14ac:dyDescent="0.25">
      <c r="A19" s="1" t="s">
        <v>0</v>
      </c>
      <c r="B19" s="1" t="s">
        <v>1</v>
      </c>
      <c r="C19" s="1" t="s">
        <v>635</v>
      </c>
      <c r="D19" s="2" t="s">
        <v>16</v>
      </c>
      <c r="E19" s="2" t="s">
        <v>13</v>
      </c>
      <c r="F19" s="2" t="s">
        <v>27</v>
      </c>
      <c r="G19" s="2"/>
      <c r="H19" s="2"/>
      <c r="I19" s="3" t="str">
        <f t="shared" si="10"/>
        <v>FF</v>
      </c>
      <c r="J19" s="3" t="str">
        <f>LEFT(RIGHT(DEC2HEX(T19,8),6),2)</f>
        <v>F6</v>
      </c>
      <c r="K19" s="3" t="str">
        <f>LEFT(RIGHT(DEC2HEX(T19,8),4),2)</f>
        <v>B1</v>
      </c>
      <c r="L19" s="3" t="str">
        <f>RIGHT(DEC2HEX(T19,8),2)</f>
        <v>30</v>
      </c>
      <c r="M19" s="3" t="str">
        <f>LEFT(RIGHT(DEC2HEX(U19,8),8),2)</f>
        <v>00</v>
      </c>
      <c r="N19" s="3" t="str">
        <f>LEFT(RIGHT(DEC2HEX(U19,8),6),2)</f>
        <v>00</v>
      </c>
      <c r="O19" s="3" t="str">
        <f>LEFT(RIGHT(DEC2HEX(U19,8),4),2)</f>
        <v>9C</v>
      </c>
      <c r="P19" s="3" t="str">
        <f>RIGHT(DEC2HEX(U19,8),2)</f>
        <v>40</v>
      </c>
      <c r="Q19" s="84" t="str">
        <f t="shared" si="8"/>
        <v>54</v>
      </c>
      <c r="R19" s="13" t="s">
        <v>5</v>
      </c>
      <c r="S19" s="55" t="str">
        <f t="shared" si="9"/>
        <v>aa 00 0B 63 03 31 FF F6 B1 30 00 40 54 55</v>
      </c>
      <c r="T19" s="73">
        <v>-610000</v>
      </c>
      <c r="U19" s="73">
        <v>40000</v>
      </c>
      <c r="V19" s="387" t="s">
        <v>26</v>
      </c>
      <c r="W19" s="387"/>
    </row>
    <row r="20" spans="1:23" ht="15" thickBot="1" x14ac:dyDescent="0.3">
      <c r="A20" s="559" t="s">
        <v>33</v>
      </c>
      <c r="B20" s="560"/>
      <c r="C20" s="560"/>
      <c r="D20" s="560"/>
      <c r="E20" s="560"/>
      <c r="F20" s="560"/>
      <c r="G20" s="560"/>
      <c r="H20" s="560"/>
      <c r="I20" s="560"/>
      <c r="J20" s="563"/>
      <c r="K20" s="563"/>
      <c r="L20" s="563"/>
      <c r="M20" s="563"/>
      <c r="N20" s="560"/>
      <c r="O20" s="560"/>
      <c r="P20" s="560"/>
      <c r="Q20" s="560"/>
      <c r="R20" s="560"/>
      <c r="S20" s="70"/>
      <c r="T20" s="41" t="s">
        <v>38</v>
      </c>
      <c r="U20" s="41" t="s">
        <v>39</v>
      </c>
      <c r="V20" s="26" t="s">
        <v>41</v>
      </c>
      <c r="W20" s="335" t="s">
        <v>40</v>
      </c>
    </row>
    <row r="21" spans="1:23" ht="15" thickBot="1" x14ac:dyDescent="0.3">
      <c r="A21" s="1" t="s">
        <v>0</v>
      </c>
      <c r="B21" s="1" t="s">
        <v>1</v>
      </c>
      <c r="C21" s="1" t="s">
        <v>37</v>
      </c>
      <c r="D21" s="2" t="s">
        <v>16</v>
      </c>
      <c r="E21" s="2" t="s">
        <v>1</v>
      </c>
      <c r="F21" s="2" t="s">
        <v>42</v>
      </c>
      <c r="G21" s="262" t="s">
        <v>1</v>
      </c>
      <c r="H21" s="2"/>
      <c r="I21" s="262"/>
      <c r="J21" s="265" t="str">
        <f>LEFT(RIGHT(DEC2HEX(T21,4),4),2)</f>
        <v>01</v>
      </c>
      <c r="K21" s="266" t="str">
        <f>LEFT(RIGHT(DEC2HEX(T21,4),2),2)</f>
        <v>F4</v>
      </c>
      <c r="L21" s="265" t="str">
        <f>LEFT(RIGHT(DEC2HEX(U21,4),4),2)</f>
        <v>02</v>
      </c>
      <c r="M21" s="266" t="str">
        <f>LEFT(RIGHT(DEC2HEX(U21,4),2),2)</f>
        <v>58</v>
      </c>
      <c r="N21" s="263" t="str">
        <f>LEFT(RIGHT(DEC2HEX(V21,4),4),2)</f>
        <v>27</v>
      </c>
      <c r="O21" s="4" t="str">
        <f>LEFT(RIGHT(DEC2HEX(V21,4),2),2)</f>
        <v>10</v>
      </c>
      <c r="P21" s="72"/>
      <c r="Q21" s="84" t="str">
        <f t="shared" ref="Q21:Q24" si="11">DEC2HEX(MOD(HEX2DEC(B21)+HEX2DEC(C21)+HEX2DEC(D21)+HEX2DEC(E21)+HEX2DEC(F21)+HEX2DEC(G21)+HEX2DEC(H21)+HEX2DEC(I21)+HEX2DEC(J21)+HEX2DEC(K21)+HEX2DEC(L21)+HEX2DEC(M21)+HEX2DEC(N21)+HEX2DEC(O21)+HEX2DEC(P21),256),2)</f>
        <v>33</v>
      </c>
      <c r="R21" s="13" t="s">
        <v>5</v>
      </c>
      <c r="S21" s="55" t="str">
        <f t="shared" ref="S21:S24" si="12">IF(ISBLANK(A21),,A21&amp;" ")&amp;IF(ISBLANK(B21),,B21&amp;" ")&amp;IF(ISBLANK(C21),,C21&amp;" ")&amp;IF(ISBLANK(D21),,D21&amp;" ")&amp;IF(ISBLANK(E21),,E21&amp;" ")&amp;IF(ISBLANK(F21),,F21&amp;" ")&amp;IF(ISBLANK(G21),,G21&amp;" ")&amp;IF(ISBLANK(H21),,H21&amp;" ")&amp;IF(ISBLANK(I21),,I21&amp;" ")&amp;IF(ISBLANK(J21),,J21&amp;" ")&amp;IF(ISBLANK(K21),,K21&amp;" ")&amp;IF(ISBLANK(L21),,L21&amp;" ")&amp;IF(ISBLANK(M21),,M21&amp;" ")&amp;IF(ISBLANK(P21),,P21&amp;" ")&amp;IF(ISBLANK(Q21),,Q21&amp;" ")&amp;IF(ISBLANK(R21),,R21)</f>
        <v>aa 00 0A 63 00 40 00 01 F4 02 58 33 55</v>
      </c>
      <c r="T21" s="73">
        <v>500</v>
      </c>
      <c r="U21" s="73">
        <v>600</v>
      </c>
      <c r="V21" s="73">
        <v>10000</v>
      </c>
      <c r="W21" s="334" t="s">
        <v>491</v>
      </c>
    </row>
    <row r="22" spans="1:23" x14ac:dyDescent="0.25">
      <c r="A22" s="1" t="s">
        <v>0</v>
      </c>
      <c r="B22" s="1" t="s">
        <v>1</v>
      </c>
      <c r="C22" s="1" t="s">
        <v>37</v>
      </c>
      <c r="D22" s="2" t="s">
        <v>16</v>
      </c>
      <c r="E22" s="2" t="s">
        <v>14</v>
      </c>
      <c r="F22" s="2" t="s">
        <v>42</v>
      </c>
      <c r="G22" s="3" t="s">
        <v>630</v>
      </c>
      <c r="H22" s="2"/>
      <c r="I22" s="3"/>
      <c r="J22" s="264" t="str">
        <f>LEFT(RIGHT(DEC2HEX(T22,4),4),2)</f>
        <v>13</v>
      </c>
      <c r="K22" s="264" t="str">
        <f>LEFT(RIGHT(DEC2HEX(T22,4),2),2)</f>
        <v>88</v>
      </c>
      <c r="L22" s="264" t="str">
        <f>LEFT(RIGHT(DEC2HEX(U22,4),4),2)</f>
        <v>17</v>
      </c>
      <c r="M22" s="264" t="str">
        <f>LEFT(RIGHT(DEC2HEX(U22,4),2),2)</f>
        <v>70</v>
      </c>
      <c r="N22" s="4" t="str">
        <f>LEFT(RIGHT(DEC2HEX(V22,4),4),2)</f>
        <v>27</v>
      </c>
      <c r="O22" s="4" t="str">
        <f>LEFT(RIGHT(DEC2HEX(V22,4),2),2)</f>
        <v>10</v>
      </c>
      <c r="P22" s="72"/>
      <c r="Q22" s="84" t="str">
        <f t="shared" si="11"/>
        <v>07</v>
      </c>
      <c r="R22" s="13" t="s">
        <v>5</v>
      </c>
      <c r="S22" s="55" t="str">
        <f t="shared" si="12"/>
        <v>aa 00 0A 63 01 40 00 13 88 17 70 07 55</v>
      </c>
      <c r="T22" s="73">
        <v>5000</v>
      </c>
      <c r="U22" s="73">
        <v>6000</v>
      </c>
      <c r="V22" s="73">
        <v>10000</v>
      </c>
      <c r="W22" s="334" t="s">
        <v>228</v>
      </c>
    </row>
    <row r="23" spans="1:23" x14ac:dyDescent="0.25">
      <c r="A23" s="1" t="s">
        <v>0</v>
      </c>
      <c r="B23" s="1" t="s">
        <v>1</v>
      </c>
      <c r="C23" s="1" t="s">
        <v>37</v>
      </c>
      <c r="D23" s="2" t="s">
        <v>16</v>
      </c>
      <c r="E23" s="2" t="s">
        <v>15</v>
      </c>
      <c r="F23" s="2" t="s">
        <v>42</v>
      </c>
      <c r="G23" s="3" t="s">
        <v>1</v>
      </c>
      <c r="H23" s="2"/>
      <c r="I23" s="3"/>
      <c r="J23" s="4" t="str">
        <f>LEFT(RIGHT(DEC2HEX(T23,4),4),2)</f>
        <v>F8</v>
      </c>
      <c r="K23" s="4" t="str">
        <f>LEFT(RIGHT(DEC2HEX(T23,4),2),2)</f>
        <v>30</v>
      </c>
      <c r="L23" s="4" t="str">
        <f>LEFT(RIGHT(DEC2HEX(U23,4),4),2)</f>
        <v>F4</v>
      </c>
      <c r="M23" s="4" t="str">
        <f>LEFT(RIGHT(DEC2HEX(U23,4),2),2)</f>
        <v>48</v>
      </c>
      <c r="N23" s="4" t="str">
        <f>LEFT(RIGHT(DEC2HEX(V23,4),4),2)</f>
        <v>27</v>
      </c>
      <c r="O23" s="4" t="str">
        <f>LEFT(RIGHT(DEC2HEX(V23,4),2),2)</f>
        <v>10</v>
      </c>
      <c r="P23" s="72"/>
      <c r="Q23" s="84" t="str">
        <f t="shared" si="11"/>
        <v>4A</v>
      </c>
      <c r="R23" s="13" t="s">
        <v>5</v>
      </c>
      <c r="S23" s="55" t="str">
        <f t="shared" si="12"/>
        <v>aa 00 0A 63 02 40 00 F8 30 F4 48 4A 55</v>
      </c>
      <c r="T23" s="73">
        <v>-2000</v>
      </c>
      <c r="U23" s="73">
        <v>-3000</v>
      </c>
      <c r="V23" s="73">
        <v>10000</v>
      </c>
      <c r="W23" s="334" t="s">
        <v>43</v>
      </c>
    </row>
    <row r="24" spans="1:23" x14ac:dyDescent="0.25">
      <c r="A24" s="1" t="s">
        <v>0</v>
      </c>
      <c r="B24" s="1" t="s">
        <v>1</v>
      </c>
      <c r="C24" s="1" t="s">
        <v>37</v>
      </c>
      <c r="D24" s="2" t="s">
        <v>16</v>
      </c>
      <c r="E24" s="2" t="s">
        <v>13</v>
      </c>
      <c r="F24" s="2" t="s">
        <v>42</v>
      </c>
      <c r="G24" s="3" t="s">
        <v>1</v>
      </c>
      <c r="H24" s="2"/>
      <c r="I24" s="3"/>
      <c r="J24" s="4" t="str">
        <f>LEFT(RIGHT(DEC2HEX(T24,4),4),2)</f>
        <v>00</v>
      </c>
      <c r="K24" s="4" t="str">
        <f>LEFT(RIGHT(DEC2HEX(T24,4),2),2)</f>
        <v>00</v>
      </c>
      <c r="L24" s="4" t="str">
        <f>LEFT(RIGHT(DEC2HEX(U24,4),4),2)</f>
        <v>55</v>
      </c>
      <c r="M24" s="4" t="str">
        <f>LEFT(RIGHT(DEC2HEX(U24,4),2),2)</f>
        <v>F0</v>
      </c>
      <c r="N24" s="4" t="str">
        <f>LEFT(RIGHT(DEC2HEX(V24,4),4),2)</f>
        <v>27</v>
      </c>
      <c r="O24" s="4" t="str">
        <f>LEFT(RIGHT(DEC2HEX(V24,4),2),2)</f>
        <v>10</v>
      </c>
      <c r="P24" s="72"/>
      <c r="Q24" s="84" t="str">
        <f t="shared" si="11"/>
        <v>2C</v>
      </c>
      <c r="R24" s="13" t="s">
        <v>5</v>
      </c>
      <c r="S24" s="55" t="str">
        <f t="shared" si="12"/>
        <v>aa 00 0A 63 03 40 00 00 00 55 F0 2C 55</v>
      </c>
      <c r="T24" s="73">
        <v>0</v>
      </c>
      <c r="U24" s="73">
        <v>22000</v>
      </c>
      <c r="V24" s="73">
        <v>10000</v>
      </c>
      <c r="W24" s="334" t="s">
        <v>44</v>
      </c>
    </row>
    <row r="25" spans="1:23" x14ac:dyDescent="0.25">
      <c r="A25" s="1" t="s">
        <v>0</v>
      </c>
      <c r="B25" s="1" t="s">
        <v>1</v>
      </c>
      <c r="C25" s="1" t="s">
        <v>37</v>
      </c>
      <c r="D25" s="2" t="s">
        <v>16</v>
      </c>
      <c r="E25" s="2" t="s">
        <v>741</v>
      </c>
      <c r="F25" s="2" t="s">
        <v>42</v>
      </c>
      <c r="G25" s="3" t="s">
        <v>1</v>
      </c>
      <c r="H25" s="2"/>
      <c r="I25" s="3"/>
      <c r="J25" s="4" t="str">
        <f>LEFT(RIGHT(DEC2HEX(T25,4),4),2)</f>
        <v>3A</v>
      </c>
      <c r="K25" s="4" t="str">
        <f>LEFT(RIGHT(DEC2HEX(T25,4),2),2)</f>
        <v>98</v>
      </c>
      <c r="L25" s="4" t="str">
        <f>LEFT(RIGHT(DEC2HEX(U25,4),4),2)</f>
        <v>4E</v>
      </c>
      <c r="M25" s="4" t="str">
        <f>LEFT(RIGHT(DEC2HEX(U25,4),2),2)</f>
        <v>20</v>
      </c>
      <c r="N25" s="4" t="str">
        <f>LEFT(RIGHT(DEC2HEX(V25,4),4),2)</f>
        <v>FF</v>
      </c>
      <c r="O25" s="4" t="str">
        <f>LEFT(RIGHT(DEC2HEX(V25,4),2),2)</f>
        <v>FF</v>
      </c>
      <c r="P25" s="72"/>
      <c r="Q25" s="84" t="str">
        <f t="shared" ref="Q25" si="13">DEC2HEX(MOD(HEX2DEC(B25)+HEX2DEC(C25)+HEX2DEC(D25)+HEX2DEC(E25)+HEX2DEC(F25)+HEX2DEC(G25)+HEX2DEC(H25)+HEX2DEC(I25)+HEX2DEC(J25)+HEX2DEC(K25)+HEX2DEC(L25)+HEX2DEC(M25)+HEX2DEC(N25)+HEX2DEC(O25)+HEX2DEC(P25),256),2)</f>
        <v>EF</v>
      </c>
      <c r="R25" s="13" t="s">
        <v>643</v>
      </c>
      <c r="S25" s="55" t="str">
        <f t="shared" ref="S25" si="14">IF(ISBLANK(A25),,A25&amp;" ")&amp;IF(ISBLANK(B25),,B25&amp;" ")&amp;IF(ISBLANK(C25),,C25&amp;" ")&amp;IF(ISBLANK(D25),,D25&amp;" ")&amp;IF(ISBLANK(E25),,E25&amp;" ")&amp;IF(ISBLANK(F25),,F25&amp;" ")&amp;IF(ISBLANK(G25),,G25&amp;" ")&amp;IF(ISBLANK(H25),,H25&amp;" ")&amp;IF(ISBLANK(I25),,I25&amp;" ")&amp;IF(ISBLANK(J25),,J25&amp;" ")&amp;IF(ISBLANK(K25),,K25&amp;" ")&amp;IF(ISBLANK(L25),,L25&amp;" ")&amp;IF(ISBLANK(M25),,M25&amp;" ")&amp;IF(ISBLANK(P25),,P25&amp;" ")&amp;IF(ISBLANK(Q25),,Q25&amp;" ")&amp;IF(ISBLANK(R25),,R25)</f>
        <v>aa 00 0A 63 04 40 00 3A 98 4E 20 EF 55</v>
      </c>
      <c r="T25" s="73">
        <v>15000</v>
      </c>
      <c r="U25" s="73">
        <v>20000</v>
      </c>
      <c r="V25" s="73">
        <v>65535</v>
      </c>
      <c r="W25" s="334" t="s">
        <v>740</v>
      </c>
    </row>
    <row r="26" spans="1:23" x14ac:dyDescent="0.25">
      <c r="A26" s="1"/>
      <c r="B26" s="1"/>
      <c r="C26" s="1"/>
      <c r="D26" s="2"/>
      <c r="E26" s="2"/>
      <c r="F26" s="2"/>
      <c r="G26" s="3"/>
      <c r="H26" s="2"/>
      <c r="I26" s="3"/>
      <c r="J26" s="4"/>
      <c r="K26" s="4"/>
      <c r="L26" s="4"/>
      <c r="M26" s="4"/>
      <c r="N26" s="4"/>
      <c r="O26" s="4"/>
      <c r="P26" s="72"/>
      <c r="Q26" s="84"/>
      <c r="R26" s="1"/>
      <c r="S26" s="55"/>
      <c r="T26" s="73"/>
      <c r="U26" s="73"/>
      <c r="V26" s="297"/>
      <c r="W26" s="296"/>
    </row>
    <row r="27" spans="1:23" s="39" customFormat="1" x14ac:dyDescent="0.25">
      <c r="A27" s="559" t="s">
        <v>34</v>
      </c>
      <c r="B27" s="560"/>
      <c r="C27" s="560"/>
      <c r="D27" s="560"/>
      <c r="E27" s="560"/>
      <c r="F27" s="560"/>
      <c r="G27" s="560"/>
      <c r="H27" s="560"/>
      <c r="I27" s="560"/>
      <c r="J27" s="560"/>
      <c r="K27" s="560"/>
      <c r="L27" s="560"/>
      <c r="M27" s="560"/>
      <c r="N27" s="560"/>
      <c r="O27" s="560"/>
      <c r="P27" s="560"/>
      <c r="Q27" s="560"/>
      <c r="R27" s="560"/>
      <c r="S27" s="35"/>
      <c r="T27" s="41" t="s">
        <v>38</v>
      </c>
      <c r="U27" s="41" t="s">
        <v>39</v>
      </c>
      <c r="V27" s="561"/>
      <c r="W27" s="562"/>
    </row>
    <row r="28" spans="1:23" x14ac:dyDescent="0.25">
      <c r="A28" s="1" t="s">
        <v>0</v>
      </c>
      <c r="B28" s="1" t="s">
        <v>1</v>
      </c>
      <c r="C28" s="1" t="s">
        <v>45</v>
      </c>
      <c r="D28" s="2" t="s">
        <v>16</v>
      </c>
      <c r="E28" s="2" t="s">
        <v>1</v>
      </c>
      <c r="F28" s="2" t="s">
        <v>28</v>
      </c>
      <c r="G28" s="2"/>
      <c r="H28" s="2"/>
      <c r="I28" s="4" t="str">
        <f>LEFT(RIGHT(DEC2HEX(T28,4),4),2)</f>
        <v>01</v>
      </c>
      <c r="J28" s="4" t="str">
        <f>LEFT(RIGHT(DEC2HEX(T28,4),2),2)</f>
        <v>F4</v>
      </c>
      <c r="K28" s="4" t="str">
        <f>LEFT(RIGHT(DEC2HEX(U28,4),4),2)</f>
        <v>02</v>
      </c>
      <c r="L28" s="4" t="str">
        <f>LEFT(RIGHT(DEC2HEX(U28,4),2),2)</f>
        <v>58</v>
      </c>
      <c r="M28" s="31"/>
      <c r="N28" s="31"/>
      <c r="O28" s="31"/>
      <c r="P28" s="31"/>
      <c r="Q28" s="84" t="str">
        <f t="shared" ref="Q28" si="15">DEC2HEX(MOD(HEX2DEC(B28)+HEX2DEC(C28)+HEX2DEC(D28)+HEX2DEC(E28)+HEX2DEC(F28)+HEX2DEC(G28)+HEX2DEC(H28)+HEX2DEC(I28)+HEX2DEC(J28)+HEX2DEC(K28)+HEX2DEC(L28)+HEX2DEC(M28)+HEX2DEC(N28)+HEX2DEC(O28)+HEX2DEC(P28),256),2)</f>
        <v>CA</v>
      </c>
      <c r="R28" s="13" t="s">
        <v>5</v>
      </c>
      <c r="S28" s="55" t="str">
        <f t="shared" ref="S28" si="16">IF(ISBLANK(A28),,A28&amp;" ")&amp;IF(ISBLANK(B28),,B28&amp;" ")&amp;IF(ISBLANK(C28),,C28&amp;" ")&amp;IF(ISBLANK(D28),,D28&amp;" ")&amp;IF(ISBLANK(E28),,E28&amp;" ")&amp;IF(ISBLANK(F28),,F28&amp;" ")&amp;IF(ISBLANK(G28),,G28&amp;" ")&amp;IF(ISBLANK(H28),,H28&amp;" ")&amp;IF(ISBLANK(I28),,I28&amp;" ")&amp;IF(ISBLANK(J28),,J28&amp;" ")&amp;IF(ISBLANK(K28),,K28&amp;" ")&amp;IF(ISBLANK(L28),,L28&amp;" ")&amp;IF(ISBLANK(M28),,M28&amp;" ")&amp;IF(ISBLANK(P28),,P28&amp;" ")&amp;IF(ISBLANK(Q28),,Q28&amp;" ")&amp;IF(ISBLANK(R28),,R28)</f>
        <v>aa 00 07 63 00 11 01 F4 02 58 CA 55</v>
      </c>
      <c r="T28" s="73">
        <v>500</v>
      </c>
      <c r="U28" s="73">
        <v>600</v>
      </c>
      <c r="V28" s="387" t="s">
        <v>46</v>
      </c>
      <c r="W28" s="387"/>
    </row>
    <row r="29" spans="1:23" x14ac:dyDescent="0.25">
      <c r="A29" s="1" t="s">
        <v>0</v>
      </c>
      <c r="B29" s="1" t="s">
        <v>1</v>
      </c>
      <c r="C29" s="1" t="s">
        <v>45</v>
      </c>
      <c r="D29" s="2" t="s">
        <v>16</v>
      </c>
      <c r="E29" s="2" t="s">
        <v>4</v>
      </c>
      <c r="F29" s="2" t="s">
        <v>28</v>
      </c>
      <c r="G29" s="2"/>
      <c r="H29" s="2"/>
      <c r="I29" s="4" t="str">
        <f>LEFT(RIGHT(DEC2HEX(T29,4),4),2)</f>
        <v>13</v>
      </c>
      <c r="J29" s="4" t="str">
        <f>LEFT(RIGHT(DEC2HEX(T29,4),2),2)</f>
        <v>88</v>
      </c>
      <c r="K29" s="4" t="str">
        <f>LEFT(RIGHT(DEC2HEX(U29,4),4),2)</f>
        <v>17</v>
      </c>
      <c r="L29" s="4" t="str">
        <f>LEFT(RIGHT(DEC2HEX(U29,4),2),2)</f>
        <v>70</v>
      </c>
      <c r="M29" s="31"/>
      <c r="N29" s="31"/>
      <c r="O29" s="31"/>
      <c r="P29" s="31"/>
      <c r="Q29" s="84" t="str">
        <f t="shared" ref="Q29:Q31" si="17">DEC2HEX(MOD(HEX2DEC(B29)+HEX2DEC(C29)+HEX2DEC(D29)+HEX2DEC(E29)+HEX2DEC(F29)+HEX2DEC(G29)+HEX2DEC(H29)+HEX2DEC(I29)+HEX2DEC(J29)+HEX2DEC(K29)+HEX2DEC(L29)+HEX2DEC(M29)+HEX2DEC(N29)+HEX2DEC(O29)+HEX2DEC(P29),256),2)</f>
        <v>9E</v>
      </c>
      <c r="R29" s="13" t="s">
        <v>5</v>
      </c>
      <c r="S29" s="55" t="str">
        <f t="shared" ref="S29:S31" si="18">IF(ISBLANK(A29),,A29&amp;" ")&amp;IF(ISBLANK(B29),,B29&amp;" ")&amp;IF(ISBLANK(C29),,C29&amp;" ")&amp;IF(ISBLANK(D29),,D29&amp;" ")&amp;IF(ISBLANK(E29),,E29&amp;" ")&amp;IF(ISBLANK(F29),,F29&amp;" ")&amp;IF(ISBLANK(G29),,G29&amp;" ")&amp;IF(ISBLANK(H29),,H29&amp;" ")&amp;IF(ISBLANK(I29),,I29&amp;" ")&amp;IF(ISBLANK(J29),,J29&amp;" ")&amp;IF(ISBLANK(K29),,K29&amp;" ")&amp;IF(ISBLANK(L29),,L29&amp;" ")&amp;IF(ISBLANK(M29),,M29&amp;" ")&amp;IF(ISBLANK(P29),,P29&amp;" ")&amp;IF(ISBLANK(Q29),,Q29&amp;" ")&amp;IF(ISBLANK(R29),,R29)</f>
        <v>aa 00 07 63 01 11 13 88 17 70 9E 55</v>
      </c>
      <c r="T29" s="73">
        <v>5000</v>
      </c>
      <c r="U29" s="73">
        <v>6000</v>
      </c>
      <c r="V29" s="387" t="s">
        <v>49</v>
      </c>
      <c r="W29" s="387"/>
    </row>
    <row r="30" spans="1:23" x14ac:dyDescent="0.25">
      <c r="A30" s="1" t="s">
        <v>0</v>
      </c>
      <c r="B30" s="1" t="s">
        <v>1</v>
      </c>
      <c r="C30" s="1" t="s">
        <v>45</v>
      </c>
      <c r="D30" s="2" t="s">
        <v>16</v>
      </c>
      <c r="E30" s="2" t="s">
        <v>15</v>
      </c>
      <c r="F30" s="2" t="s">
        <v>28</v>
      </c>
      <c r="G30" s="2"/>
      <c r="H30" s="2"/>
      <c r="I30" s="4" t="str">
        <f>LEFT(RIGHT(DEC2HEX(T30,4),4),2)</f>
        <v>07</v>
      </c>
      <c r="J30" s="4" t="str">
        <f>LEFT(RIGHT(DEC2HEX(T30,4),2),2)</f>
        <v>D0</v>
      </c>
      <c r="K30" s="4" t="str">
        <f>LEFT(RIGHT(DEC2HEX(U30,4),4),2)</f>
        <v>0B</v>
      </c>
      <c r="L30" s="4" t="str">
        <f>LEFT(RIGHT(DEC2HEX(U30,4),2),2)</f>
        <v>B8</v>
      </c>
      <c r="M30" s="31"/>
      <c r="N30" s="31"/>
      <c r="O30" s="31"/>
      <c r="P30" s="31"/>
      <c r="Q30" s="84" t="str">
        <f t="shared" si="17"/>
        <v>17</v>
      </c>
      <c r="R30" s="13" t="s">
        <v>5</v>
      </c>
      <c r="S30" s="55" t="str">
        <f t="shared" si="18"/>
        <v>aa 00 07 63 02 11 07 D0 0B B8 17 55</v>
      </c>
      <c r="T30" s="73">
        <v>2000</v>
      </c>
      <c r="U30" s="73">
        <v>3000</v>
      </c>
      <c r="V30" s="387" t="s">
        <v>50</v>
      </c>
      <c r="W30" s="387"/>
    </row>
    <row r="31" spans="1:23" x14ac:dyDescent="0.25">
      <c r="A31" s="1" t="s">
        <v>0</v>
      </c>
      <c r="B31" s="1" t="s">
        <v>1</v>
      </c>
      <c r="C31" s="1" t="s">
        <v>45</v>
      </c>
      <c r="D31" s="2" t="s">
        <v>16</v>
      </c>
      <c r="E31" s="2" t="s">
        <v>13</v>
      </c>
      <c r="F31" s="2" t="s">
        <v>28</v>
      </c>
      <c r="G31" s="2"/>
      <c r="H31" s="2"/>
      <c r="I31" s="4" t="str">
        <f>LEFT(RIGHT(DEC2HEX(T31,4),4),2)</f>
        <v>3A</v>
      </c>
      <c r="J31" s="4" t="str">
        <f>LEFT(RIGHT(DEC2HEX(T31,4),2),2)</f>
        <v>98</v>
      </c>
      <c r="K31" s="4" t="str">
        <f>LEFT(RIGHT(DEC2HEX(U31,4),4),2)</f>
        <v>3E</v>
      </c>
      <c r="L31" s="4" t="str">
        <f>LEFT(RIGHT(DEC2HEX(U31,4),2),2)</f>
        <v>80</v>
      </c>
      <c r="M31" s="31"/>
      <c r="N31" s="31"/>
      <c r="O31" s="31"/>
      <c r="P31" s="31"/>
      <c r="Q31" s="84" t="str">
        <f t="shared" si="17"/>
        <v>0E</v>
      </c>
      <c r="R31" s="13" t="s">
        <v>5</v>
      </c>
      <c r="S31" s="55" t="str">
        <f t="shared" si="18"/>
        <v>aa 00 07 63 03 11 3A 98 3E 80 0E 55</v>
      </c>
      <c r="T31" s="73">
        <v>15000</v>
      </c>
      <c r="U31" s="73">
        <v>16000</v>
      </c>
      <c r="V31" s="387" t="s">
        <v>51</v>
      </c>
      <c r="W31" s="387"/>
    </row>
    <row r="32" spans="1:23" s="39" customFormat="1" x14ac:dyDescent="0.25">
      <c r="A32" s="559" t="s">
        <v>35</v>
      </c>
      <c r="B32" s="560"/>
      <c r="C32" s="560"/>
      <c r="D32" s="560"/>
      <c r="E32" s="560"/>
      <c r="F32" s="560"/>
      <c r="G32" s="560"/>
      <c r="H32" s="560"/>
      <c r="I32" s="560"/>
      <c r="J32" s="560"/>
      <c r="K32" s="560"/>
      <c r="L32" s="560"/>
      <c r="M32" s="560"/>
      <c r="N32" s="560"/>
      <c r="O32" s="560"/>
      <c r="P32" s="560"/>
      <c r="Q32" s="560"/>
      <c r="R32" s="560"/>
      <c r="S32" s="35"/>
      <c r="T32" s="41" t="s">
        <v>38</v>
      </c>
      <c r="U32" s="41" t="s">
        <v>39</v>
      </c>
      <c r="V32" s="26" t="s">
        <v>387</v>
      </c>
      <c r="W32" s="336" t="s">
        <v>40</v>
      </c>
    </row>
    <row r="33" spans="1:23" x14ac:dyDescent="0.25">
      <c r="A33" s="1" t="s">
        <v>0</v>
      </c>
      <c r="B33" s="1" t="s">
        <v>1</v>
      </c>
      <c r="C33" s="1" t="s">
        <v>52</v>
      </c>
      <c r="D33" s="2" t="s">
        <v>16</v>
      </c>
      <c r="E33" s="2" t="s">
        <v>1</v>
      </c>
      <c r="F33" s="2" t="s">
        <v>53</v>
      </c>
      <c r="G33" s="2"/>
      <c r="H33" s="2"/>
      <c r="I33" s="4" t="str">
        <f>LEFT(RIGHT(DEC2HEX(T33,4),4),2)</f>
        <v>02</v>
      </c>
      <c r="J33" s="4" t="str">
        <f>LEFT(RIGHT(DEC2HEX(T33,4),2),2)</f>
        <v>26</v>
      </c>
      <c r="K33" s="4" t="str">
        <f>LEFT(RIGHT(DEC2HEX(U33,4),4),2)</f>
        <v>02</v>
      </c>
      <c r="L33" s="4" t="str">
        <f>LEFT(RIGHT(DEC2HEX(U33,4),2),2)</f>
        <v>8A</v>
      </c>
      <c r="M33" s="4" t="str">
        <f>LEFT(RIGHT(DEC2HEX(V33,4),4),2)</f>
        <v>03</v>
      </c>
      <c r="N33" s="4" t="str">
        <f>LEFT(RIGHT(DEC2HEX(V33,4),2),2)</f>
        <v>E8</v>
      </c>
      <c r="O33" s="31"/>
      <c r="P33" s="31"/>
      <c r="Q33" s="84" t="str">
        <f t="shared" ref="Q33" si="19">DEC2HEX(MOD(HEX2DEC(B33)+HEX2DEC(C33)+HEX2DEC(D33)+HEX2DEC(E33)+HEX2DEC(F33)+HEX2DEC(G33)+HEX2DEC(H33)+HEX2DEC(I33)+HEX2DEC(J33)+HEX2DEC(K33)+HEX2DEC(L33)+HEX2DEC(M33)+HEX2DEC(N33)+HEX2DEC(O33)+HEX2DEC(P33),256),2)</f>
        <v>2B</v>
      </c>
      <c r="R33" s="13" t="s">
        <v>5</v>
      </c>
      <c r="S33" s="55" t="str">
        <f t="shared" ref="S33" si="20">IF(ISBLANK(A33),,A33&amp;" ")&amp;IF(ISBLANK(B33),,B33&amp;" ")&amp;IF(ISBLANK(C33),,C33&amp;" ")&amp;IF(ISBLANK(D33),,D33&amp;" ")&amp;IF(ISBLANK(E33),,E33&amp;" ")&amp;IF(ISBLANK(F33),,F33&amp;" ")&amp;IF(ISBLANK(G33),,G33&amp;" ")&amp;IF(ISBLANK(H33),,H33&amp;" ")&amp;IF(ISBLANK(I33),,I33&amp;" ")&amp;IF(ISBLANK(J33),,J33&amp;" ")&amp;IF(ISBLANK(K33),,K33&amp;" ")&amp;IF(ISBLANK(L33),,L33&amp;" ")&amp;IF(ISBLANK(M33),,M33&amp;" ")&amp;IF(ISBLANK(P33),,P33&amp;" ")&amp;IF(ISBLANK(Q33),,Q33&amp;" ")&amp;IF(ISBLANK(R33),,R33)</f>
        <v>aa 00 09 63 00 20 02 26 02 8A 03 2B 55</v>
      </c>
      <c r="T33" s="73">
        <v>550</v>
      </c>
      <c r="U33" s="73">
        <v>650</v>
      </c>
      <c r="V33" s="73">
        <v>1000</v>
      </c>
      <c r="W33" s="334" t="s">
        <v>386</v>
      </c>
    </row>
    <row r="34" spans="1:23" x14ac:dyDescent="0.25">
      <c r="A34" s="1" t="s">
        <v>0</v>
      </c>
      <c r="B34" s="1" t="s">
        <v>1</v>
      </c>
      <c r="C34" s="1" t="s">
        <v>52</v>
      </c>
      <c r="D34" s="2" t="s">
        <v>16</v>
      </c>
      <c r="E34" s="2" t="s">
        <v>14</v>
      </c>
      <c r="F34" s="2" t="s">
        <v>53</v>
      </c>
      <c r="G34" s="2"/>
      <c r="H34" s="2"/>
      <c r="I34" s="4" t="str">
        <f>LEFT(RIGHT(DEC2HEX(T34,4),4),2)</f>
        <v>E8</v>
      </c>
      <c r="J34" s="4" t="str">
        <f>LEFT(RIGHT(DEC2HEX(T34,4),2),2)</f>
        <v>90</v>
      </c>
      <c r="K34" s="4" t="str">
        <f>LEFT(RIGHT(DEC2HEX(U34,4),4),2)</f>
        <v>E4</v>
      </c>
      <c r="L34" s="4" t="str">
        <f>LEFT(RIGHT(DEC2HEX(U34,4),2),2)</f>
        <v>A8</v>
      </c>
      <c r="M34" s="4" t="str">
        <f>LEFT(RIGHT(DEC2HEX(V34,4),4),2)</f>
        <v>03</v>
      </c>
      <c r="N34" s="4" t="str">
        <f>LEFT(RIGHT(DEC2HEX(V34,4),2),2)</f>
        <v>E8</v>
      </c>
      <c r="O34" s="31"/>
      <c r="P34" s="31"/>
      <c r="Q34" s="84" t="str">
        <f t="shared" ref="Q34:Q35" si="21">DEC2HEX(MOD(HEX2DEC(B34)+HEX2DEC(C34)+HEX2DEC(D34)+HEX2DEC(E34)+HEX2DEC(F34)+HEX2DEC(G34)+HEX2DEC(H34)+HEX2DEC(I34)+HEX2DEC(J34)+HEX2DEC(K34)+HEX2DEC(L34)+HEX2DEC(M34)+HEX2DEC(N34)+HEX2DEC(O34)+HEX2DEC(P34),256),2)</f>
        <v>7C</v>
      </c>
      <c r="R34" s="13" t="s">
        <v>5</v>
      </c>
      <c r="S34" s="55" t="str">
        <f t="shared" ref="S34:S35" si="22">IF(ISBLANK(A34),,A34&amp;" ")&amp;IF(ISBLANK(B34),,B34&amp;" ")&amp;IF(ISBLANK(C34),,C34&amp;" ")&amp;IF(ISBLANK(D34),,D34&amp;" ")&amp;IF(ISBLANK(E34),,E34&amp;" ")&amp;IF(ISBLANK(F34),,F34&amp;" ")&amp;IF(ISBLANK(G34),,G34&amp;" ")&amp;IF(ISBLANK(H34),,H34&amp;" ")&amp;IF(ISBLANK(I34),,I34&amp;" ")&amp;IF(ISBLANK(J34),,J34&amp;" ")&amp;IF(ISBLANK(K34),,K34&amp;" ")&amp;IF(ISBLANK(L34),,L34&amp;" ")&amp;IF(ISBLANK(M34),,M34&amp;" ")&amp;IF(ISBLANK(P34),,P34&amp;" ")&amp;IF(ISBLANK(Q34),,Q34&amp;" ")&amp;IF(ISBLANK(R34),,R34)</f>
        <v>aa 00 09 63 01 20 E8 90 E4 A8 03 7C 55</v>
      </c>
      <c r="T34" s="73">
        <v>-6000</v>
      </c>
      <c r="U34" s="73">
        <v>-7000</v>
      </c>
      <c r="V34" s="73">
        <v>1000</v>
      </c>
      <c r="W34" s="334" t="s">
        <v>54</v>
      </c>
    </row>
    <row r="35" spans="1:23" x14ac:dyDescent="0.25">
      <c r="A35" s="1" t="s">
        <v>0</v>
      </c>
      <c r="B35" s="1" t="s">
        <v>1</v>
      </c>
      <c r="C35" s="1" t="s">
        <v>52</v>
      </c>
      <c r="D35" s="2" t="s">
        <v>16</v>
      </c>
      <c r="E35" s="2" t="s">
        <v>741</v>
      </c>
      <c r="F35" s="2" t="s">
        <v>53</v>
      </c>
      <c r="G35" s="2"/>
      <c r="H35" s="2"/>
      <c r="I35" s="4" t="str">
        <f>LEFT(RIGHT(DEC2HEX(T35,4),4),2)</f>
        <v>3A</v>
      </c>
      <c r="J35" s="4" t="str">
        <f>LEFT(RIGHT(DEC2HEX(T35,4),2),2)</f>
        <v>98</v>
      </c>
      <c r="K35" s="4" t="str">
        <f>LEFT(RIGHT(DEC2HEX(U35,4),4),2)</f>
        <v>4E</v>
      </c>
      <c r="L35" s="4" t="str">
        <f>LEFT(RIGHT(DEC2HEX(U35,4),2),2)</f>
        <v>20</v>
      </c>
      <c r="M35" s="4" t="str">
        <f>LEFT(RIGHT(DEC2HEX(V35,4),4),2)</f>
        <v>FF</v>
      </c>
      <c r="N35" s="4" t="str">
        <f>LEFT(RIGHT(DEC2HEX(V35,4),2),2)</f>
        <v>FF</v>
      </c>
      <c r="O35" s="31"/>
      <c r="P35" s="31"/>
      <c r="Q35" s="84" t="str">
        <f t="shared" si="21"/>
        <v>CE</v>
      </c>
      <c r="R35" s="13" t="s">
        <v>5</v>
      </c>
      <c r="S35" s="55" t="str">
        <f t="shared" si="22"/>
        <v>aa 00 09 63 04 20 3A 98 4E 20 FF CE 55</v>
      </c>
      <c r="T35" s="73">
        <v>15000</v>
      </c>
      <c r="U35" s="73">
        <v>20000</v>
      </c>
      <c r="V35" s="73">
        <v>65535</v>
      </c>
      <c r="W35" s="334" t="s">
        <v>742</v>
      </c>
    </row>
    <row r="37" spans="1:23" x14ac:dyDescent="0.25">
      <c r="A37" s="1" t="s">
        <v>0</v>
      </c>
      <c r="B37" s="1" t="s">
        <v>1</v>
      </c>
      <c r="C37" s="1" t="s">
        <v>734</v>
      </c>
      <c r="D37" s="2" t="s">
        <v>16</v>
      </c>
      <c r="E37" s="2" t="s">
        <v>733</v>
      </c>
      <c r="F37" s="2" t="s">
        <v>731</v>
      </c>
      <c r="G37" s="2" t="s">
        <v>732</v>
      </c>
      <c r="H37" s="2"/>
      <c r="I37" s="4"/>
      <c r="J37" s="4"/>
      <c r="K37" s="4"/>
      <c r="L37" s="4"/>
      <c r="M37" s="4"/>
      <c r="N37" s="4"/>
      <c r="O37" s="31"/>
      <c r="P37" s="31"/>
      <c r="Q37" s="84" t="str">
        <f t="shared" ref="Q37" si="23">DEC2HEX(MOD(HEX2DEC(B37)+HEX2DEC(C37)+HEX2DEC(D37)+HEX2DEC(E37)+HEX2DEC(F37)+HEX2DEC(G37)+HEX2DEC(H37)+HEX2DEC(I37)+HEX2DEC(J37)+HEX2DEC(K37)+HEX2DEC(L37)+HEX2DEC(M37)+HEX2DEC(N37)+HEX2DEC(O37)+HEX2DEC(P37),256),2)</f>
        <v>9B</v>
      </c>
      <c r="R37" s="13" t="s">
        <v>5</v>
      </c>
      <c r="S37" s="55" t="str">
        <f t="shared" ref="S37" si="24">IF(ISBLANK(A37),,A37&amp;" ")&amp;IF(ISBLANK(B37),,B37&amp;" ")&amp;IF(ISBLANK(C37),,C37&amp;" ")&amp;IF(ISBLANK(D37),,D37&amp;" ")&amp;IF(ISBLANK(E37),,E37&amp;" ")&amp;IF(ISBLANK(F37),,F37&amp;" ")&amp;IF(ISBLANK(G37),,G37&amp;" ")&amp;IF(ISBLANK(H37),,H37&amp;" ")&amp;IF(ISBLANK(I37),,I37&amp;" ")&amp;IF(ISBLANK(J37),,J37&amp;" ")&amp;IF(ISBLANK(K37),,K37&amp;" ")&amp;IF(ISBLANK(L37),,L37&amp;" ")&amp;IF(ISBLANK(M37),,M37&amp;" ")&amp;IF(ISBLANK(P37),,P37&amp;" ")&amp;IF(ISBLANK(Q37),,Q37&amp;" ")&amp;IF(ISBLANK(R37),,R37)</f>
        <v>aa 00 04 63 00 34 00 9B 55</v>
      </c>
      <c r="T37" s="557" t="s">
        <v>730</v>
      </c>
      <c r="U37" s="558"/>
      <c r="V37" s="558"/>
      <c r="W37" s="558"/>
    </row>
    <row r="38" spans="1:23" x14ac:dyDescent="0.25">
      <c r="A38" s="1" t="s">
        <v>0</v>
      </c>
      <c r="B38" s="1" t="s">
        <v>1</v>
      </c>
      <c r="C38" s="1" t="s">
        <v>734</v>
      </c>
      <c r="D38" s="2" t="s">
        <v>16</v>
      </c>
      <c r="E38" s="2" t="s">
        <v>733</v>
      </c>
      <c r="F38" s="2" t="s">
        <v>731</v>
      </c>
      <c r="G38" s="2" t="s">
        <v>737</v>
      </c>
      <c r="H38" s="2"/>
      <c r="I38" s="4"/>
      <c r="J38" s="4"/>
      <c r="K38" s="4"/>
      <c r="L38" s="4"/>
      <c r="M38" s="4"/>
      <c r="N38" s="4"/>
      <c r="O38" s="31"/>
      <c r="P38" s="31"/>
      <c r="Q38" s="84" t="str">
        <f t="shared" ref="Q38:Q39" si="25">DEC2HEX(MOD(HEX2DEC(B38)+HEX2DEC(C38)+HEX2DEC(D38)+HEX2DEC(E38)+HEX2DEC(F38)+HEX2DEC(G38)+HEX2DEC(H38)+HEX2DEC(I38)+HEX2DEC(J38)+HEX2DEC(K38)+HEX2DEC(L38)+HEX2DEC(M38)+HEX2DEC(N38)+HEX2DEC(O38)+HEX2DEC(P38),256),2)</f>
        <v>9C</v>
      </c>
      <c r="R38" s="13" t="s">
        <v>5</v>
      </c>
      <c r="S38" s="55" t="str">
        <f t="shared" ref="S38:S39" si="26">IF(ISBLANK(A38),,A38&amp;" ")&amp;IF(ISBLANK(B38),,B38&amp;" ")&amp;IF(ISBLANK(C38),,C38&amp;" ")&amp;IF(ISBLANK(D38),,D38&amp;" ")&amp;IF(ISBLANK(E38),,E38&amp;" ")&amp;IF(ISBLANK(F38),,F38&amp;" ")&amp;IF(ISBLANK(G38),,G38&amp;" ")&amp;IF(ISBLANK(H38),,H38&amp;" ")&amp;IF(ISBLANK(I38),,I38&amp;" ")&amp;IF(ISBLANK(J38),,J38&amp;" ")&amp;IF(ISBLANK(K38),,K38&amp;" ")&amp;IF(ISBLANK(L38),,L38&amp;" ")&amp;IF(ISBLANK(M38),,M38&amp;" ")&amp;IF(ISBLANK(P38),,P38&amp;" ")&amp;IF(ISBLANK(Q38),,Q38&amp;" ")&amp;IF(ISBLANK(R38),,R38)</f>
        <v>aa 00 04 63 00 34 01 9C 55</v>
      </c>
      <c r="T38" s="557" t="s">
        <v>735</v>
      </c>
      <c r="U38" s="558"/>
      <c r="V38" s="558"/>
      <c r="W38" s="558"/>
    </row>
    <row r="39" spans="1:23" x14ac:dyDescent="0.25">
      <c r="A39" s="1" t="s">
        <v>0</v>
      </c>
      <c r="B39" s="1" t="s">
        <v>1</v>
      </c>
      <c r="C39" s="1" t="s">
        <v>734</v>
      </c>
      <c r="D39" s="2" t="s">
        <v>16</v>
      </c>
      <c r="E39" s="2" t="s">
        <v>733</v>
      </c>
      <c r="F39" s="2" t="s">
        <v>731</v>
      </c>
      <c r="G39" s="2" t="s">
        <v>738</v>
      </c>
      <c r="H39" s="2"/>
      <c r="I39" s="4"/>
      <c r="J39" s="4"/>
      <c r="K39" s="4"/>
      <c r="L39" s="4"/>
      <c r="M39" s="4"/>
      <c r="N39" s="4"/>
      <c r="O39" s="31"/>
      <c r="P39" s="31"/>
      <c r="Q39" s="84" t="str">
        <f t="shared" si="25"/>
        <v>9D</v>
      </c>
      <c r="R39" s="13" t="s">
        <v>5</v>
      </c>
      <c r="S39" s="55" t="str">
        <f t="shared" si="26"/>
        <v>aa 00 04 63 00 34 02 9D 55</v>
      </c>
      <c r="T39" s="557" t="s">
        <v>736</v>
      </c>
      <c r="U39" s="558"/>
      <c r="V39" s="558"/>
      <c r="W39" s="558"/>
    </row>
  </sheetData>
  <mergeCells count="31">
    <mergeCell ref="T38:W38"/>
    <mergeCell ref="T39:W39"/>
    <mergeCell ref="A1:W1"/>
    <mergeCell ref="A10:R10"/>
    <mergeCell ref="A15:R15"/>
    <mergeCell ref="T11:W11"/>
    <mergeCell ref="T12:W12"/>
    <mergeCell ref="T13:W13"/>
    <mergeCell ref="T14:W14"/>
    <mergeCell ref="T2:W2"/>
    <mergeCell ref="A2:R2"/>
    <mergeCell ref="T3:W3"/>
    <mergeCell ref="T4:W4"/>
    <mergeCell ref="T5:W5"/>
    <mergeCell ref="T6:W6"/>
    <mergeCell ref="V15:W15"/>
    <mergeCell ref="T7:W7"/>
    <mergeCell ref="T8:W8"/>
    <mergeCell ref="V16:W16"/>
    <mergeCell ref="V17:W17"/>
    <mergeCell ref="V18:W18"/>
    <mergeCell ref="T37:W37"/>
    <mergeCell ref="V19:W19"/>
    <mergeCell ref="A27:R27"/>
    <mergeCell ref="V28:W28"/>
    <mergeCell ref="V27:W27"/>
    <mergeCell ref="A20:R20"/>
    <mergeCell ref="A32:R32"/>
    <mergeCell ref="V29:W29"/>
    <mergeCell ref="V30:W30"/>
    <mergeCell ref="V31:W31"/>
  </mergeCells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B2:AC103"/>
  <sheetViews>
    <sheetView zoomScale="115" zoomScaleNormal="115" workbookViewId="0">
      <selection activeCell="U5" sqref="U5:U12"/>
    </sheetView>
  </sheetViews>
  <sheetFormatPr defaultRowHeight="14.4" x14ac:dyDescent="0.25"/>
  <cols>
    <col min="1" max="1" width="2.33203125" customWidth="1"/>
    <col min="2" max="8" width="3.6640625" customWidth="1"/>
    <col min="9" max="17" width="1.6640625" customWidth="1"/>
    <col min="18" max="19" width="3.6640625" customWidth="1"/>
    <col min="20" max="20" width="23.21875" customWidth="1"/>
    <col min="21" max="28" width="1.6640625" customWidth="1"/>
    <col min="29" max="29" width="29.77734375" customWidth="1"/>
    <col min="30" max="47" width="3.6640625" customWidth="1"/>
    <col min="48" max="48" width="40.6640625" customWidth="1"/>
    <col min="49" max="52" width="5.6640625" customWidth="1"/>
    <col min="53" max="56" width="10.6640625" customWidth="1"/>
  </cols>
  <sheetData>
    <row r="2" spans="2:28" ht="22.2" x14ac:dyDescent="0.25">
      <c r="B2" s="570" t="s">
        <v>65</v>
      </c>
      <c r="C2" s="570"/>
      <c r="D2" s="570"/>
      <c r="E2" s="570"/>
      <c r="F2" s="570"/>
      <c r="G2" s="570"/>
      <c r="H2" s="570"/>
      <c r="I2" s="570"/>
      <c r="J2" s="570"/>
      <c r="K2" s="570"/>
      <c r="L2" s="570"/>
      <c r="M2" s="570"/>
      <c r="N2" s="570"/>
      <c r="O2" s="570"/>
      <c r="P2" s="570"/>
      <c r="Q2" s="570"/>
      <c r="R2" s="570"/>
      <c r="S2" s="570"/>
      <c r="T2" s="570"/>
      <c r="U2" s="570"/>
      <c r="V2" s="570"/>
      <c r="W2" s="570"/>
      <c r="X2" s="570"/>
      <c r="Y2" s="570"/>
      <c r="Z2" s="570"/>
      <c r="AA2" s="570"/>
      <c r="AB2" s="570"/>
    </row>
    <row r="3" spans="2:28" ht="16.8" x14ac:dyDescent="0.25">
      <c r="B3" s="52" t="s">
        <v>77</v>
      </c>
      <c r="C3" s="44" t="s">
        <v>78</v>
      </c>
      <c r="D3" s="44" t="s">
        <v>10</v>
      </c>
      <c r="E3" s="44" t="s">
        <v>79</v>
      </c>
      <c r="F3" s="44" t="s">
        <v>80</v>
      </c>
      <c r="G3" s="44" t="s">
        <v>11</v>
      </c>
      <c r="H3" s="424" t="s">
        <v>83</v>
      </c>
      <c r="I3" s="424"/>
      <c r="J3" s="424"/>
      <c r="K3" s="424"/>
      <c r="L3" s="424"/>
      <c r="M3" s="424"/>
      <c r="N3" s="424"/>
      <c r="O3" s="424"/>
      <c r="P3" s="424"/>
      <c r="Q3" s="424"/>
      <c r="R3" s="44" t="s">
        <v>81</v>
      </c>
      <c r="S3" s="44" t="s">
        <v>82</v>
      </c>
      <c r="T3" s="51" t="s">
        <v>276</v>
      </c>
      <c r="U3" s="435" t="s">
        <v>6</v>
      </c>
      <c r="V3" s="435"/>
      <c r="W3" s="435"/>
      <c r="X3" s="435"/>
      <c r="Y3" s="435"/>
      <c r="Z3" s="435"/>
      <c r="AA3" s="435"/>
      <c r="AB3" s="435"/>
    </row>
    <row r="4" spans="2:28" x14ac:dyDescent="0.25">
      <c r="B4" s="422" t="s">
        <v>55</v>
      </c>
      <c r="C4" s="422"/>
      <c r="D4" s="422"/>
      <c r="E4" s="422"/>
      <c r="F4" s="422"/>
      <c r="G4" s="423"/>
      <c r="H4" s="423"/>
      <c r="I4" s="423"/>
      <c r="J4" s="423"/>
      <c r="K4" s="423"/>
      <c r="L4" s="423"/>
      <c r="M4" s="423"/>
      <c r="N4" s="423"/>
      <c r="O4" s="423"/>
      <c r="P4" s="423"/>
      <c r="Q4" s="423"/>
      <c r="R4" s="423"/>
      <c r="S4" s="422"/>
      <c r="T4" s="53"/>
      <c r="U4" s="568"/>
      <c r="V4" s="568"/>
      <c r="W4" s="568"/>
      <c r="X4" s="568"/>
      <c r="Y4" s="568"/>
      <c r="Z4" s="568"/>
      <c r="AA4" s="568"/>
      <c r="AB4" s="568"/>
    </row>
    <row r="5" spans="2:28" x14ac:dyDescent="0.25">
      <c r="B5" s="1" t="s">
        <v>0</v>
      </c>
      <c r="C5" s="1" t="s">
        <v>1</v>
      </c>
      <c r="D5" s="1" t="s">
        <v>603</v>
      </c>
      <c r="E5" s="2" t="s">
        <v>56</v>
      </c>
      <c r="F5" s="2" t="s">
        <v>1</v>
      </c>
      <c r="G5" s="2" t="s">
        <v>1</v>
      </c>
      <c r="H5" s="4" t="s">
        <v>1</v>
      </c>
      <c r="I5" s="57"/>
      <c r="J5" s="57"/>
      <c r="K5" s="57"/>
      <c r="L5" s="57"/>
      <c r="M5" s="57"/>
      <c r="N5" s="57"/>
      <c r="O5" s="57"/>
      <c r="P5" s="57"/>
      <c r="Q5" s="57"/>
      <c r="R5" s="42" t="str">
        <f t="shared" ref="R5:R10" si="0">DEC2HEX(MOD(HEX2DEC(C5)+HEX2DEC(D5)+HEX2DEC(E5)+HEX2DEC(F5)+HEX2DEC(G5)+HEX2DEC(H5)+HEX2DEC(I5)+HEX2DEC(J5)+HEX2DEC(K5)+HEX2DEC(L5)+HEX2DEC(M5)+HEX2DEC(N5)+HEX2DEC(Q5),256),2)</f>
        <v>26</v>
      </c>
      <c r="S5" s="42" t="s">
        <v>5</v>
      </c>
      <c r="T5" s="55" t="str">
        <f t="shared" ref="T5:T10" si="1">IF(ISBLANK(B5),,B5&amp;" ")&amp;IF(ISBLANK(C5),,C5&amp;" ")&amp;IF(ISBLANK(D5),,D5&amp;" ")&amp;IF(ISBLANK(E5),,E5&amp;" ")&amp;IF(ISBLANK(F5),,F5&amp;" ")&amp;IF(ISBLANK(G5),,G5&amp;" ")&amp;IF(ISBLANK(H5),,H5&amp;" ")&amp;IF(ISBLANK(I5),,I5&amp;" ")&amp;IF(ISBLANK(J5),,J5&amp;" ")&amp;IF(ISBLANK(K5),,K5&amp;" ")&amp;IF(ISBLANK(L5),,L5&amp;" ")&amp;IF(ISBLANK(M5),,M5&amp;" ")&amp;IF(ISBLANK(N5),,N5&amp;" ")&amp;IF(ISBLANK(Q5),,Q5&amp;" ")&amp;IF(ISBLANK(R5),,R5&amp;" ")&amp;IF(ISBLANK(S5),,S5)</f>
        <v>aa 00 04 22 00 00 00 26 55</v>
      </c>
      <c r="U5" s="362" t="s">
        <v>57</v>
      </c>
      <c r="V5" s="362"/>
      <c r="W5" s="362"/>
      <c r="X5" s="362"/>
      <c r="Y5" s="362"/>
      <c r="Z5" s="362"/>
      <c r="AA5" s="362"/>
      <c r="AB5" s="362"/>
    </row>
    <row r="6" spans="2:28" x14ac:dyDescent="0.25">
      <c r="B6" s="1" t="s">
        <v>0</v>
      </c>
      <c r="C6" s="1" t="s">
        <v>1</v>
      </c>
      <c r="D6" s="1" t="s">
        <v>2</v>
      </c>
      <c r="E6" s="2" t="s">
        <v>56</v>
      </c>
      <c r="F6" s="2" t="s">
        <v>1</v>
      </c>
      <c r="G6" s="2" t="s">
        <v>1</v>
      </c>
      <c r="H6" s="4" t="s">
        <v>14</v>
      </c>
      <c r="I6" s="57"/>
      <c r="J6" s="57"/>
      <c r="K6" s="57"/>
      <c r="L6" s="57"/>
      <c r="M6" s="57"/>
      <c r="N6" s="57"/>
      <c r="O6" s="57"/>
      <c r="P6" s="57"/>
      <c r="Q6" s="57"/>
      <c r="R6" s="42" t="str">
        <f t="shared" si="0"/>
        <v>27</v>
      </c>
      <c r="S6" s="42" t="s">
        <v>5</v>
      </c>
      <c r="T6" s="55" t="str">
        <f t="shared" si="1"/>
        <v>aa 00 04 22 00 00 01 27 55</v>
      </c>
      <c r="U6" s="362" t="s">
        <v>58</v>
      </c>
      <c r="V6" s="362"/>
      <c r="W6" s="362"/>
      <c r="X6" s="362"/>
      <c r="Y6" s="362"/>
      <c r="Z6" s="362"/>
      <c r="AA6" s="362"/>
      <c r="AB6" s="362"/>
    </row>
    <row r="7" spans="2:28" ht="30" customHeight="1" x14ac:dyDescent="0.25">
      <c r="B7" s="1" t="s">
        <v>0</v>
      </c>
      <c r="C7" s="1" t="s">
        <v>1</v>
      </c>
      <c r="D7" s="1" t="s">
        <v>2</v>
      </c>
      <c r="E7" s="2" t="s">
        <v>56</v>
      </c>
      <c r="F7" s="2" t="s">
        <v>4</v>
      </c>
      <c r="G7" s="2" t="s">
        <v>1</v>
      </c>
      <c r="H7" s="4" t="s">
        <v>1</v>
      </c>
      <c r="I7" s="57"/>
      <c r="J7" s="57"/>
      <c r="K7" s="57"/>
      <c r="L7" s="57"/>
      <c r="M7" s="57"/>
      <c r="N7" s="57"/>
      <c r="O7" s="57"/>
      <c r="P7" s="57"/>
      <c r="Q7" s="57"/>
      <c r="R7" s="42" t="str">
        <f t="shared" si="0"/>
        <v>27</v>
      </c>
      <c r="S7" s="42" t="s">
        <v>5</v>
      </c>
      <c r="T7" s="118" t="str">
        <f>IF(ISBLANK(B7),,B7&amp;" ")&amp;IF(ISBLANK(C7),,C7&amp;" ")&amp;IF(ISBLANK(D7),,D7&amp;" ")&amp;IF(ISBLANK(E7),,E7&amp;" ")&amp;IF(ISBLANK(F7),,F7&amp;" ")&amp;IF(ISBLANK(G7),,G7&amp;" ")&amp;IF(ISBLANK(H7),,H7&amp;" ")&amp;IF(ISBLANK(I7),,I7&amp;" ")&amp;IF(ISBLANK(J7),,J7&amp;" ")&amp;IF(ISBLANK(K7),,K7&amp;" ")&amp;IF(ISBLANK(L7),,L7&amp;" ")&amp;IF(ISBLANK(M7),,M7&amp;" ")&amp;IF(ISBLANK(N7),,N7&amp;" ")&amp;IF(ISBLANK(Q7),,Q7&amp;" ")&amp;IF(ISBLANK(R7),,R7&amp;" ")&amp;IF(ISBLANK(S7),,S7)</f>
        <v>aa 00 04 22 01 00 00 27 55</v>
      </c>
      <c r="U7" s="362" t="s">
        <v>59</v>
      </c>
      <c r="V7" s="362"/>
      <c r="W7" s="362"/>
      <c r="X7" s="362"/>
      <c r="Y7" s="362"/>
      <c r="Z7" s="362"/>
      <c r="AA7" s="362"/>
      <c r="AB7" s="362"/>
    </row>
    <row r="8" spans="2:28" ht="30.75" customHeight="1" x14ac:dyDescent="0.25">
      <c r="B8" s="1" t="s">
        <v>0</v>
      </c>
      <c r="C8" s="1" t="s">
        <v>1</v>
      </c>
      <c r="D8" s="1" t="s">
        <v>2</v>
      </c>
      <c r="E8" s="2" t="s">
        <v>56</v>
      </c>
      <c r="F8" s="2" t="s">
        <v>4</v>
      </c>
      <c r="G8" s="2" t="s">
        <v>1</v>
      </c>
      <c r="H8" s="4" t="s">
        <v>14</v>
      </c>
      <c r="I8" s="57"/>
      <c r="J8" s="57"/>
      <c r="K8" s="57"/>
      <c r="L8" s="57"/>
      <c r="M8" s="57"/>
      <c r="N8" s="57"/>
      <c r="O8" s="57"/>
      <c r="P8" s="57"/>
      <c r="Q8" s="57"/>
      <c r="R8" s="42" t="str">
        <f t="shared" si="0"/>
        <v>28</v>
      </c>
      <c r="S8" s="42" t="s">
        <v>5</v>
      </c>
      <c r="T8" s="55" t="str">
        <f t="shared" si="1"/>
        <v>aa 00 04 22 01 00 01 28 55</v>
      </c>
      <c r="U8" s="385" t="s">
        <v>739</v>
      </c>
      <c r="V8" s="362"/>
      <c r="W8" s="362"/>
      <c r="X8" s="362"/>
      <c r="Y8" s="362"/>
      <c r="Z8" s="362"/>
      <c r="AA8" s="362"/>
      <c r="AB8" s="362"/>
    </row>
    <row r="9" spans="2:28" x14ac:dyDescent="0.25">
      <c r="B9" s="1" t="s">
        <v>0</v>
      </c>
      <c r="C9" s="1" t="s">
        <v>1</v>
      </c>
      <c r="D9" s="1" t="s">
        <v>2</v>
      </c>
      <c r="E9" s="2" t="s">
        <v>56</v>
      </c>
      <c r="F9" s="2" t="s">
        <v>7</v>
      </c>
      <c r="G9" s="2" t="s">
        <v>1</v>
      </c>
      <c r="H9" s="4" t="s">
        <v>1</v>
      </c>
      <c r="I9" s="57"/>
      <c r="J9" s="57"/>
      <c r="K9" s="57"/>
      <c r="L9" s="57"/>
      <c r="M9" s="57"/>
      <c r="N9" s="57"/>
      <c r="O9" s="57"/>
      <c r="P9" s="57"/>
      <c r="Q9" s="57"/>
      <c r="R9" s="42" t="str">
        <f t="shared" si="0"/>
        <v>28</v>
      </c>
      <c r="S9" s="42" t="s">
        <v>5</v>
      </c>
      <c r="T9" s="55" t="str">
        <f t="shared" si="1"/>
        <v>aa 00 04 22 02 00 00 28 55</v>
      </c>
      <c r="U9" s="362" t="s">
        <v>60</v>
      </c>
      <c r="V9" s="362"/>
      <c r="W9" s="362"/>
      <c r="X9" s="362"/>
      <c r="Y9" s="362"/>
      <c r="Z9" s="362"/>
      <c r="AA9" s="362"/>
      <c r="AB9" s="362"/>
    </row>
    <row r="10" spans="2:28" x14ac:dyDescent="0.25">
      <c r="B10" s="1" t="s">
        <v>0</v>
      </c>
      <c r="C10" s="1" t="s">
        <v>1</v>
      </c>
      <c r="D10" s="1" t="s">
        <v>2</v>
      </c>
      <c r="E10" s="2" t="s">
        <v>56</v>
      </c>
      <c r="F10" s="2" t="s">
        <v>7</v>
      </c>
      <c r="G10" s="2" t="s">
        <v>1</v>
      </c>
      <c r="H10" s="4" t="s">
        <v>14</v>
      </c>
      <c r="I10" s="57"/>
      <c r="J10" s="57"/>
      <c r="K10" s="57"/>
      <c r="L10" s="57"/>
      <c r="M10" s="57"/>
      <c r="N10" s="57"/>
      <c r="O10" s="57"/>
      <c r="P10" s="57"/>
      <c r="Q10" s="57"/>
      <c r="R10" s="42" t="str">
        <f t="shared" si="0"/>
        <v>29</v>
      </c>
      <c r="S10" s="42" t="s">
        <v>5</v>
      </c>
      <c r="T10" s="55" t="str">
        <f t="shared" si="1"/>
        <v>aa 00 04 22 02 00 01 29 55</v>
      </c>
      <c r="U10" s="362" t="s">
        <v>61</v>
      </c>
      <c r="V10" s="362"/>
      <c r="W10" s="362"/>
      <c r="X10" s="362"/>
      <c r="Y10" s="362"/>
      <c r="Z10" s="362"/>
      <c r="AA10" s="362"/>
      <c r="AB10" s="362"/>
    </row>
    <row r="11" spans="2:28" x14ac:dyDescent="0.25">
      <c r="B11" s="1" t="s">
        <v>0</v>
      </c>
      <c r="C11" s="1" t="s">
        <v>1</v>
      </c>
      <c r="D11" s="1" t="s">
        <v>2</v>
      </c>
      <c r="E11" s="2" t="s">
        <v>56</v>
      </c>
      <c r="F11" s="2" t="s">
        <v>8</v>
      </c>
      <c r="G11" s="2" t="s">
        <v>1</v>
      </c>
      <c r="H11" s="4" t="s">
        <v>1</v>
      </c>
      <c r="I11" s="57"/>
      <c r="J11" s="57"/>
      <c r="K11" s="57"/>
      <c r="L11" s="57"/>
      <c r="M11" s="57"/>
      <c r="N11" s="57"/>
      <c r="O11" s="57"/>
      <c r="P11" s="57"/>
      <c r="Q11" s="57"/>
      <c r="R11" s="42" t="str">
        <f>DEC2HEX(MOD(HEX2DEC(C11)+HEX2DEC(D11)+HEX2DEC(E11)+HEX2DEC(F11)+HEX2DEC(G11)+HEX2DEC(H11)+HEX2DEC(I11)+HEX2DEC(J11)+HEX2DEC(K11)+HEX2DEC(L11)+HEX2DEC(M11)+HEX2DEC(N11)+HEX2DEC(Q11),256),2)</f>
        <v>29</v>
      </c>
      <c r="S11" s="42" t="s">
        <v>5</v>
      </c>
      <c r="T11" s="55" t="str">
        <f>IF(ISBLANK(B11),,B11&amp;" ")&amp;IF(ISBLANK(C11),,C11&amp;" ")&amp;IF(ISBLANK(D11),,D11&amp;" ")&amp;IF(ISBLANK(E11),,E11&amp;" ")&amp;IF(ISBLANK(F11),,F11&amp;" ")&amp;IF(ISBLANK(G11),,G11&amp;" ")&amp;IF(ISBLANK(H11),,H11&amp;" ")&amp;IF(ISBLANK(I11),,I11&amp;" ")&amp;IF(ISBLANK(J11),,J11&amp;" ")&amp;IF(ISBLANK(K11),,K11&amp;" ")&amp;IF(ISBLANK(L11),,L11&amp;" ")&amp;IF(ISBLANK(M11),,M11&amp;" ")&amp;IF(ISBLANK(N11),,N11&amp;" ")&amp;IF(ISBLANK(Q11),,Q11&amp;" ")&amp;IF(ISBLANK(R11),,R11&amp;" ")&amp;IF(ISBLANK(S11),,S11)</f>
        <v>aa 00 04 22 03 00 00 29 55</v>
      </c>
      <c r="U11" s="362" t="s">
        <v>62</v>
      </c>
      <c r="V11" s="362"/>
      <c r="W11" s="362"/>
      <c r="X11" s="362"/>
      <c r="Y11" s="362"/>
      <c r="Z11" s="362"/>
      <c r="AA11" s="362"/>
      <c r="AB11" s="362"/>
    </row>
    <row r="12" spans="2:28" x14ac:dyDescent="0.25">
      <c r="B12" s="1" t="s">
        <v>0</v>
      </c>
      <c r="C12" s="1" t="s">
        <v>1</v>
      </c>
      <c r="D12" s="1" t="s">
        <v>2</v>
      </c>
      <c r="E12" s="2" t="s">
        <v>56</v>
      </c>
      <c r="F12" s="2" t="s">
        <v>8</v>
      </c>
      <c r="G12" s="2" t="s">
        <v>1</v>
      </c>
      <c r="H12" s="4" t="s">
        <v>14</v>
      </c>
      <c r="I12" s="57"/>
      <c r="J12" s="57"/>
      <c r="K12" s="57"/>
      <c r="L12" s="57"/>
      <c r="M12" s="57"/>
      <c r="N12" s="57"/>
      <c r="O12" s="57"/>
      <c r="P12" s="57"/>
      <c r="Q12" s="57"/>
      <c r="R12" s="42" t="str">
        <f>DEC2HEX(MOD(HEX2DEC(C12)+HEX2DEC(D12)+HEX2DEC(E12)+HEX2DEC(F12)+HEX2DEC(G12)+HEX2DEC(H12)+HEX2DEC(I12)+HEX2DEC(J12)+HEX2DEC(K12)+HEX2DEC(L12)+HEX2DEC(M12)+HEX2DEC(N12)+HEX2DEC(Q12),256),2)</f>
        <v>2A</v>
      </c>
      <c r="S12" s="42" t="s">
        <v>5</v>
      </c>
      <c r="T12" s="55" t="str">
        <f>IF(ISBLANK(B12),,B12&amp;" ")&amp;IF(ISBLANK(C12),,C12&amp;" ")&amp;IF(ISBLANK(D12),,D12&amp;" ")&amp;IF(ISBLANK(E12),,E12&amp;" ")&amp;IF(ISBLANK(F12),,F12&amp;" ")&amp;IF(ISBLANK(G12),,G12&amp;" ")&amp;IF(ISBLANK(H12),,H12&amp;" ")&amp;IF(ISBLANK(I12),,I12&amp;" ")&amp;IF(ISBLANK(J12),,J12&amp;" ")&amp;IF(ISBLANK(K12),,K12&amp;" ")&amp;IF(ISBLANK(L12),,L12&amp;" ")&amp;IF(ISBLANK(M12),,M12&amp;" ")&amp;IF(ISBLANK(N12),,N12&amp;" ")&amp;IF(ISBLANK(Q12),,Q12&amp;" ")&amp;IF(ISBLANK(R12),,R12&amp;" ")&amp;IF(ISBLANK(S12),,S12)</f>
        <v>aa 00 04 22 03 00 01 2A 55</v>
      </c>
      <c r="U12" s="362" t="s">
        <v>63</v>
      </c>
      <c r="V12" s="362"/>
      <c r="W12" s="362"/>
      <c r="X12" s="362"/>
      <c r="Y12" s="362"/>
      <c r="Z12" s="362"/>
      <c r="AA12" s="362"/>
      <c r="AB12" s="362"/>
    </row>
    <row r="13" spans="2:28" x14ac:dyDescent="0.25">
      <c r="B13" s="569" t="s">
        <v>279</v>
      </c>
      <c r="C13" s="569"/>
      <c r="D13" s="569"/>
      <c r="E13" s="569"/>
      <c r="F13" s="569"/>
      <c r="G13" s="569"/>
      <c r="H13" s="569"/>
      <c r="I13" s="569"/>
      <c r="J13" s="569"/>
      <c r="K13" s="569"/>
      <c r="L13" s="569"/>
      <c r="M13" s="569"/>
      <c r="N13" s="569"/>
      <c r="O13" s="569"/>
      <c r="P13" s="569"/>
      <c r="Q13" s="569"/>
      <c r="R13" s="569"/>
      <c r="S13" s="569"/>
      <c r="T13" s="56"/>
      <c r="U13" s="569"/>
      <c r="V13" s="569"/>
      <c r="W13" s="569"/>
      <c r="X13" s="569"/>
      <c r="Y13" s="569"/>
      <c r="Z13" s="569"/>
      <c r="AA13" s="569"/>
      <c r="AB13" s="569"/>
    </row>
    <row r="14" spans="2:28" x14ac:dyDescent="0.25">
      <c r="B14" s="5" t="s">
        <v>0</v>
      </c>
      <c r="C14" s="5" t="s">
        <v>1</v>
      </c>
      <c r="D14" s="5" t="s">
        <v>8</v>
      </c>
      <c r="E14" s="6" t="s">
        <v>56</v>
      </c>
      <c r="F14" s="6" t="s">
        <v>1</v>
      </c>
      <c r="G14" s="6" t="s">
        <v>4</v>
      </c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42" t="str">
        <f>DEC2HEX(MOD(HEX2DEC(C14)+HEX2DEC(D14)+HEX2DEC(E14)+HEX2DEC(F14)+HEX2DEC(G14)+HEX2DEC(H14)+HEX2DEC(I14)+HEX2DEC(J14)+HEX2DEC(K14)+HEX2DEC(L14)+HEX2DEC(M14)+HEX2DEC(N14)+HEX2DEC(Q14),256),2)</f>
        <v>26</v>
      </c>
      <c r="S14" s="42" t="s">
        <v>5</v>
      </c>
      <c r="T14" s="55" t="str">
        <f>IF(ISBLANK(B14),,B14&amp;" ")&amp;IF(ISBLANK(C14),,C14&amp;" ")&amp;IF(ISBLANK(D14),,D14&amp;" ")&amp;IF(ISBLANK(E14),,E14&amp;" ")&amp;IF(ISBLANK(F14),,F14&amp;" ")&amp;IF(ISBLANK(G14),,G14&amp;" ")&amp;IF(ISBLANK(H14),,H14&amp;" ")&amp;IF(ISBLANK(I14),,I14&amp;" ")&amp;IF(ISBLANK(J14),,J14&amp;" ")&amp;IF(ISBLANK(K14),,K14&amp;" ")&amp;IF(ISBLANK(L14),,L14&amp;" ")&amp;IF(ISBLANK(M14),,M14&amp;" ")&amp;IF(ISBLANK(N14),,N14&amp;" ")&amp;IF(ISBLANK(Q14),,Q14&amp;" ")&amp;IF(ISBLANK(R14),,R14&amp;" ")&amp;IF(ISBLANK(S14),,S14)</f>
        <v>aa 00 03 22 00 01 26 55</v>
      </c>
      <c r="U14" s="461" t="s">
        <v>280</v>
      </c>
      <c r="V14" s="461"/>
      <c r="W14" s="461"/>
      <c r="X14" s="461"/>
      <c r="Y14" s="461"/>
      <c r="Z14" s="461"/>
      <c r="AA14" s="461"/>
      <c r="AB14" s="461"/>
    </row>
    <row r="15" spans="2:28" s="39" customFormat="1" x14ac:dyDescent="0.25">
      <c r="B15" s="63"/>
      <c r="C15" s="63"/>
      <c r="D15" s="63"/>
      <c r="E15" s="64"/>
      <c r="F15" s="64"/>
      <c r="G15" s="64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6"/>
      <c r="S15" s="66"/>
      <c r="T15" s="67"/>
      <c r="U15" s="68"/>
      <c r="V15" s="68"/>
      <c r="W15" s="68"/>
      <c r="X15" s="68"/>
      <c r="Y15" s="68"/>
      <c r="Z15" s="68"/>
      <c r="AA15" s="68"/>
      <c r="AB15" s="68"/>
    </row>
    <row r="17" spans="2:28" ht="22.2" x14ac:dyDescent="0.25">
      <c r="B17" s="570" t="s">
        <v>281</v>
      </c>
      <c r="C17" s="570"/>
      <c r="D17" s="570"/>
      <c r="E17" s="570"/>
      <c r="F17" s="570"/>
      <c r="G17" s="570"/>
      <c r="H17" s="570"/>
      <c r="I17" s="570"/>
      <c r="J17" s="570"/>
      <c r="K17" s="570"/>
      <c r="L17" s="570"/>
      <c r="M17" s="570"/>
      <c r="N17" s="570"/>
      <c r="O17" s="570"/>
      <c r="P17" s="570"/>
      <c r="Q17" s="570"/>
      <c r="R17" s="570"/>
      <c r="S17" s="570"/>
      <c r="T17" s="570"/>
      <c r="U17" s="570"/>
      <c r="V17" s="570"/>
      <c r="W17" s="570"/>
      <c r="X17" s="570"/>
      <c r="Y17" s="570"/>
      <c r="Z17" s="570"/>
      <c r="AA17" s="570"/>
      <c r="AB17" s="570"/>
    </row>
    <row r="18" spans="2:28" ht="20.100000000000001" customHeight="1" x14ac:dyDescent="0.25">
      <c r="B18" s="52" t="s">
        <v>77</v>
      </c>
      <c r="C18" s="44" t="s">
        <v>78</v>
      </c>
      <c r="D18" s="44" t="s">
        <v>10</v>
      </c>
      <c r="E18" s="44" t="s">
        <v>79</v>
      </c>
      <c r="F18" s="44" t="s">
        <v>80</v>
      </c>
      <c r="G18" s="44" t="s">
        <v>11</v>
      </c>
      <c r="H18" s="424" t="s">
        <v>83</v>
      </c>
      <c r="I18" s="424"/>
      <c r="J18" s="424"/>
      <c r="K18" s="424"/>
      <c r="L18" s="424"/>
      <c r="M18" s="424"/>
      <c r="N18" s="424"/>
      <c r="O18" s="424"/>
      <c r="P18" s="424"/>
      <c r="Q18" s="424"/>
      <c r="R18" s="44" t="s">
        <v>81</v>
      </c>
      <c r="S18" s="44" t="s">
        <v>82</v>
      </c>
      <c r="T18" s="51" t="s">
        <v>276</v>
      </c>
      <c r="U18" s="435" t="s">
        <v>6</v>
      </c>
      <c r="V18" s="435"/>
      <c r="W18" s="435"/>
      <c r="X18" s="435"/>
      <c r="Y18" s="435"/>
      <c r="Z18" s="435"/>
      <c r="AA18" s="435"/>
      <c r="AB18" s="435"/>
    </row>
    <row r="19" spans="2:28" ht="20.100000000000001" customHeight="1" x14ac:dyDescent="0.25">
      <c r="B19" s="422" t="s">
        <v>282</v>
      </c>
      <c r="C19" s="422"/>
      <c r="D19" s="422"/>
      <c r="E19" s="422"/>
      <c r="F19" s="422"/>
      <c r="G19" s="422"/>
      <c r="H19" s="422"/>
      <c r="I19" s="422"/>
      <c r="J19" s="422"/>
      <c r="K19" s="422"/>
      <c r="L19" s="422"/>
      <c r="M19" s="422"/>
      <c r="N19" s="422"/>
      <c r="O19" s="422"/>
      <c r="P19" s="422"/>
      <c r="Q19" s="422"/>
      <c r="R19" s="422"/>
      <c r="S19" s="422"/>
      <c r="T19" s="53"/>
      <c r="U19" s="568"/>
      <c r="V19" s="568"/>
      <c r="W19" s="568"/>
      <c r="X19" s="568"/>
      <c r="Y19" s="568"/>
      <c r="Z19" s="568"/>
      <c r="AA19" s="568"/>
      <c r="AB19" s="568"/>
    </row>
    <row r="20" spans="2:28" ht="20.100000000000001" customHeight="1" x14ac:dyDescent="0.25">
      <c r="B20" s="1" t="s">
        <v>0</v>
      </c>
      <c r="C20" s="1" t="s">
        <v>1</v>
      </c>
      <c r="D20" s="1" t="s">
        <v>2</v>
      </c>
      <c r="E20" s="2" t="s">
        <v>3</v>
      </c>
      <c r="F20" s="2" t="s">
        <v>1</v>
      </c>
      <c r="G20" s="2" t="s">
        <v>1</v>
      </c>
      <c r="H20" s="4" t="s">
        <v>1</v>
      </c>
      <c r="I20" s="57"/>
      <c r="J20" s="57"/>
      <c r="K20" s="57"/>
      <c r="L20" s="57"/>
      <c r="M20" s="57"/>
      <c r="N20" s="57"/>
      <c r="O20" s="57"/>
      <c r="P20" s="57"/>
      <c r="Q20" s="57"/>
      <c r="R20" s="42" t="str">
        <f t="shared" ref="R20:R27" si="2">DEC2HEX(MOD(HEX2DEC(C20)+HEX2DEC(D20)+HEX2DEC(E20)+HEX2DEC(F20)+HEX2DEC(G20)+HEX2DEC(H20)+HEX2DEC(I20)+HEX2DEC(J20)+HEX2DEC(K20)+HEX2DEC(L20)+HEX2DEC(M20)+HEX2DEC(N20)+HEX2DEC(Q20),256),2)</f>
        <v>25</v>
      </c>
      <c r="S20" s="42" t="s">
        <v>5</v>
      </c>
      <c r="T20" s="55" t="str">
        <f t="shared" ref="T20:T27" si="3">IF(ISBLANK(B20),,B20&amp;" ")&amp;IF(ISBLANK(C20),,C20&amp;" ")&amp;IF(ISBLANK(D20),,D20&amp;" ")&amp;IF(ISBLANK(E20),,E20&amp;" ")&amp;IF(ISBLANK(F20),,F20&amp;" ")&amp;IF(ISBLANK(G20),,G20&amp;" ")&amp;IF(ISBLANK(H20),,H20&amp;" ")&amp;IF(ISBLANK(I20),,I20&amp;" ")&amp;IF(ISBLANK(J20),,J20&amp;" ")&amp;IF(ISBLANK(K20),,K20&amp;" ")&amp;IF(ISBLANK(L20),,L20&amp;" ")&amp;IF(ISBLANK(M20),,M20&amp;" ")&amp;IF(ISBLANK(N20),,N20&amp;" ")&amp;IF(ISBLANK(Q20),,Q20&amp;" ")&amp;IF(ISBLANK(R20),,R20&amp;" ")&amp;IF(ISBLANK(S20),,S20)</f>
        <v>aa 00 04 21 00 00 00 25 55</v>
      </c>
      <c r="U20" s="387" t="s">
        <v>575</v>
      </c>
      <c r="V20" s="387"/>
      <c r="W20" s="387"/>
      <c r="X20" s="387"/>
      <c r="Y20" s="387"/>
      <c r="Z20" s="387"/>
      <c r="AA20" s="387"/>
      <c r="AB20" s="387"/>
    </row>
    <row r="21" spans="2:28" ht="20.100000000000001" customHeight="1" x14ac:dyDescent="0.25">
      <c r="B21" s="1" t="s">
        <v>0</v>
      </c>
      <c r="C21" s="1" t="s">
        <v>1</v>
      </c>
      <c r="D21" s="1" t="s">
        <v>2</v>
      </c>
      <c r="E21" s="2" t="s">
        <v>3</v>
      </c>
      <c r="F21" s="2" t="s">
        <v>1</v>
      </c>
      <c r="G21" s="2" t="s">
        <v>1</v>
      </c>
      <c r="H21" s="4" t="s">
        <v>14</v>
      </c>
      <c r="I21" s="57"/>
      <c r="J21" s="57"/>
      <c r="K21" s="57"/>
      <c r="L21" s="57"/>
      <c r="M21" s="57"/>
      <c r="N21" s="57"/>
      <c r="O21" s="57"/>
      <c r="P21" s="57"/>
      <c r="Q21" s="57"/>
      <c r="R21" s="42" t="str">
        <f t="shared" si="2"/>
        <v>26</v>
      </c>
      <c r="S21" s="42" t="s">
        <v>5</v>
      </c>
      <c r="T21" s="55" t="str">
        <f t="shared" si="3"/>
        <v>aa 00 04 21 00 00 01 26 55</v>
      </c>
      <c r="U21" s="387" t="s">
        <v>66</v>
      </c>
      <c r="V21" s="387"/>
      <c r="W21" s="387"/>
      <c r="X21" s="387"/>
      <c r="Y21" s="387"/>
      <c r="Z21" s="387"/>
      <c r="AA21" s="387"/>
      <c r="AB21" s="387"/>
    </row>
    <row r="22" spans="2:28" ht="20.100000000000001" customHeight="1" x14ac:dyDescent="0.25">
      <c r="B22" s="1" t="s">
        <v>0</v>
      </c>
      <c r="C22" s="1" t="s">
        <v>1</v>
      </c>
      <c r="D22" s="1" t="s">
        <v>2</v>
      </c>
      <c r="E22" s="2" t="s">
        <v>3</v>
      </c>
      <c r="F22" s="2" t="s">
        <v>4</v>
      </c>
      <c r="G22" s="2" t="s">
        <v>1</v>
      </c>
      <c r="H22" s="4" t="s">
        <v>1</v>
      </c>
      <c r="I22" s="57"/>
      <c r="J22" s="57"/>
      <c r="K22" s="57"/>
      <c r="L22" s="57"/>
      <c r="M22" s="57"/>
      <c r="N22" s="57"/>
      <c r="O22" s="57"/>
      <c r="P22" s="57"/>
      <c r="Q22" s="57"/>
      <c r="R22" s="42" t="str">
        <f t="shared" si="2"/>
        <v>26</v>
      </c>
      <c r="S22" s="42" t="s">
        <v>5</v>
      </c>
      <c r="T22" s="55" t="str">
        <f t="shared" si="3"/>
        <v>aa 00 04 21 01 00 00 26 55</v>
      </c>
      <c r="U22" s="387" t="s">
        <v>67</v>
      </c>
      <c r="V22" s="387"/>
      <c r="W22" s="387"/>
      <c r="X22" s="387"/>
      <c r="Y22" s="387"/>
      <c r="Z22" s="387"/>
      <c r="AA22" s="387"/>
      <c r="AB22" s="387"/>
    </row>
    <row r="23" spans="2:28" ht="20.100000000000001" customHeight="1" x14ac:dyDescent="0.25">
      <c r="B23" s="1" t="s">
        <v>0</v>
      </c>
      <c r="C23" s="1" t="s">
        <v>1</v>
      </c>
      <c r="D23" s="1" t="s">
        <v>2</v>
      </c>
      <c r="E23" s="2" t="s">
        <v>3</v>
      </c>
      <c r="F23" s="2" t="s">
        <v>4</v>
      </c>
      <c r="G23" s="2" t="s">
        <v>1</v>
      </c>
      <c r="H23" s="4" t="s">
        <v>14</v>
      </c>
      <c r="I23" s="57"/>
      <c r="J23" s="57"/>
      <c r="K23" s="57"/>
      <c r="L23" s="57"/>
      <c r="M23" s="57"/>
      <c r="N23" s="57"/>
      <c r="O23" s="57"/>
      <c r="P23" s="57"/>
      <c r="Q23" s="57"/>
      <c r="R23" s="42" t="str">
        <f t="shared" si="2"/>
        <v>27</v>
      </c>
      <c r="S23" s="42" t="s">
        <v>5</v>
      </c>
      <c r="T23" s="55" t="str">
        <f t="shared" si="3"/>
        <v>aa 00 04 21 01 00 01 27 55</v>
      </c>
      <c r="U23" s="387" t="s">
        <v>68</v>
      </c>
      <c r="V23" s="387"/>
      <c r="W23" s="387"/>
      <c r="X23" s="387"/>
      <c r="Y23" s="387"/>
      <c r="Z23" s="387"/>
      <c r="AA23" s="387"/>
      <c r="AB23" s="387"/>
    </row>
    <row r="24" spans="2:28" ht="20.100000000000001" customHeight="1" x14ac:dyDescent="0.25">
      <c r="B24" s="1" t="s">
        <v>0</v>
      </c>
      <c r="C24" s="1" t="s">
        <v>1</v>
      </c>
      <c r="D24" s="1" t="s">
        <v>2</v>
      </c>
      <c r="E24" s="2" t="s">
        <v>3</v>
      </c>
      <c r="F24" s="2" t="s">
        <v>7</v>
      </c>
      <c r="G24" s="2" t="s">
        <v>1</v>
      </c>
      <c r="H24" s="4" t="s">
        <v>1</v>
      </c>
      <c r="I24" s="57"/>
      <c r="J24" s="57"/>
      <c r="K24" s="57"/>
      <c r="L24" s="57"/>
      <c r="M24" s="57"/>
      <c r="N24" s="57"/>
      <c r="O24" s="57"/>
      <c r="P24" s="57"/>
      <c r="Q24" s="57"/>
      <c r="R24" s="42" t="str">
        <f t="shared" si="2"/>
        <v>27</v>
      </c>
      <c r="S24" s="42" t="s">
        <v>5</v>
      </c>
      <c r="T24" s="55" t="str">
        <f t="shared" si="3"/>
        <v>aa 00 04 21 02 00 00 27 55</v>
      </c>
      <c r="U24" s="387" t="s">
        <v>283</v>
      </c>
      <c r="V24" s="387"/>
      <c r="W24" s="387"/>
      <c r="X24" s="387"/>
      <c r="Y24" s="387"/>
      <c r="Z24" s="387"/>
      <c r="AA24" s="387"/>
      <c r="AB24" s="387"/>
    </row>
    <row r="25" spans="2:28" ht="20.100000000000001" customHeight="1" x14ac:dyDescent="0.25">
      <c r="B25" s="1" t="s">
        <v>0</v>
      </c>
      <c r="C25" s="1" t="s">
        <v>1</v>
      </c>
      <c r="D25" s="1" t="s">
        <v>2</v>
      </c>
      <c r="E25" s="2" t="s">
        <v>3</v>
      </c>
      <c r="F25" s="2" t="s">
        <v>7</v>
      </c>
      <c r="G25" s="2" t="s">
        <v>1</v>
      </c>
      <c r="H25" s="4" t="s">
        <v>14</v>
      </c>
      <c r="I25" s="57"/>
      <c r="J25" s="57"/>
      <c r="K25" s="57"/>
      <c r="L25" s="57"/>
      <c r="M25" s="57"/>
      <c r="N25" s="57"/>
      <c r="O25" s="57"/>
      <c r="P25" s="57"/>
      <c r="Q25" s="57"/>
      <c r="R25" s="42" t="str">
        <f t="shared" si="2"/>
        <v>28</v>
      </c>
      <c r="S25" s="42" t="s">
        <v>5</v>
      </c>
      <c r="T25" s="55" t="str">
        <f t="shared" si="3"/>
        <v>aa 00 04 21 02 00 01 28 55</v>
      </c>
      <c r="U25" s="387" t="s">
        <v>284</v>
      </c>
      <c r="V25" s="387"/>
      <c r="W25" s="387"/>
      <c r="X25" s="387"/>
      <c r="Y25" s="387"/>
      <c r="Z25" s="387"/>
      <c r="AA25" s="387"/>
      <c r="AB25" s="387"/>
    </row>
    <row r="26" spans="2:28" ht="20.100000000000001" customHeight="1" x14ac:dyDescent="0.25">
      <c r="B26" s="1" t="s">
        <v>0</v>
      </c>
      <c r="C26" s="1" t="s">
        <v>1</v>
      </c>
      <c r="D26" s="1" t="s">
        <v>2</v>
      </c>
      <c r="E26" s="2" t="s">
        <v>3</v>
      </c>
      <c r="F26" s="2" t="s">
        <v>8</v>
      </c>
      <c r="G26" s="2" t="s">
        <v>1</v>
      </c>
      <c r="H26" s="4" t="s">
        <v>1</v>
      </c>
      <c r="I26" s="57"/>
      <c r="J26" s="57"/>
      <c r="K26" s="57"/>
      <c r="L26" s="57"/>
      <c r="M26" s="57"/>
      <c r="N26" s="57"/>
      <c r="O26" s="57"/>
      <c r="P26" s="57"/>
      <c r="Q26" s="57"/>
      <c r="R26" s="42" t="str">
        <f t="shared" si="2"/>
        <v>28</v>
      </c>
      <c r="S26" s="42" t="s">
        <v>5</v>
      </c>
      <c r="T26" s="55" t="str">
        <f t="shared" si="3"/>
        <v>aa 00 04 21 03 00 00 28 55</v>
      </c>
      <c r="U26" s="387" t="s">
        <v>285</v>
      </c>
      <c r="V26" s="387"/>
      <c r="W26" s="387"/>
      <c r="X26" s="387"/>
      <c r="Y26" s="387"/>
      <c r="Z26" s="387"/>
      <c r="AA26" s="387"/>
      <c r="AB26" s="387"/>
    </row>
    <row r="27" spans="2:28" ht="20.100000000000001" customHeight="1" x14ac:dyDescent="0.25">
      <c r="B27" s="1" t="s">
        <v>0</v>
      </c>
      <c r="C27" s="1" t="s">
        <v>1</v>
      </c>
      <c r="D27" s="1" t="s">
        <v>2</v>
      </c>
      <c r="E27" s="2" t="s">
        <v>3</v>
      </c>
      <c r="F27" s="2" t="s">
        <v>8</v>
      </c>
      <c r="G27" s="2" t="s">
        <v>1</v>
      </c>
      <c r="H27" s="4" t="s">
        <v>14</v>
      </c>
      <c r="I27" s="57"/>
      <c r="J27" s="57"/>
      <c r="K27" s="57"/>
      <c r="L27" s="57"/>
      <c r="M27" s="57"/>
      <c r="N27" s="57"/>
      <c r="O27" s="57"/>
      <c r="P27" s="57"/>
      <c r="Q27" s="57"/>
      <c r="R27" s="42" t="str">
        <f t="shared" si="2"/>
        <v>29</v>
      </c>
      <c r="S27" s="42" t="s">
        <v>5</v>
      </c>
      <c r="T27" s="55" t="str">
        <f t="shared" si="3"/>
        <v>aa 00 04 21 03 00 01 29 55</v>
      </c>
      <c r="U27" s="387" t="s">
        <v>286</v>
      </c>
      <c r="V27" s="387"/>
      <c r="W27" s="387"/>
      <c r="X27" s="387"/>
      <c r="Y27" s="387"/>
      <c r="Z27" s="387"/>
      <c r="AA27" s="387"/>
      <c r="AB27" s="387"/>
    </row>
    <row r="28" spans="2:28" ht="20.100000000000001" customHeight="1" x14ac:dyDescent="0.25">
      <c r="B28" s="422" t="s">
        <v>293</v>
      </c>
      <c r="C28" s="422"/>
      <c r="D28" s="422"/>
      <c r="E28" s="422"/>
      <c r="F28" s="422"/>
      <c r="G28" s="422"/>
      <c r="H28" s="422"/>
      <c r="I28" s="422"/>
      <c r="J28" s="422"/>
      <c r="K28" s="422"/>
      <c r="L28" s="422"/>
      <c r="M28" s="422"/>
      <c r="N28" s="422"/>
      <c r="O28" s="422"/>
      <c r="P28" s="422"/>
      <c r="Q28" s="422"/>
      <c r="R28" s="422"/>
      <c r="S28" s="422"/>
      <c r="T28" s="53"/>
      <c r="U28" s="568"/>
      <c r="V28" s="568"/>
      <c r="W28" s="568"/>
      <c r="X28" s="568"/>
      <c r="Y28" s="568"/>
      <c r="Z28" s="568"/>
      <c r="AA28" s="568"/>
      <c r="AB28" s="568"/>
    </row>
    <row r="29" spans="2:28" ht="20.100000000000001" customHeight="1" x14ac:dyDescent="0.25">
      <c r="B29" s="1" t="s">
        <v>0</v>
      </c>
      <c r="C29" s="1" t="s">
        <v>1</v>
      </c>
      <c r="D29" s="1" t="s">
        <v>2</v>
      </c>
      <c r="E29" s="2" t="s">
        <v>3</v>
      </c>
      <c r="F29" s="2" t="s">
        <v>1</v>
      </c>
      <c r="G29" s="2" t="s">
        <v>4</v>
      </c>
      <c r="H29" s="4" t="s">
        <v>70</v>
      </c>
      <c r="I29" s="57"/>
      <c r="J29" s="57"/>
      <c r="K29" s="57"/>
      <c r="L29" s="57"/>
      <c r="M29" s="57"/>
      <c r="N29" s="57"/>
      <c r="O29" s="57"/>
      <c r="P29" s="57"/>
      <c r="Q29" s="57"/>
      <c r="R29" s="42" t="str">
        <f>DEC2HEX(MOD(HEX2DEC(C29)+HEX2DEC(D29)+HEX2DEC(E29)+HEX2DEC(F29)+HEX2DEC(G29)+HEX2DEC(H29)+HEX2DEC(I29)+HEX2DEC(J29)+HEX2DEC(K29)+HEX2DEC(L29)+HEX2DEC(M29)+HEX2DEC(N29)+HEX2DEC(Q29),256),2)</f>
        <v>36</v>
      </c>
      <c r="S29" s="42" t="s">
        <v>5</v>
      </c>
      <c r="T29" s="55" t="str">
        <f>IF(ISBLANK(B29),,B29&amp;" ")&amp;IF(ISBLANK(C29),,C29&amp;" ")&amp;IF(ISBLANK(D29),,D29&amp;" ")&amp;IF(ISBLANK(E29),,E29&amp;" ")&amp;IF(ISBLANK(F29),,F29&amp;" ")&amp;IF(ISBLANK(G29),,G29&amp;" ")&amp;IF(ISBLANK(H29),,H29&amp;" ")&amp;IF(ISBLANK(I29),,I29&amp;" ")&amp;IF(ISBLANK(J29),,J29&amp;" ")&amp;IF(ISBLANK(K29),,K29&amp;" ")&amp;IF(ISBLANK(L29),,L29&amp;" ")&amp;IF(ISBLANK(M29),,M29&amp;" ")&amp;IF(ISBLANK(N29),,N29&amp;" ")&amp;IF(ISBLANK(Q29),,Q29&amp;" ")&amp;IF(ISBLANK(R29),,R29&amp;" ")&amp;IF(ISBLANK(S29),,S29)</f>
        <v>aa 00 04 21 00 01 10 36 55</v>
      </c>
      <c r="U29" s="387" t="s">
        <v>288</v>
      </c>
      <c r="V29" s="387"/>
      <c r="W29" s="387"/>
      <c r="X29" s="387"/>
      <c r="Y29" s="387"/>
      <c r="Z29" s="387"/>
      <c r="AA29" s="387"/>
      <c r="AB29" s="387"/>
    </row>
    <row r="30" spans="2:28" ht="20.100000000000001" customHeight="1" x14ac:dyDescent="0.25">
      <c r="B30" s="569" t="s">
        <v>289</v>
      </c>
      <c r="C30" s="569"/>
      <c r="D30" s="569"/>
      <c r="E30" s="569"/>
      <c r="F30" s="569"/>
      <c r="G30" s="569"/>
      <c r="H30" s="569"/>
      <c r="I30" s="569"/>
      <c r="J30" s="569"/>
      <c r="K30" s="569"/>
      <c r="L30" s="569"/>
      <c r="M30" s="569"/>
      <c r="N30" s="569"/>
      <c r="O30" s="569"/>
      <c r="P30" s="569"/>
      <c r="Q30" s="569"/>
      <c r="R30" s="569"/>
      <c r="S30" s="569"/>
      <c r="T30" s="53"/>
      <c r="U30" s="568"/>
      <c r="V30" s="568"/>
      <c r="W30" s="568"/>
      <c r="X30" s="568"/>
      <c r="Y30" s="568"/>
      <c r="Z30" s="568"/>
      <c r="AA30" s="568"/>
      <c r="AB30" s="568"/>
    </row>
    <row r="31" spans="2:28" ht="20.100000000000001" customHeight="1" x14ac:dyDescent="0.25">
      <c r="B31" s="1" t="s">
        <v>0</v>
      </c>
      <c r="C31" s="1" t="s">
        <v>1</v>
      </c>
      <c r="D31" s="1" t="s">
        <v>2</v>
      </c>
      <c r="E31" s="2" t="s">
        <v>3</v>
      </c>
      <c r="F31" s="2" t="s">
        <v>4</v>
      </c>
      <c r="G31" s="2" t="s">
        <v>7</v>
      </c>
      <c r="H31" s="4" t="s">
        <v>1</v>
      </c>
      <c r="I31" s="57"/>
      <c r="J31" s="57"/>
      <c r="K31" s="57"/>
      <c r="L31" s="57"/>
      <c r="M31" s="57"/>
      <c r="N31" s="57"/>
      <c r="O31" s="57"/>
      <c r="P31" s="57"/>
      <c r="Q31" s="57"/>
      <c r="R31" s="42" t="str">
        <f>DEC2HEX(MOD(HEX2DEC(C31)+HEX2DEC(D31)+HEX2DEC(E31)+HEX2DEC(F31)+HEX2DEC(G31)+HEX2DEC(H31)+HEX2DEC(I31)+HEX2DEC(J31)+HEX2DEC(K31)+HEX2DEC(L31)+HEX2DEC(M31)+HEX2DEC(N31)+HEX2DEC(Q31),256),2)</f>
        <v>28</v>
      </c>
      <c r="S31" s="42" t="s">
        <v>5</v>
      </c>
      <c r="T31" s="55" t="str">
        <f>IF(ISBLANK(B31),,B31&amp;" ")&amp;IF(ISBLANK(C31),,C31&amp;" ")&amp;IF(ISBLANK(D31),,D31&amp;" ")&amp;IF(ISBLANK(E31),,E31&amp;" ")&amp;IF(ISBLANK(F31),,F31&amp;" ")&amp;IF(ISBLANK(G31),,G31&amp;" ")&amp;IF(ISBLANK(H31),,H31&amp;" ")&amp;IF(ISBLANK(I31),,I31&amp;" ")&amp;IF(ISBLANK(J31),,J31&amp;" ")&amp;IF(ISBLANK(K31),,K31&amp;" ")&amp;IF(ISBLANK(L31),,L31&amp;" ")&amp;IF(ISBLANK(M31),,M31&amp;" ")&amp;IF(ISBLANK(N31),,N31&amp;" ")&amp;IF(ISBLANK(Q31),,Q31&amp;" ")&amp;IF(ISBLANK(R31),,R31&amp;" ")&amp;IF(ISBLANK(S31),,S31)</f>
        <v>aa 00 04 21 01 02 00 28 55</v>
      </c>
      <c r="U31" s="387" t="s">
        <v>290</v>
      </c>
      <c r="V31" s="387"/>
      <c r="W31" s="387"/>
      <c r="X31" s="387"/>
      <c r="Y31" s="387"/>
      <c r="Z31" s="387"/>
      <c r="AA31" s="387"/>
      <c r="AB31" s="387"/>
    </row>
    <row r="32" spans="2:28" ht="20.100000000000001" customHeight="1" x14ac:dyDescent="0.25">
      <c r="B32" s="1" t="s">
        <v>0</v>
      </c>
      <c r="C32" s="1" t="s">
        <v>1</v>
      </c>
      <c r="D32" s="1" t="s">
        <v>2</v>
      </c>
      <c r="E32" s="2" t="s">
        <v>3</v>
      </c>
      <c r="F32" s="2" t="s">
        <v>15</v>
      </c>
      <c r="G32" s="2" t="s">
        <v>7</v>
      </c>
      <c r="H32" s="4" t="s">
        <v>1</v>
      </c>
      <c r="I32" s="57"/>
      <c r="J32" s="57"/>
      <c r="K32" s="57"/>
      <c r="L32" s="57"/>
      <c r="M32" s="57"/>
      <c r="N32" s="57"/>
      <c r="O32" s="57"/>
      <c r="P32" s="57"/>
      <c r="Q32" s="57"/>
      <c r="R32" s="42" t="str">
        <f>DEC2HEX(MOD(HEX2DEC(C32)+HEX2DEC(D32)+HEX2DEC(E32)+HEX2DEC(F32)+HEX2DEC(G32)+HEX2DEC(H32)+HEX2DEC(I32)+HEX2DEC(J32)+HEX2DEC(K32)+HEX2DEC(L32)+HEX2DEC(M32)+HEX2DEC(N32)+HEX2DEC(Q32),256),2)</f>
        <v>29</v>
      </c>
      <c r="S32" s="42" t="s">
        <v>5</v>
      </c>
      <c r="T32" s="55" t="str">
        <f>IF(ISBLANK(B32),,B32&amp;" ")&amp;IF(ISBLANK(C32),,C32&amp;" ")&amp;IF(ISBLANK(D32),,D32&amp;" ")&amp;IF(ISBLANK(E32),,E32&amp;" ")&amp;IF(ISBLANK(F32),,F32&amp;" ")&amp;IF(ISBLANK(G32),,G32&amp;" ")&amp;IF(ISBLANK(H32),,H32&amp;" ")&amp;IF(ISBLANK(I32),,I32&amp;" ")&amp;IF(ISBLANK(J32),,J32&amp;" ")&amp;IF(ISBLANK(K32),,K32&amp;" ")&amp;IF(ISBLANK(L32),,L32&amp;" ")&amp;IF(ISBLANK(M32),,M32&amp;" ")&amp;IF(ISBLANK(N32),,N32&amp;" ")&amp;IF(ISBLANK(Q32),,Q32&amp;" ")&amp;IF(ISBLANK(R32),,R32&amp;" ")&amp;IF(ISBLANK(S32),,S32)</f>
        <v>aa 00 04 21 02 02 00 29 55</v>
      </c>
      <c r="U32" s="387" t="s">
        <v>291</v>
      </c>
      <c r="V32" s="387"/>
      <c r="W32" s="387"/>
      <c r="X32" s="387"/>
      <c r="Y32" s="387"/>
      <c r="Z32" s="387"/>
      <c r="AA32" s="387"/>
      <c r="AB32" s="387"/>
    </row>
    <row r="33" spans="2:29" ht="20.100000000000001" customHeight="1" x14ac:dyDescent="0.25">
      <c r="B33" s="1" t="s">
        <v>0</v>
      </c>
      <c r="C33" s="1" t="s">
        <v>1</v>
      </c>
      <c r="D33" s="1" t="s">
        <v>2</v>
      </c>
      <c r="E33" s="2" t="s">
        <v>3</v>
      </c>
      <c r="F33" s="2" t="s">
        <v>13</v>
      </c>
      <c r="G33" s="2" t="s">
        <v>7</v>
      </c>
      <c r="H33" s="4" t="s">
        <v>1</v>
      </c>
      <c r="I33" s="57"/>
      <c r="J33" s="57"/>
      <c r="K33" s="57"/>
      <c r="L33" s="57"/>
      <c r="M33" s="57"/>
      <c r="N33" s="57"/>
      <c r="O33" s="57"/>
      <c r="P33" s="57"/>
      <c r="Q33" s="57"/>
      <c r="R33" s="42" t="str">
        <f>DEC2HEX(MOD(HEX2DEC(C33)+HEX2DEC(D33)+HEX2DEC(E33)+HEX2DEC(F33)+HEX2DEC(G33)+HEX2DEC(H33)+HEX2DEC(I33)+HEX2DEC(J33)+HEX2DEC(K33)+HEX2DEC(L33)+HEX2DEC(M33)+HEX2DEC(N33)+HEX2DEC(Q33),256),2)</f>
        <v>2A</v>
      </c>
      <c r="S33" s="42" t="s">
        <v>5</v>
      </c>
      <c r="T33" s="55" t="str">
        <f>IF(ISBLANK(B33),,B33&amp;" ")&amp;IF(ISBLANK(C33),,C33&amp;" ")&amp;IF(ISBLANK(D33),,D33&amp;" ")&amp;IF(ISBLANK(E33),,E33&amp;" ")&amp;IF(ISBLANK(F33),,F33&amp;" ")&amp;IF(ISBLANK(G33),,G33&amp;" ")&amp;IF(ISBLANK(H33),,H33&amp;" ")&amp;IF(ISBLANK(I33),,I33&amp;" ")&amp;IF(ISBLANK(J33),,J33&amp;" ")&amp;IF(ISBLANK(K33),,K33&amp;" ")&amp;IF(ISBLANK(L33),,L33&amp;" ")&amp;IF(ISBLANK(M33),,M33&amp;" ")&amp;IF(ISBLANK(N33),,N33&amp;" ")&amp;IF(ISBLANK(Q33),,Q33&amp;" ")&amp;IF(ISBLANK(R33),,R33&amp;" ")&amp;IF(ISBLANK(S33),,S33)</f>
        <v>aa 00 04 21 03 02 00 2A 55</v>
      </c>
      <c r="U33" s="387" t="s">
        <v>292</v>
      </c>
      <c r="V33" s="387"/>
      <c r="W33" s="387"/>
      <c r="X33" s="387"/>
      <c r="Y33" s="387"/>
      <c r="Z33" s="387"/>
      <c r="AA33" s="387"/>
      <c r="AB33" s="387"/>
    </row>
    <row r="34" spans="2:29" s="39" customFormat="1" ht="20.100000000000001" customHeight="1" x14ac:dyDescent="0.25">
      <c r="B34" s="58"/>
      <c r="C34" s="58"/>
      <c r="D34" s="58"/>
      <c r="E34" s="59"/>
      <c r="F34" s="59"/>
      <c r="G34" s="59"/>
      <c r="H34" s="60"/>
      <c r="I34" s="61"/>
      <c r="J34" s="61"/>
      <c r="K34" s="61"/>
      <c r="L34" s="61"/>
      <c r="M34" s="61"/>
      <c r="N34" s="61"/>
      <c r="O34" s="61"/>
      <c r="P34" s="61"/>
      <c r="Q34" s="61"/>
      <c r="R34" s="62"/>
      <c r="S34" s="62"/>
      <c r="T34" s="53"/>
      <c r="U34" s="69"/>
      <c r="V34" s="69"/>
      <c r="W34" s="69"/>
      <c r="X34" s="69"/>
      <c r="Y34" s="69"/>
      <c r="Z34" s="69"/>
      <c r="AA34" s="69"/>
      <c r="AB34" s="69"/>
    </row>
    <row r="35" spans="2:29" s="39" customFormat="1" ht="20.100000000000001" customHeight="1" x14ac:dyDescent="0.25">
      <c r="B35" s="58"/>
      <c r="C35" s="58"/>
      <c r="D35" s="58"/>
      <c r="E35" s="59"/>
      <c r="F35" s="59"/>
      <c r="G35" s="59"/>
      <c r="H35" s="60"/>
      <c r="I35" s="61"/>
      <c r="J35" s="61"/>
      <c r="K35" s="61"/>
      <c r="L35" s="61"/>
      <c r="M35" s="61"/>
      <c r="N35" s="61"/>
      <c r="O35" s="61"/>
      <c r="P35" s="61"/>
      <c r="Q35" s="61"/>
      <c r="R35" s="62"/>
      <c r="S35" s="62"/>
      <c r="T35" s="53"/>
      <c r="U35" s="69"/>
      <c r="V35" s="69"/>
      <c r="W35" s="69"/>
      <c r="X35" s="69"/>
      <c r="Y35" s="69"/>
      <c r="Z35" s="69"/>
      <c r="AA35" s="69"/>
      <c r="AB35" s="69"/>
    </row>
    <row r="36" spans="2:29" ht="20.100000000000001" customHeight="1" x14ac:dyDescent="0.25">
      <c r="B36" s="1" t="s">
        <v>0</v>
      </c>
      <c r="C36" s="1" t="s">
        <v>1</v>
      </c>
      <c r="D36" s="1" t="s">
        <v>2</v>
      </c>
      <c r="E36" s="2" t="s">
        <v>3</v>
      </c>
      <c r="F36" s="2" t="s">
        <v>18</v>
      </c>
      <c r="G36" s="2" t="s">
        <v>1</v>
      </c>
      <c r="H36" s="4" t="s">
        <v>14</v>
      </c>
      <c r="I36" s="57"/>
      <c r="J36" s="57"/>
      <c r="K36" s="57"/>
      <c r="L36" s="57"/>
      <c r="M36" s="57"/>
      <c r="N36" s="57"/>
      <c r="O36" s="57"/>
      <c r="P36" s="57"/>
      <c r="Q36" s="57"/>
      <c r="R36" s="42" t="str">
        <f t="shared" ref="R36:R63" si="4">DEC2HEX(MOD(HEX2DEC(C36)+HEX2DEC(D36)+HEX2DEC(E36)+HEX2DEC(F36)+HEX2DEC(G36)+HEX2DEC(H36)+HEX2DEC(I36)+HEX2DEC(J36)+HEX2DEC(K36)+HEX2DEC(L36)+HEX2DEC(M36)+HEX2DEC(N36)+HEX2DEC(Q36),256),2)</f>
        <v>2A</v>
      </c>
      <c r="S36" s="42" t="s">
        <v>5</v>
      </c>
      <c r="T36" s="55" t="str">
        <f t="shared" ref="T36:T62" si="5">IF(ISBLANK(B36),,B36&amp;" ")&amp;IF(ISBLANK(C36),,C36&amp;" ")&amp;IF(ISBLANK(D36),,D36&amp;" ")&amp;IF(ISBLANK(E36),,E36&amp;" ")&amp;IF(ISBLANK(F36),,F36&amp;" ")&amp;IF(ISBLANK(G36),,G36&amp;" ")&amp;IF(ISBLANK(H36),,H36&amp;" ")&amp;IF(ISBLANK(I36),,I36&amp;" ")&amp;IF(ISBLANK(J36),,J36&amp;" ")&amp;IF(ISBLANK(K36),,K36&amp;" ")&amp;IF(ISBLANK(L36),,L36&amp;" ")&amp;IF(ISBLANK(M36),,M36&amp;" ")&amp;IF(ISBLANK(N36),,N36&amp;" ")&amp;IF(ISBLANK(Q36),,Q36&amp;" ")&amp;IF(ISBLANK(R36),,R36&amp;" ")&amp;IF(ISBLANK(S36),,S36)</f>
        <v>aa 00 04 21 04 00 01 2A 55</v>
      </c>
      <c r="U36" s="387" t="s">
        <v>117</v>
      </c>
      <c r="V36" s="387"/>
      <c r="W36" s="387"/>
      <c r="X36" s="387"/>
      <c r="Y36" s="387"/>
      <c r="Z36" s="387"/>
      <c r="AA36" s="387"/>
      <c r="AB36" s="387"/>
      <c r="AC36" t="s">
        <v>593</v>
      </c>
    </row>
    <row r="37" spans="2:29" ht="20.100000000000001" customHeight="1" x14ac:dyDescent="0.25">
      <c r="B37" s="1" t="s">
        <v>0</v>
      </c>
      <c r="C37" s="1" t="s">
        <v>1</v>
      </c>
      <c r="D37" s="1" t="s">
        <v>2</v>
      </c>
      <c r="E37" s="2" t="s">
        <v>3</v>
      </c>
      <c r="F37" s="2" t="s">
        <v>122</v>
      </c>
      <c r="G37" s="2" t="s">
        <v>1</v>
      </c>
      <c r="H37" s="4" t="s">
        <v>14</v>
      </c>
      <c r="I37" s="57"/>
      <c r="J37" s="57"/>
      <c r="K37" s="57"/>
      <c r="L37" s="57"/>
      <c r="M37" s="57"/>
      <c r="N37" s="57"/>
      <c r="O37" s="57"/>
      <c r="P37" s="57"/>
      <c r="Q37" s="57"/>
      <c r="R37" s="42" t="str">
        <f t="shared" si="4"/>
        <v>2B</v>
      </c>
      <c r="S37" s="42" t="s">
        <v>5</v>
      </c>
      <c r="T37" s="55" t="str">
        <f t="shared" si="5"/>
        <v>aa 00 04 21 05 00 01 2B 55</v>
      </c>
      <c r="U37" s="387" t="s">
        <v>118</v>
      </c>
      <c r="V37" s="387"/>
      <c r="W37" s="387"/>
      <c r="X37" s="387"/>
      <c r="Y37" s="387"/>
      <c r="Z37" s="387"/>
      <c r="AA37" s="387"/>
      <c r="AB37" s="387"/>
      <c r="AC37" t="s">
        <v>593</v>
      </c>
    </row>
    <row r="38" spans="2:29" ht="20.100000000000001" customHeight="1" x14ac:dyDescent="0.25">
      <c r="B38" s="1" t="s">
        <v>0</v>
      </c>
      <c r="C38" s="1" t="s">
        <v>1</v>
      </c>
      <c r="D38" s="1" t="s">
        <v>2</v>
      </c>
      <c r="E38" s="2" t="s">
        <v>3</v>
      </c>
      <c r="F38" s="2" t="s">
        <v>123</v>
      </c>
      <c r="G38" s="2" t="s">
        <v>1</v>
      </c>
      <c r="H38" s="4" t="s">
        <v>14</v>
      </c>
      <c r="I38" s="57"/>
      <c r="J38" s="57"/>
      <c r="K38" s="57"/>
      <c r="L38" s="57"/>
      <c r="M38" s="57"/>
      <c r="N38" s="57"/>
      <c r="O38" s="57"/>
      <c r="P38" s="57"/>
      <c r="Q38" s="57"/>
      <c r="R38" s="42" t="str">
        <f t="shared" si="4"/>
        <v>2C</v>
      </c>
      <c r="S38" s="42" t="s">
        <v>5</v>
      </c>
      <c r="T38" s="55" t="str">
        <f t="shared" si="5"/>
        <v>aa 00 04 21 06 00 01 2C 55</v>
      </c>
      <c r="U38" s="387" t="s">
        <v>397</v>
      </c>
      <c r="V38" s="387"/>
      <c r="W38" s="387"/>
      <c r="X38" s="387"/>
      <c r="Y38" s="387"/>
      <c r="Z38" s="387"/>
      <c r="AA38" s="387"/>
      <c r="AB38" s="387"/>
      <c r="AC38" t="s">
        <v>593</v>
      </c>
    </row>
    <row r="39" spans="2:29" ht="20.100000000000001" customHeight="1" x14ac:dyDescent="0.25">
      <c r="B39" s="1" t="s">
        <v>0</v>
      </c>
      <c r="C39" s="1" t="s">
        <v>1</v>
      </c>
      <c r="D39" s="1" t="s">
        <v>2</v>
      </c>
      <c r="E39" s="2" t="s">
        <v>3</v>
      </c>
      <c r="F39" s="2" t="s">
        <v>124</v>
      </c>
      <c r="G39" s="2" t="s">
        <v>1</v>
      </c>
      <c r="H39" s="4" t="s">
        <v>14</v>
      </c>
      <c r="I39" s="57"/>
      <c r="J39" s="57"/>
      <c r="K39" s="57"/>
      <c r="L39" s="57"/>
      <c r="M39" s="57"/>
      <c r="N39" s="57"/>
      <c r="O39" s="57"/>
      <c r="P39" s="57"/>
      <c r="Q39" s="57"/>
      <c r="R39" s="42" t="str">
        <f t="shared" si="4"/>
        <v>2D</v>
      </c>
      <c r="S39" s="42" t="s">
        <v>5</v>
      </c>
      <c r="T39" s="55" t="str">
        <f t="shared" si="5"/>
        <v>aa 00 04 21 07 00 01 2D 55</v>
      </c>
      <c r="U39" s="387" t="s">
        <v>119</v>
      </c>
      <c r="V39" s="387"/>
      <c r="W39" s="387"/>
      <c r="X39" s="387"/>
      <c r="Y39" s="387"/>
      <c r="Z39" s="387"/>
      <c r="AA39" s="387"/>
      <c r="AB39" s="387"/>
      <c r="AC39" t="s">
        <v>593</v>
      </c>
    </row>
    <row r="40" spans="2:29" ht="20.100000000000001" customHeight="1" x14ac:dyDescent="0.25">
      <c r="B40" s="1" t="s">
        <v>0</v>
      </c>
      <c r="C40" s="1" t="s">
        <v>1</v>
      </c>
      <c r="D40" s="1" t="s">
        <v>2</v>
      </c>
      <c r="E40" s="2" t="s">
        <v>3</v>
      </c>
      <c r="F40" s="2" t="s">
        <v>125</v>
      </c>
      <c r="G40" s="2" t="s">
        <v>1</v>
      </c>
      <c r="H40" s="4" t="s">
        <v>14</v>
      </c>
      <c r="I40" s="57"/>
      <c r="J40" s="57"/>
      <c r="K40" s="57"/>
      <c r="L40" s="57"/>
      <c r="M40" s="57"/>
      <c r="N40" s="57"/>
      <c r="O40" s="57"/>
      <c r="P40" s="57"/>
      <c r="Q40" s="57"/>
      <c r="R40" s="42" t="str">
        <f t="shared" si="4"/>
        <v>2E</v>
      </c>
      <c r="S40" s="42" t="s">
        <v>5</v>
      </c>
      <c r="T40" s="55" t="str">
        <f t="shared" si="5"/>
        <v>aa 00 04 21 08 00 01 2E 55</v>
      </c>
      <c r="U40" s="387" t="s">
        <v>120</v>
      </c>
      <c r="V40" s="387"/>
      <c r="W40" s="387"/>
      <c r="X40" s="387"/>
      <c r="Y40" s="387"/>
      <c r="Z40" s="387"/>
      <c r="AA40" s="387"/>
      <c r="AB40" s="387"/>
      <c r="AC40" t="s">
        <v>593</v>
      </c>
    </row>
    <row r="41" spans="2:29" ht="20.100000000000001" customHeight="1" x14ac:dyDescent="0.25">
      <c r="B41" s="1" t="s">
        <v>0</v>
      </c>
      <c r="C41" s="1" t="s">
        <v>1</v>
      </c>
      <c r="D41" s="1" t="s">
        <v>2</v>
      </c>
      <c r="E41" s="2" t="s">
        <v>3</v>
      </c>
      <c r="F41" s="2" t="s">
        <v>126</v>
      </c>
      <c r="G41" s="2" t="s">
        <v>1</v>
      </c>
      <c r="H41" s="4" t="s">
        <v>14</v>
      </c>
      <c r="I41" s="57"/>
      <c r="J41" s="57"/>
      <c r="K41" s="57"/>
      <c r="L41" s="57"/>
      <c r="M41" s="57"/>
      <c r="N41" s="57"/>
      <c r="O41" s="57"/>
      <c r="P41" s="57"/>
      <c r="Q41" s="57"/>
      <c r="R41" s="42" t="str">
        <f t="shared" si="4"/>
        <v>2F</v>
      </c>
      <c r="S41" s="42" t="s">
        <v>5</v>
      </c>
      <c r="T41" s="55" t="str">
        <f t="shared" si="5"/>
        <v>aa 00 04 21 09 00 01 2F 55</v>
      </c>
      <c r="U41" s="387" t="s">
        <v>121</v>
      </c>
      <c r="V41" s="387"/>
      <c r="W41" s="387"/>
      <c r="X41" s="387"/>
      <c r="Y41" s="387"/>
      <c r="Z41" s="387"/>
      <c r="AA41" s="387"/>
      <c r="AB41" s="387"/>
      <c r="AC41" t="s">
        <v>593</v>
      </c>
    </row>
    <row r="42" spans="2:29" ht="20.100000000000001" customHeight="1" x14ac:dyDescent="0.25">
      <c r="B42" s="1" t="s">
        <v>0</v>
      </c>
      <c r="C42" s="1" t="s">
        <v>1</v>
      </c>
      <c r="D42" s="1" t="s">
        <v>2</v>
      </c>
      <c r="E42" s="2" t="s">
        <v>3</v>
      </c>
      <c r="F42" s="2" t="s">
        <v>207</v>
      </c>
      <c r="G42" s="2" t="s">
        <v>1</v>
      </c>
      <c r="H42" s="4" t="s">
        <v>14</v>
      </c>
      <c r="I42" s="57"/>
      <c r="J42" s="57"/>
      <c r="K42" s="57"/>
      <c r="L42" s="57"/>
      <c r="M42" s="57"/>
      <c r="N42" s="57"/>
      <c r="O42" s="57"/>
      <c r="P42" s="57"/>
      <c r="Q42" s="57"/>
      <c r="R42" s="42" t="str">
        <f t="shared" si="4"/>
        <v>30</v>
      </c>
      <c r="S42" s="42" t="s">
        <v>5</v>
      </c>
      <c r="T42" s="55" t="str">
        <f t="shared" si="5"/>
        <v>aa 00 04 21 0A 00 01 30 55</v>
      </c>
      <c r="U42" s="387" t="s">
        <v>127</v>
      </c>
      <c r="V42" s="387"/>
      <c r="W42" s="387"/>
      <c r="X42" s="387"/>
      <c r="Y42" s="387"/>
      <c r="Z42" s="387"/>
      <c r="AA42" s="387"/>
      <c r="AB42" s="387"/>
      <c r="AC42" t="s">
        <v>593</v>
      </c>
    </row>
    <row r="43" spans="2:29" ht="20.100000000000001" customHeight="1" x14ac:dyDescent="0.25">
      <c r="B43" s="1" t="s">
        <v>0</v>
      </c>
      <c r="C43" s="1" t="s">
        <v>1</v>
      </c>
      <c r="D43" s="1" t="s">
        <v>2</v>
      </c>
      <c r="E43" s="2" t="s">
        <v>3</v>
      </c>
      <c r="F43" s="2" t="s">
        <v>208</v>
      </c>
      <c r="G43" s="2" t="s">
        <v>1</v>
      </c>
      <c r="H43" s="4" t="s">
        <v>14</v>
      </c>
      <c r="I43" s="57"/>
      <c r="J43" s="57"/>
      <c r="K43" s="57"/>
      <c r="L43" s="57"/>
      <c r="M43" s="57"/>
      <c r="N43" s="57"/>
      <c r="O43" s="57"/>
      <c r="P43" s="57"/>
      <c r="Q43" s="57"/>
      <c r="R43" s="42" t="str">
        <f t="shared" si="4"/>
        <v>31</v>
      </c>
      <c r="S43" s="42" t="s">
        <v>5</v>
      </c>
      <c r="T43" s="55" t="str">
        <f t="shared" si="5"/>
        <v>aa 00 04 21 0B 00 01 31 55</v>
      </c>
      <c r="U43" s="387" t="s">
        <v>128</v>
      </c>
      <c r="V43" s="387"/>
      <c r="W43" s="387"/>
      <c r="X43" s="387"/>
      <c r="Y43" s="387"/>
      <c r="Z43" s="387"/>
      <c r="AA43" s="387"/>
      <c r="AB43" s="387"/>
      <c r="AC43" t="s">
        <v>593</v>
      </c>
    </row>
    <row r="44" spans="2:29" ht="20.100000000000001" customHeight="1" x14ac:dyDescent="0.25">
      <c r="B44" s="1" t="s">
        <v>0</v>
      </c>
      <c r="C44" s="1" t="s">
        <v>1</v>
      </c>
      <c r="D44" s="1" t="s">
        <v>2</v>
      </c>
      <c r="E44" s="2" t="s">
        <v>3</v>
      </c>
      <c r="F44" s="2" t="s">
        <v>209</v>
      </c>
      <c r="G44" s="2" t="s">
        <v>1</v>
      </c>
      <c r="H44" s="4" t="s">
        <v>14</v>
      </c>
      <c r="I44" s="57"/>
      <c r="J44" s="57"/>
      <c r="K44" s="57"/>
      <c r="L44" s="57"/>
      <c r="M44" s="57"/>
      <c r="N44" s="57"/>
      <c r="O44" s="57"/>
      <c r="P44" s="57"/>
      <c r="Q44" s="57"/>
      <c r="R44" s="42" t="str">
        <f t="shared" si="4"/>
        <v>32</v>
      </c>
      <c r="S44" s="42" t="s">
        <v>5</v>
      </c>
      <c r="T44" s="55" t="str">
        <f t="shared" si="5"/>
        <v>aa 00 04 21 0C 00 01 32 55</v>
      </c>
      <c r="U44" s="387" t="s">
        <v>129</v>
      </c>
      <c r="V44" s="387"/>
      <c r="W44" s="387"/>
      <c r="X44" s="387"/>
      <c r="Y44" s="387"/>
      <c r="Z44" s="387"/>
      <c r="AA44" s="387"/>
      <c r="AB44" s="387"/>
      <c r="AC44" t="s">
        <v>593</v>
      </c>
    </row>
    <row r="45" spans="2:29" ht="20.100000000000001" customHeight="1" x14ac:dyDescent="0.25">
      <c r="B45" s="1" t="s">
        <v>0</v>
      </c>
      <c r="C45" s="1" t="s">
        <v>1</v>
      </c>
      <c r="D45" s="1" t="s">
        <v>2</v>
      </c>
      <c r="E45" s="2" t="s">
        <v>3</v>
      </c>
      <c r="F45" s="2" t="s">
        <v>210</v>
      </c>
      <c r="G45" s="2" t="s">
        <v>1</v>
      </c>
      <c r="H45" s="4" t="s">
        <v>14</v>
      </c>
      <c r="I45" s="57"/>
      <c r="J45" s="57"/>
      <c r="K45" s="57"/>
      <c r="L45" s="57"/>
      <c r="M45" s="57"/>
      <c r="N45" s="57"/>
      <c r="O45" s="57"/>
      <c r="P45" s="57"/>
      <c r="Q45" s="57"/>
      <c r="R45" s="42" t="str">
        <f t="shared" si="4"/>
        <v>33</v>
      </c>
      <c r="S45" s="42" t="s">
        <v>5</v>
      </c>
      <c r="T45" s="55" t="str">
        <f t="shared" si="5"/>
        <v>aa 00 04 21 0D 00 01 33 55</v>
      </c>
      <c r="U45" s="411" t="s">
        <v>130</v>
      </c>
      <c r="V45" s="556"/>
      <c r="W45" s="556"/>
      <c r="X45" s="556"/>
      <c r="Y45" s="556"/>
      <c r="Z45" s="556"/>
      <c r="AA45" s="556"/>
      <c r="AB45" s="412"/>
      <c r="AC45" t="s">
        <v>593</v>
      </c>
    </row>
    <row r="46" spans="2:29" ht="20.100000000000001" customHeight="1" x14ac:dyDescent="0.25">
      <c r="B46" s="1" t="s">
        <v>0</v>
      </c>
      <c r="C46" s="1" t="s">
        <v>1</v>
      </c>
      <c r="D46" s="1" t="s">
        <v>2</v>
      </c>
      <c r="E46" s="2" t="s">
        <v>3</v>
      </c>
      <c r="F46" s="2" t="s">
        <v>227</v>
      </c>
      <c r="G46" s="2" t="s">
        <v>1</v>
      </c>
      <c r="H46" s="4" t="s">
        <v>14</v>
      </c>
      <c r="I46" s="57"/>
      <c r="J46" s="57"/>
      <c r="K46" s="57"/>
      <c r="L46" s="57"/>
      <c r="M46" s="57"/>
      <c r="N46" s="57"/>
      <c r="O46" s="57"/>
      <c r="P46" s="57"/>
      <c r="Q46" s="57"/>
      <c r="R46" s="42" t="str">
        <f t="shared" si="4"/>
        <v>34</v>
      </c>
      <c r="S46" s="42" t="s">
        <v>5</v>
      </c>
      <c r="T46" s="55" t="str">
        <f t="shared" si="5"/>
        <v>aa 00 04 21 0E 00 01 34 55</v>
      </c>
      <c r="U46" s="411" t="s">
        <v>131</v>
      </c>
      <c r="V46" s="556"/>
      <c r="W46" s="556"/>
      <c r="X46" s="556"/>
      <c r="Y46" s="556"/>
      <c r="Z46" s="556"/>
      <c r="AA46" s="556"/>
      <c r="AB46" s="412"/>
      <c r="AC46" t="s">
        <v>593</v>
      </c>
    </row>
    <row r="47" spans="2:29" ht="20.100000000000001" customHeight="1" x14ac:dyDescent="0.25">
      <c r="B47" s="1" t="s">
        <v>0</v>
      </c>
      <c r="C47" s="1" t="s">
        <v>1</v>
      </c>
      <c r="D47" s="1" t="s">
        <v>2</v>
      </c>
      <c r="E47" s="2" t="s">
        <v>3</v>
      </c>
      <c r="F47" s="2" t="s">
        <v>211</v>
      </c>
      <c r="G47" s="2" t="s">
        <v>1</v>
      </c>
      <c r="H47" s="4" t="s">
        <v>14</v>
      </c>
      <c r="I47" s="57"/>
      <c r="J47" s="57"/>
      <c r="K47" s="57"/>
      <c r="L47" s="57"/>
      <c r="M47" s="57"/>
      <c r="N47" s="57"/>
      <c r="O47" s="57"/>
      <c r="P47" s="57"/>
      <c r="Q47" s="57"/>
      <c r="R47" s="42" t="str">
        <f t="shared" si="4"/>
        <v>35</v>
      </c>
      <c r="S47" s="42" t="s">
        <v>5</v>
      </c>
      <c r="T47" s="55" t="str">
        <f t="shared" si="5"/>
        <v>aa 00 04 21 0F 00 01 35 55</v>
      </c>
      <c r="U47" s="411" t="s">
        <v>132</v>
      </c>
      <c r="V47" s="556"/>
      <c r="W47" s="556"/>
      <c r="X47" s="556"/>
      <c r="Y47" s="556"/>
      <c r="Z47" s="556"/>
      <c r="AA47" s="556"/>
      <c r="AB47" s="412"/>
      <c r="AC47" t="s">
        <v>593</v>
      </c>
    </row>
    <row r="48" spans="2:29" ht="20.100000000000001" customHeight="1" x14ac:dyDescent="0.25">
      <c r="B48" s="1" t="s">
        <v>0</v>
      </c>
      <c r="C48" s="1" t="s">
        <v>1</v>
      </c>
      <c r="D48" s="1" t="s">
        <v>2</v>
      </c>
      <c r="E48" s="2" t="s">
        <v>3</v>
      </c>
      <c r="F48" s="2" t="s">
        <v>157</v>
      </c>
      <c r="G48" s="2" t="s">
        <v>1</v>
      </c>
      <c r="H48" s="4" t="s">
        <v>14</v>
      </c>
      <c r="I48" s="57"/>
      <c r="J48" s="57"/>
      <c r="K48" s="57"/>
      <c r="L48" s="57"/>
      <c r="M48" s="57"/>
      <c r="N48" s="57"/>
      <c r="O48" s="57"/>
      <c r="P48" s="57"/>
      <c r="Q48" s="57"/>
      <c r="R48" s="42" t="str">
        <f t="shared" si="4"/>
        <v>36</v>
      </c>
      <c r="S48" s="42" t="s">
        <v>5</v>
      </c>
      <c r="T48" s="55" t="str">
        <f t="shared" si="5"/>
        <v>aa 00 04 21 10 00 01 36 55</v>
      </c>
      <c r="U48" s="411" t="s">
        <v>133</v>
      </c>
      <c r="V48" s="556"/>
      <c r="W48" s="556"/>
      <c r="X48" s="556"/>
      <c r="Y48" s="556"/>
      <c r="Z48" s="556"/>
      <c r="AA48" s="556"/>
      <c r="AB48" s="412"/>
      <c r="AC48" t="s">
        <v>593</v>
      </c>
    </row>
    <row r="49" spans="2:29" ht="20.100000000000001" customHeight="1" x14ac:dyDescent="0.25">
      <c r="B49" s="1" t="s">
        <v>0</v>
      </c>
      <c r="C49" s="1" t="s">
        <v>1</v>
      </c>
      <c r="D49" s="1" t="s">
        <v>2</v>
      </c>
      <c r="E49" s="2" t="s">
        <v>3</v>
      </c>
      <c r="F49" s="2" t="s">
        <v>158</v>
      </c>
      <c r="G49" s="2" t="s">
        <v>1</v>
      </c>
      <c r="H49" s="4" t="s">
        <v>14</v>
      </c>
      <c r="I49" s="57"/>
      <c r="J49" s="57"/>
      <c r="K49" s="57"/>
      <c r="L49" s="57"/>
      <c r="M49" s="57"/>
      <c r="N49" s="57"/>
      <c r="O49" s="57"/>
      <c r="P49" s="57"/>
      <c r="Q49" s="57"/>
      <c r="R49" s="42" t="str">
        <f t="shared" si="4"/>
        <v>37</v>
      </c>
      <c r="S49" s="42" t="s">
        <v>5</v>
      </c>
      <c r="T49" s="55" t="str">
        <f t="shared" si="5"/>
        <v>aa 00 04 21 11 00 01 37 55</v>
      </c>
      <c r="U49" s="411" t="s">
        <v>134</v>
      </c>
      <c r="V49" s="556"/>
      <c r="W49" s="556"/>
      <c r="X49" s="556"/>
      <c r="Y49" s="556"/>
      <c r="Z49" s="556"/>
      <c r="AA49" s="556"/>
      <c r="AB49" s="412"/>
      <c r="AC49" t="s">
        <v>593</v>
      </c>
    </row>
    <row r="50" spans="2:29" ht="20.100000000000001" customHeight="1" x14ac:dyDescent="0.25">
      <c r="B50" s="1" t="s">
        <v>0</v>
      </c>
      <c r="C50" s="1" t="s">
        <v>1</v>
      </c>
      <c r="D50" s="1" t="s">
        <v>2</v>
      </c>
      <c r="E50" s="2" t="s">
        <v>3</v>
      </c>
      <c r="F50" s="2" t="s">
        <v>159</v>
      </c>
      <c r="G50" s="2" t="s">
        <v>1</v>
      </c>
      <c r="H50" s="4" t="s">
        <v>14</v>
      </c>
      <c r="I50" s="57"/>
      <c r="J50" s="57"/>
      <c r="K50" s="57"/>
      <c r="L50" s="57"/>
      <c r="M50" s="57"/>
      <c r="N50" s="57"/>
      <c r="O50" s="57"/>
      <c r="P50" s="57"/>
      <c r="Q50" s="57"/>
      <c r="R50" s="42" t="str">
        <f t="shared" si="4"/>
        <v>38</v>
      </c>
      <c r="S50" s="42" t="s">
        <v>5</v>
      </c>
      <c r="T50" s="55" t="str">
        <f t="shared" si="5"/>
        <v>aa 00 04 21 12 00 01 38 55</v>
      </c>
      <c r="U50" s="411" t="s">
        <v>135</v>
      </c>
      <c r="V50" s="556"/>
      <c r="W50" s="556"/>
      <c r="X50" s="556"/>
      <c r="Y50" s="556"/>
      <c r="Z50" s="556"/>
      <c r="AA50" s="556"/>
      <c r="AB50" s="412"/>
      <c r="AC50" t="s">
        <v>593</v>
      </c>
    </row>
    <row r="51" spans="2:29" ht="20.100000000000001" customHeight="1" x14ac:dyDescent="0.25">
      <c r="B51" s="1" t="s">
        <v>0</v>
      </c>
      <c r="C51" s="1" t="s">
        <v>1</v>
      </c>
      <c r="D51" s="1" t="s">
        <v>2</v>
      </c>
      <c r="E51" s="2" t="s">
        <v>3</v>
      </c>
      <c r="F51" s="2" t="s">
        <v>160</v>
      </c>
      <c r="G51" s="2" t="s">
        <v>1</v>
      </c>
      <c r="H51" s="4" t="s">
        <v>14</v>
      </c>
      <c r="I51" s="57"/>
      <c r="J51" s="57"/>
      <c r="K51" s="57"/>
      <c r="L51" s="57"/>
      <c r="M51" s="57"/>
      <c r="N51" s="57"/>
      <c r="O51" s="57"/>
      <c r="P51" s="57"/>
      <c r="Q51" s="57"/>
      <c r="R51" s="42" t="str">
        <f t="shared" si="4"/>
        <v>39</v>
      </c>
      <c r="S51" s="42" t="s">
        <v>5</v>
      </c>
      <c r="T51" s="55" t="str">
        <f t="shared" si="5"/>
        <v>aa 00 04 21 13 00 01 39 55</v>
      </c>
      <c r="U51" s="411" t="s">
        <v>136</v>
      </c>
      <c r="V51" s="556"/>
      <c r="W51" s="556"/>
      <c r="X51" s="556"/>
      <c r="Y51" s="556"/>
      <c r="Z51" s="556"/>
      <c r="AA51" s="556"/>
      <c r="AB51" s="412"/>
      <c r="AC51" t="s">
        <v>593</v>
      </c>
    </row>
    <row r="52" spans="2:29" ht="20.100000000000001" customHeight="1" x14ac:dyDescent="0.25">
      <c r="B52" s="1" t="s">
        <v>0</v>
      </c>
      <c r="C52" s="1" t="s">
        <v>1</v>
      </c>
      <c r="D52" s="1" t="s">
        <v>2</v>
      </c>
      <c r="E52" s="2" t="s">
        <v>3</v>
      </c>
      <c r="F52" s="2" t="s">
        <v>161</v>
      </c>
      <c r="G52" s="2" t="s">
        <v>1</v>
      </c>
      <c r="H52" s="4" t="s">
        <v>14</v>
      </c>
      <c r="I52" s="57"/>
      <c r="J52" s="57"/>
      <c r="K52" s="57"/>
      <c r="L52" s="57"/>
      <c r="M52" s="57"/>
      <c r="N52" s="57"/>
      <c r="O52" s="57"/>
      <c r="P52" s="57"/>
      <c r="Q52" s="57"/>
      <c r="R52" s="42" t="str">
        <f t="shared" si="4"/>
        <v>3A</v>
      </c>
      <c r="S52" s="42" t="s">
        <v>5</v>
      </c>
      <c r="T52" s="55" t="str">
        <f t="shared" si="5"/>
        <v>aa 00 04 21 14 00 01 3A 55</v>
      </c>
      <c r="U52" s="411" t="s">
        <v>137</v>
      </c>
      <c r="V52" s="556"/>
      <c r="W52" s="556"/>
      <c r="X52" s="556"/>
      <c r="Y52" s="556"/>
      <c r="Z52" s="556"/>
      <c r="AA52" s="556"/>
      <c r="AB52" s="412"/>
      <c r="AC52" t="s">
        <v>593</v>
      </c>
    </row>
    <row r="53" spans="2:29" ht="20.100000000000001" customHeight="1" x14ac:dyDescent="0.25">
      <c r="B53" s="1" t="s">
        <v>0</v>
      </c>
      <c r="C53" s="1" t="s">
        <v>1</v>
      </c>
      <c r="D53" s="1" t="s">
        <v>2</v>
      </c>
      <c r="E53" s="2" t="s">
        <v>3</v>
      </c>
      <c r="F53" s="2" t="s">
        <v>162</v>
      </c>
      <c r="G53" s="2" t="s">
        <v>1</v>
      </c>
      <c r="H53" s="4" t="s">
        <v>14</v>
      </c>
      <c r="I53" s="57"/>
      <c r="J53" s="57"/>
      <c r="K53" s="57"/>
      <c r="L53" s="57"/>
      <c r="M53" s="57"/>
      <c r="N53" s="57"/>
      <c r="O53" s="57"/>
      <c r="P53" s="57"/>
      <c r="Q53" s="57"/>
      <c r="R53" s="42" t="str">
        <f t="shared" si="4"/>
        <v>3B</v>
      </c>
      <c r="S53" s="42" t="s">
        <v>5</v>
      </c>
      <c r="T53" s="55" t="str">
        <f t="shared" si="5"/>
        <v>aa 00 04 21 15 00 01 3B 55</v>
      </c>
      <c r="U53" s="411" t="s">
        <v>138</v>
      </c>
      <c r="V53" s="556"/>
      <c r="W53" s="556"/>
      <c r="X53" s="556"/>
      <c r="Y53" s="556"/>
      <c r="Z53" s="556"/>
      <c r="AA53" s="556"/>
      <c r="AB53" s="412"/>
      <c r="AC53" t="s">
        <v>593</v>
      </c>
    </row>
    <row r="54" spans="2:29" ht="20.100000000000001" customHeight="1" x14ac:dyDescent="0.25">
      <c r="B54" s="1" t="s">
        <v>0</v>
      </c>
      <c r="C54" s="1" t="s">
        <v>1</v>
      </c>
      <c r="D54" s="1" t="s">
        <v>2</v>
      </c>
      <c r="E54" s="2" t="s">
        <v>3</v>
      </c>
      <c r="F54" s="2" t="s">
        <v>163</v>
      </c>
      <c r="G54" s="2" t="s">
        <v>1</v>
      </c>
      <c r="H54" s="4" t="s">
        <v>14</v>
      </c>
      <c r="I54" s="57"/>
      <c r="J54" s="57"/>
      <c r="K54" s="57"/>
      <c r="L54" s="57"/>
      <c r="M54" s="57"/>
      <c r="N54" s="57"/>
      <c r="O54" s="57"/>
      <c r="P54" s="57"/>
      <c r="Q54" s="57"/>
      <c r="R54" s="42" t="str">
        <f t="shared" si="4"/>
        <v>3C</v>
      </c>
      <c r="S54" s="42" t="s">
        <v>5</v>
      </c>
      <c r="T54" s="55" t="str">
        <f t="shared" si="5"/>
        <v>aa 00 04 21 16 00 01 3C 55</v>
      </c>
      <c r="U54" s="411" t="s">
        <v>139</v>
      </c>
      <c r="V54" s="556"/>
      <c r="W54" s="556"/>
      <c r="X54" s="556"/>
      <c r="Y54" s="556"/>
      <c r="Z54" s="556"/>
      <c r="AA54" s="556"/>
      <c r="AB54" s="412"/>
      <c r="AC54" t="s">
        <v>593</v>
      </c>
    </row>
    <row r="55" spans="2:29" ht="20.100000000000001" customHeight="1" x14ac:dyDescent="0.25">
      <c r="B55" s="1" t="s">
        <v>0</v>
      </c>
      <c r="C55" s="1" t="s">
        <v>1</v>
      </c>
      <c r="D55" s="1" t="s">
        <v>2</v>
      </c>
      <c r="E55" s="2" t="s">
        <v>3</v>
      </c>
      <c r="F55" s="2" t="s">
        <v>164</v>
      </c>
      <c r="G55" s="2" t="s">
        <v>1</v>
      </c>
      <c r="H55" s="4" t="s">
        <v>14</v>
      </c>
      <c r="I55" s="57"/>
      <c r="J55" s="57"/>
      <c r="K55" s="57"/>
      <c r="L55" s="57"/>
      <c r="M55" s="57"/>
      <c r="N55" s="57"/>
      <c r="O55" s="57"/>
      <c r="P55" s="57"/>
      <c r="Q55" s="57"/>
      <c r="R55" s="42" t="str">
        <f t="shared" si="4"/>
        <v>3D</v>
      </c>
      <c r="S55" s="42" t="s">
        <v>5</v>
      </c>
      <c r="T55" s="55" t="str">
        <f t="shared" si="5"/>
        <v>aa 00 04 21 17 00 01 3D 55</v>
      </c>
      <c r="U55" s="411" t="s">
        <v>140</v>
      </c>
      <c r="V55" s="556"/>
      <c r="W55" s="556"/>
      <c r="X55" s="556"/>
      <c r="Y55" s="556"/>
      <c r="Z55" s="556"/>
      <c r="AA55" s="556"/>
      <c r="AB55" s="412"/>
      <c r="AC55" t="s">
        <v>593</v>
      </c>
    </row>
    <row r="56" spans="2:29" ht="20.100000000000001" customHeight="1" x14ac:dyDescent="0.25">
      <c r="B56" s="1" t="s">
        <v>0</v>
      </c>
      <c r="C56" s="1" t="s">
        <v>1</v>
      </c>
      <c r="D56" s="1" t="s">
        <v>2</v>
      </c>
      <c r="E56" s="2" t="s">
        <v>3</v>
      </c>
      <c r="F56" s="2" t="s">
        <v>165</v>
      </c>
      <c r="G56" s="2" t="s">
        <v>1</v>
      </c>
      <c r="H56" s="4" t="s">
        <v>14</v>
      </c>
      <c r="I56" s="57"/>
      <c r="J56" s="57"/>
      <c r="K56" s="57"/>
      <c r="L56" s="57"/>
      <c r="M56" s="57"/>
      <c r="N56" s="57"/>
      <c r="O56" s="57"/>
      <c r="P56" s="57"/>
      <c r="Q56" s="57"/>
      <c r="R56" s="42" t="str">
        <f t="shared" si="4"/>
        <v>3E</v>
      </c>
      <c r="S56" s="42" t="s">
        <v>5</v>
      </c>
      <c r="T56" s="55" t="str">
        <f t="shared" si="5"/>
        <v>aa 00 04 21 18 00 01 3E 55</v>
      </c>
      <c r="U56" s="411" t="s">
        <v>141</v>
      </c>
      <c r="V56" s="556"/>
      <c r="W56" s="556"/>
      <c r="X56" s="556"/>
      <c r="Y56" s="556"/>
      <c r="Z56" s="556"/>
      <c r="AA56" s="556"/>
      <c r="AB56" s="412"/>
      <c r="AC56" t="s">
        <v>593</v>
      </c>
    </row>
    <row r="57" spans="2:29" ht="20.100000000000001" customHeight="1" x14ac:dyDescent="0.25">
      <c r="B57" s="1" t="s">
        <v>0</v>
      </c>
      <c r="C57" s="1" t="s">
        <v>1</v>
      </c>
      <c r="D57" s="1" t="s">
        <v>2</v>
      </c>
      <c r="E57" s="2" t="s">
        <v>3</v>
      </c>
      <c r="F57" s="2" t="s">
        <v>166</v>
      </c>
      <c r="G57" s="2" t="s">
        <v>1</v>
      </c>
      <c r="H57" s="4" t="s">
        <v>14</v>
      </c>
      <c r="I57" s="57"/>
      <c r="J57" s="57"/>
      <c r="K57" s="57"/>
      <c r="L57" s="57"/>
      <c r="M57" s="57"/>
      <c r="N57" s="57"/>
      <c r="O57" s="57"/>
      <c r="P57" s="57"/>
      <c r="Q57" s="57"/>
      <c r="R57" s="42" t="str">
        <f t="shared" si="4"/>
        <v>3F</v>
      </c>
      <c r="S57" s="42" t="s">
        <v>5</v>
      </c>
      <c r="T57" s="55" t="str">
        <f t="shared" si="5"/>
        <v>aa 00 04 21 19 00 01 3F 55</v>
      </c>
      <c r="U57" s="411" t="s">
        <v>142</v>
      </c>
      <c r="V57" s="556"/>
      <c r="W57" s="556"/>
      <c r="X57" s="556"/>
      <c r="Y57" s="556"/>
      <c r="Z57" s="556"/>
      <c r="AA57" s="556"/>
      <c r="AB57" s="412"/>
      <c r="AC57" t="s">
        <v>593</v>
      </c>
    </row>
    <row r="58" spans="2:29" ht="20.100000000000001" customHeight="1" x14ac:dyDescent="0.25">
      <c r="B58" s="1" t="s">
        <v>0</v>
      </c>
      <c r="C58" s="1" t="s">
        <v>1</v>
      </c>
      <c r="D58" s="1" t="s">
        <v>2</v>
      </c>
      <c r="E58" s="2" t="s">
        <v>3</v>
      </c>
      <c r="F58" s="2" t="s">
        <v>212</v>
      </c>
      <c r="G58" s="2" t="s">
        <v>1</v>
      </c>
      <c r="H58" s="4" t="s">
        <v>14</v>
      </c>
      <c r="I58" s="57"/>
      <c r="J58" s="57"/>
      <c r="K58" s="57"/>
      <c r="L58" s="57"/>
      <c r="M58" s="57"/>
      <c r="N58" s="57"/>
      <c r="O58" s="57"/>
      <c r="P58" s="57"/>
      <c r="Q58" s="57"/>
      <c r="R58" s="42" t="str">
        <f t="shared" si="4"/>
        <v>40</v>
      </c>
      <c r="S58" s="42" t="s">
        <v>5</v>
      </c>
      <c r="T58" s="55" t="str">
        <f t="shared" si="5"/>
        <v>aa 00 04 21 1A 00 01 40 55</v>
      </c>
      <c r="U58" s="411" t="s">
        <v>143</v>
      </c>
      <c r="V58" s="556"/>
      <c r="W58" s="556"/>
      <c r="X58" s="556"/>
      <c r="Y58" s="556"/>
      <c r="Z58" s="556"/>
      <c r="AA58" s="556"/>
      <c r="AB58" s="412"/>
      <c r="AC58" t="s">
        <v>593</v>
      </c>
    </row>
    <row r="59" spans="2:29" ht="20.100000000000001" customHeight="1" x14ac:dyDescent="0.25">
      <c r="B59" s="1" t="s">
        <v>0</v>
      </c>
      <c r="C59" s="1" t="s">
        <v>1</v>
      </c>
      <c r="D59" s="1" t="s">
        <v>2</v>
      </c>
      <c r="E59" s="2" t="s">
        <v>3</v>
      </c>
      <c r="F59" s="2" t="s">
        <v>213</v>
      </c>
      <c r="G59" s="2" t="s">
        <v>1</v>
      </c>
      <c r="H59" s="4" t="s">
        <v>14</v>
      </c>
      <c r="I59" s="57"/>
      <c r="J59" s="57"/>
      <c r="K59" s="57"/>
      <c r="L59" s="57"/>
      <c r="M59" s="57"/>
      <c r="N59" s="57"/>
      <c r="O59" s="57"/>
      <c r="P59" s="57"/>
      <c r="Q59" s="57"/>
      <c r="R59" s="42" t="str">
        <f t="shared" si="4"/>
        <v>41</v>
      </c>
      <c r="S59" s="42" t="s">
        <v>5</v>
      </c>
      <c r="T59" s="55" t="str">
        <f t="shared" si="5"/>
        <v>aa 00 04 21 1B 00 01 41 55</v>
      </c>
      <c r="U59" s="411" t="s">
        <v>144</v>
      </c>
      <c r="V59" s="556"/>
      <c r="W59" s="556"/>
      <c r="X59" s="556"/>
      <c r="Y59" s="556"/>
      <c r="Z59" s="556"/>
      <c r="AA59" s="556"/>
      <c r="AB59" s="412"/>
      <c r="AC59" t="s">
        <v>593</v>
      </c>
    </row>
    <row r="60" spans="2:29" ht="20.100000000000001" customHeight="1" x14ac:dyDescent="0.25">
      <c r="B60" s="1" t="s">
        <v>0</v>
      </c>
      <c r="C60" s="1" t="s">
        <v>1</v>
      </c>
      <c r="D60" s="1" t="s">
        <v>2</v>
      </c>
      <c r="E60" s="2" t="s">
        <v>3</v>
      </c>
      <c r="F60" s="2" t="s">
        <v>214</v>
      </c>
      <c r="G60" s="2" t="s">
        <v>1</v>
      </c>
      <c r="H60" s="4" t="s">
        <v>14</v>
      </c>
      <c r="I60" s="57"/>
      <c r="J60" s="57"/>
      <c r="K60" s="57"/>
      <c r="L60" s="57"/>
      <c r="M60" s="57"/>
      <c r="N60" s="57"/>
      <c r="O60" s="57"/>
      <c r="P60" s="57"/>
      <c r="Q60" s="57"/>
      <c r="R60" s="42" t="str">
        <f t="shared" si="4"/>
        <v>42</v>
      </c>
      <c r="S60" s="42" t="s">
        <v>5</v>
      </c>
      <c r="T60" s="55" t="str">
        <f t="shared" si="5"/>
        <v>aa 00 04 21 1C 00 01 42 55</v>
      </c>
      <c r="U60" s="411" t="s">
        <v>145</v>
      </c>
      <c r="V60" s="556"/>
      <c r="W60" s="556"/>
      <c r="X60" s="556"/>
      <c r="Y60" s="556"/>
      <c r="Z60" s="556"/>
      <c r="AA60" s="556"/>
      <c r="AB60" s="412"/>
      <c r="AC60" t="s">
        <v>593</v>
      </c>
    </row>
    <row r="61" spans="2:29" ht="20.100000000000001" customHeight="1" x14ac:dyDescent="0.25">
      <c r="B61" s="1" t="s">
        <v>0</v>
      </c>
      <c r="C61" s="1" t="s">
        <v>1</v>
      </c>
      <c r="D61" s="1" t="s">
        <v>2</v>
      </c>
      <c r="E61" s="2" t="s">
        <v>3</v>
      </c>
      <c r="F61" s="2" t="s">
        <v>215</v>
      </c>
      <c r="G61" s="2" t="s">
        <v>1</v>
      </c>
      <c r="H61" s="4" t="s">
        <v>14</v>
      </c>
      <c r="I61" s="57"/>
      <c r="J61" s="57"/>
      <c r="K61" s="57"/>
      <c r="L61" s="57"/>
      <c r="M61" s="57"/>
      <c r="N61" s="57"/>
      <c r="O61" s="57"/>
      <c r="P61" s="57"/>
      <c r="Q61" s="57"/>
      <c r="R61" s="42" t="str">
        <f t="shared" si="4"/>
        <v>43</v>
      </c>
      <c r="S61" s="42" t="s">
        <v>5</v>
      </c>
      <c r="T61" s="55" t="str">
        <f t="shared" si="5"/>
        <v>aa 00 04 21 1D 00 01 43 55</v>
      </c>
      <c r="U61" s="411" t="s">
        <v>146</v>
      </c>
      <c r="V61" s="556"/>
      <c r="W61" s="556"/>
      <c r="X61" s="556"/>
      <c r="Y61" s="556"/>
      <c r="Z61" s="556"/>
      <c r="AA61" s="556"/>
      <c r="AB61" s="412"/>
      <c r="AC61" t="s">
        <v>593</v>
      </c>
    </row>
    <row r="62" spans="2:29" ht="20.100000000000001" customHeight="1" x14ac:dyDescent="0.25">
      <c r="B62" s="1" t="s">
        <v>0</v>
      </c>
      <c r="C62" s="1" t="s">
        <v>1</v>
      </c>
      <c r="D62" s="1" t="s">
        <v>2</v>
      </c>
      <c r="E62" s="2" t="s">
        <v>3</v>
      </c>
      <c r="F62" s="2" t="s">
        <v>216</v>
      </c>
      <c r="G62" s="2" t="s">
        <v>1</v>
      </c>
      <c r="H62" s="4" t="s">
        <v>14</v>
      </c>
      <c r="I62" s="57"/>
      <c r="J62" s="57"/>
      <c r="K62" s="57"/>
      <c r="L62" s="57"/>
      <c r="M62" s="57"/>
      <c r="N62" s="57"/>
      <c r="O62" s="57"/>
      <c r="P62" s="57"/>
      <c r="Q62" s="57"/>
      <c r="R62" s="42" t="str">
        <f t="shared" si="4"/>
        <v>44</v>
      </c>
      <c r="S62" s="42" t="s">
        <v>5</v>
      </c>
      <c r="T62" s="55" t="str">
        <f t="shared" si="5"/>
        <v>aa 00 04 21 1E 00 01 44 55</v>
      </c>
      <c r="U62" s="411" t="s">
        <v>147</v>
      </c>
      <c r="V62" s="556"/>
      <c r="W62" s="556"/>
      <c r="X62" s="556"/>
      <c r="Y62" s="556"/>
      <c r="Z62" s="556"/>
      <c r="AA62" s="556"/>
      <c r="AB62" s="412"/>
      <c r="AC62" t="s">
        <v>593</v>
      </c>
    </row>
    <row r="63" spans="2:29" ht="20.100000000000001" customHeight="1" x14ac:dyDescent="0.25">
      <c r="B63" s="1" t="s">
        <v>0</v>
      </c>
      <c r="C63" s="1" t="s">
        <v>1</v>
      </c>
      <c r="D63" s="1" t="s">
        <v>2</v>
      </c>
      <c r="E63" s="2" t="s">
        <v>3</v>
      </c>
      <c r="F63" s="2" t="s">
        <v>217</v>
      </c>
      <c r="G63" s="2" t="s">
        <v>1</v>
      </c>
      <c r="H63" s="4" t="s">
        <v>14</v>
      </c>
      <c r="I63" s="57"/>
      <c r="J63" s="57"/>
      <c r="K63" s="57"/>
      <c r="L63" s="57"/>
      <c r="M63" s="57"/>
      <c r="N63" s="57"/>
      <c r="O63" s="57"/>
      <c r="P63" s="57"/>
      <c r="Q63" s="57"/>
      <c r="R63" s="42" t="str">
        <f t="shared" si="4"/>
        <v>45</v>
      </c>
      <c r="S63" s="42" t="s">
        <v>5</v>
      </c>
      <c r="T63" s="55" t="str">
        <f>IF(ISBLANK(B63),,B63&amp;" ")&amp;IF(ISBLANK(C63),,C63&amp;" ")&amp;IF(ISBLANK(D63),,D63&amp;" ")&amp;IF(ISBLANK(E63),,E63&amp;" ")&amp;IF(ISBLANK(F63),,F63&amp;" ")&amp;IF(ISBLANK(G63),,G63&amp;" ")&amp;IF(ISBLANK(H63),,H63&amp;" ")&amp;IF(ISBLANK(I63),,I63&amp;" ")&amp;IF(ISBLANK(J63),,J63&amp;" ")&amp;IF(ISBLANK(K63),,K63&amp;" ")&amp;IF(ISBLANK(L63),,L63&amp;" ")&amp;IF(ISBLANK(M63),,M63&amp;" ")&amp;IF(ISBLANK(N63),,N63&amp;" ")&amp;IF(ISBLANK(Q63),,Q63&amp;" ")&amp;IF(ISBLANK(R63),,R63&amp;" ")&amp;IF(ISBLANK(S63),,S63)</f>
        <v>aa 00 04 21 1F 00 01 45 55</v>
      </c>
      <c r="U63" s="411" t="s">
        <v>148</v>
      </c>
      <c r="V63" s="556"/>
      <c r="W63" s="556"/>
      <c r="X63" s="556"/>
      <c r="Y63" s="556"/>
      <c r="Z63" s="556"/>
      <c r="AA63" s="556"/>
      <c r="AB63" s="412"/>
      <c r="AC63" t="s">
        <v>593</v>
      </c>
    </row>
    <row r="64" spans="2:29" ht="20.100000000000001" customHeight="1" x14ac:dyDescent="0.25">
      <c r="B64" s="1" t="s">
        <v>0</v>
      </c>
      <c r="C64" s="1" t="s">
        <v>1</v>
      </c>
      <c r="D64" s="1" t="s">
        <v>2</v>
      </c>
      <c r="E64" s="2" t="s">
        <v>3</v>
      </c>
      <c r="F64" s="2" t="s">
        <v>167</v>
      </c>
      <c r="G64" s="2" t="s">
        <v>1</v>
      </c>
      <c r="H64" s="4" t="s">
        <v>14</v>
      </c>
      <c r="I64" s="57"/>
      <c r="J64" s="57"/>
      <c r="K64" s="57"/>
      <c r="L64" s="57"/>
      <c r="M64" s="57"/>
      <c r="N64" s="57"/>
      <c r="O64" s="57"/>
      <c r="P64" s="57"/>
      <c r="Q64" s="57"/>
      <c r="R64" s="42" t="str">
        <f t="shared" ref="R64:R93" si="6">DEC2HEX(MOD(HEX2DEC(C64)+HEX2DEC(D64)+HEX2DEC(E64)+HEX2DEC(F64)+HEX2DEC(G64)+HEX2DEC(H64)+HEX2DEC(I64)+HEX2DEC(J64)+HEX2DEC(K64)+HEX2DEC(L64)+HEX2DEC(M64)+HEX2DEC(N64)+HEX2DEC(Q64),256),2)</f>
        <v>46</v>
      </c>
      <c r="S64" s="42" t="s">
        <v>5</v>
      </c>
      <c r="T64" s="55" t="str">
        <f t="shared" ref="T64:T93" si="7">IF(ISBLANK(B64),,B64&amp;" ")&amp;IF(ISBLANK(C64),,C64&amp;" ")&amp;IF(ISBLANK(D64),,D64&amp;" ")&amp;IF(ISBLANK(E64),,E64&amp;" ")&amp;IF(ISBLANK(F64),,F64&amp;" ")&amp;IF(ISBLANK(G64),,G64&amp;" ")&amp;IF(ISBLANK(H64),,H64&amp;" ")&amp;IF(ISBLANK(I64),,I64&amp;" ")&amp;IF(ISBLANK(J64),,J64&amp;" ")&amp;IF(ISBLANK(K64),,K64&amp;" ")&amp;IF(ISBLANK(L64),,L64&amp;" ")&amp;IF(ISBLANK(M64),,M64&amp;" ")&amp;IF(ISBLANK(N64),,N64&amp;" ")&amp;IF(ISBLANK(Q64),,Q64&amp;" ")&amp;IF(ISBLANK(R64),,R64&amp;" ")&amp;IF(ISBLANK(S64),,S64)</f>
        <v>aa 00 04 21 20 00 01 46 55</v>
      </c>
      <c r="U64" s="411" t="s">
        <v>149</v>
      </c>
      <c r="V64" s="556"/>
      <c r="W64" s="556"/>
      <c r="X64" s="556"/>
      <c r="Y64" s="556"/>
      <c r="Z64" s="556"/>
      <c r="AA64" s="556"/>
      <c r="AB64" s="412"/>
      <c r="AC64" t="s">
        <v>593</v>
      </c>
    </row>
    <row r="65" spans="2:29" ht="20.100000000000001" customHeight="1" x14ac:dyDescent="0.25">
      <c r="B65" s="1" t="s">
        <v>0</v>
      </c>
      <c r="C65" s="1" t="s">
        <v>1</v>
      </c>
      <c r="D65" s="1" t="s">
        <v>2</v>
      </c>
      <c r="E65" s="2" t="s">
        <v>3</v>
      </c>
      <c r="F65" s="2" t="s">
        <v>168</v>
      </c>
      <c r="G65" s="2" t="s">
        <v>1</v>
      </c>
      <c r="H65" s="4" t="s">
        <v>14</v>
      </c>
      <c r="I65" s="57"/>
      <c r="J65" s="57"/>
      <c r="K65" s="57"/>
      <c r="L65" s="57"/>
      <c r="M65" s="57"/>
      <c r="N65" s="57"/>
      <c r="O65" s="57"/>
      <c r="P65" s="57"/>
      <c r="Q65" s="57"/>
      <c r="R65" s="42" t="str">
        <f t="shared" si="6"/>
        <v>47</v>
      </c>
      <c r="S65" s="42" t="s">
        <v>5</v>
      </c>
      <c r="T65" s="55" t="str">
        <f t="shared" si="7"/>
        <v>aa 00 04 21 21 00 01 47 55</v>
      </c>
      <c r="U65" s="411" t="s">
        <v>150</v>
      </c>
      <c r="V65" s="556"/>
      <c r="W65" s="556"/>
      <c r="X65" s="556"/>
      <c r="Y65" s="556"/>
      <c r="Z65" s="556"/>
      <c r="AA65" s="556"/>
      <c r="AB65" s="412"/>
      <c r="AC65" t="s">
        <v>593</v>
      </c>
    </row>
    <row r="66" spans="2:29" ht="20.100000000000001" customHeight="1" x14ac:dyDescent="0.25">
      <c r="B66" s="1" t="s">
        <v>0</v>
      </c>
      <c r="C66" s="1" t="s">
        <v>1</v>
      </c>
      <c r="D66" s="1" t="s">
        <v>2</v>
      </c>
      <c r="E66" s="2" t="s">
        <v>3</v>
      </c>
      <c r="F66" s="2" t="s">
        <v>169</v>
      </c>
      <c r="G66" s="2" t="s">
        <v>1</v>
      </c>
      <c r="H66" s="4" t="s">
        <v>14</v>
      </c>
      <c r="I66" s="57"/>
      <c r="J66" s="57"/>
      <c r="K66" s="57"/>
      <c r="L66" s="57"/>
      <c r="M66" s="57"/>
      <c r="N66" s="57"/>
      <c r="O66" s="57"/>
      <c r="P66" s="57"/>
      <c r="Q66" s="57"/>
      <c r="R66" s="42" t="str">
        <f t="shared" si="6"/>
        <v>48</v>
      </c>
      <c r="S66" s="42" t="s">
        <v>5</v>
      </c>
      <c r="T66" s="55" t="str">
        <f t="shared" si="7"/>
        <v>aa 00 04 21 22 00 01 48 55</v>
      </c>
      <c r="U66" s="411" t="s">
        <v>151</v>
      </c>
      <c r="V66" s="556"/>
      <c r="W66" s="556"/>
      <c r="X66" s="556"/>
      <c r="Y66" s="556"/>
      <c r="Z66" s="556"/>
      <c r="AA66" s="556"/>
      <c r="AB66" s="412"/>
      <c r="AC66" t="s">
        <v>593</v>
      </c>
    </row>
    <row r="67" spans="2:29" ht="20.100000000000001" customHeight="1" x14ac:dyDescent="0.25">
      <c r="B67" s="1" t="s">
        <v>0</v>
      </c>
      <c r="C67" s="1" t="s">
        <v>1</v>
      </c>
      <c r="D67" s="1" t="s">
        <v>2</v>
      </c>
      <c r="E67" s="2" t="s">
        <v>3</v>
      </c>
      <c r="F67" s="2" t="s">
        <v>170</v>
      </c>
      <c r="G67" s="2" t="s">
        <v>1</v>
      </c>
      <c r="H67" s="4" t="s">
        <v>14</v>
      </c>
      <c r="I67" s="57"/>
      <c r="J67" s="57"/>
      <c r="K67" s="57"/>
      <c r="L67" s="57"/>
      <c r="M67" s="57"/>
      <c r="N67" s="57"/>
      <c r="O67" s="57"/>
      <c r="P67" s="57"/>
      <c r="Q67" s="57"/>
      <c r="R67" s="42" t="str">
        <f t="shared" si="6"/>
        <v>49</v>
      </c>
      <c r="S67" s="42" t="s">
        <v>5</v>
      </c>
      <c r="T67" s="55" t="str">
        <f>IF(ISBLANK(B67),,B67&amp;" ")&amp;IF(ISBLANK(C67),,C67&amp;" ")&amp;IF(ISBLANK(D67),,D67&amp;" ")&amp;IF(ISBLANK(E67),,E67&amp;" ")&amp;IF(ISBLANK(F67),,F67&amp;" ")&amp;IF(ISBLANK(G67),,G67&amp;" ")&amp;IF(ISBLANK(H67),,H67&amp;" ")&amp;IF(ISBLANK(I67),,I67&amp;" ")&amp;IF(ISBLANK(J67),,J67&amp;" ")&amp;IF(ISBLANK(K67),,K67&amp;" ")&amp;IF(ISBLANK(L67),,L67&amp;" ")&amp;IF(ISBLANK(M67),,M67&amp;" ")&amp;IF(ISBLANK(N67),,N67&amp;" ")&amp;IF(ISBLANK(Q67),,Q67&amp;" ")&amp;IF(ISBLANK(R67),,R67&amp;" ")&amp;IF(ISBLANK(S67),,S67)</f>
        <v>aa 00 04 21 23 00 01 49 55</v>
      </c>
      <c r="U67" s="411" t="s">
        <v>152</v>
      </c>
      <c r="V67" s="556"/>
      <c r="W67" s="556"/>
      <c r="X67" s="556"/>
      <c r="Y67" s="556"/>
      <c r="Z67" s="556"/>
      <c r="AA67" s="556"/>
      <c r="AB67" s="412"/>
      <c r="AC67" t="s">
        <v>593</v>
      </c>
    </row>
    <row r="68" spans="2:29" ht="20.100000000000001" customHeight="1" x14ac:dyDescent="0.25">
      <c r="B68" s="1" t="s">
        <v>0</v>
      </c>
      <c r="C68" s="1" t="s">
        <v>1</v>
      </c>
      <c r="D68" s="1" t="s">
        <v>2</v>
      </c>
      <c r="E68" s="2" t="s">
        <v>3</v>
      </c>
      <c r="F68" s="2" t="s">
        <v>171</v>
      </c>
      <c r="G68" s="2" t="s">
        <v>1</v>
      </c>
      <c r="H68" s="4" t="s">
        <v>14</v>
      </c>
      <c r="I68" s="57"/>
      <c r="J68" s="57"/>
      <c r="K68" s="57"/>
      <c r="L68" s="57"/>
      <c r="M68" s="57"/>
      <c r="N68" s="57"/>
      <c r="O68" s="57"/>
      <c r="P68" s="57"/>
      <c r="Q68" s="57"/>
      <c r="R68" s="42" t="str">
        <f t="shared" si="6"/>
        <v>4A</v>
      </c>
      <c r="S68" s="42" t="s">
        <v>5</v>
      </c>
      <c r="T68" s="55" t="str">
        <f t="shared" si="7"/>
        <v>aa 00 04 21 24 00 01 4A 55</v>
      </c>
      <c r="U68" s="411" t="s">
        <v>153</v>
      </c>
      <c r="V68" s="556"/>
      <c r="W68" s="556"/>
      <c r="X68" s="556"/>
      <c r="Y68" s="556"/>
      <c r="Z68" s="556"/>
      <c r="AA68" s="556"/>
      <c r="AB68" s="412"/>
      <c r="AC68" t="s">
        <v>593</v>
      </c>
    </row>
    <row r="69" spans="2:29" ht="20.100000000000001" customHeight="1" x14ac:dyDescent="0.25">
      <c r="B69" s="1" t="s">
        <v>0</v>
      </c>
      <c r="C69" s="1" t="s">
        <v>1</v>
      </c>
      <c r="D69" s="1" t="s">
        <v>2</v>
      </c>
      <c r="E69" s="2" t="s">
        <v>3</v>
      </c>
      <c r="F69" s="2" t="s">
        <v>172</v>
      </c>
      <c r="G69" s="2" t="s">
        <v>1</v>
      </c>
      <c r="H69" s="4" t="s">
        <v>14</v>
      </c>
      <c r="I69" s="57"/>
      <c r="J69" s="57"/>
      <c r="K69" s="57"/>
      <c r="L69" s="57"/>
      <c r="M69" s="57"/>
      <c r="N69" s="57"/>
      <c r="O69" s="57"/>
      <c r="P69" s="57"/>
      <c r="Q69" s="57"/>
      <c r="R69" s="42" t="str">
        <f t="shared" si="6"/>
        <v>4B</v>
      </c>
      <c r="S69" s="42" t="s">
        <v>5</v>
      </c>
      <c r="T69" s="55" t="str">
        <f t="shared" si="7"/>
        <v>aa 00 04 21 25 00 01 4B 55</v>
      </c>
      <c r="U69" s="411" t="s">
        <v>154</v>
      </c>
      <c r="V69" s="556"/>
      <c r="W69" s="556"/>
      <c r="X69" s="556"/>
      <c r="Y69" s="556"/>
      <c r="Z69" s="556"/>
      <c r="AA69" s="556"/>
      <c r="AB69" s="412"/>
      <c r="AC69" t="s">
        <v>593</v>
      </c>
    </row>
    <row r="70" spans="2:29" ht="20.100000000000001" customHeight="1" x14ac:dyDescent="0.25">
      <c r="B70" s="1" t="s">
        <v>0</v>
      </c>
      <c r="C70" s="1" t="s">
        <v>1</v>
      </c>
      <c r="D70" s="1" t="s">
        <v>2</v>
      </c>
      <c r="E70" s="2" t="s">
        <v>3</v>
      </c>
      <c r="F70" s="2" t="s">
        <v>173</v>
      </c>
      <c r="G70" s="2" t="s">
        <v>1</v>
      </c>
      <c r="H70" s="4" t="s">
        <v>14</v>
      </c>
      <c r="I70" s="57"/>
      <c r="J70" s="57"/>
      <c r="K70" s="57"/>
      <c r="L70" s="57"/>
      <c r="M70" s="57"/>
      <c r="N70" s="57"/>
      <c r="O70" s="57"/>
      <c r="P70" s="57"/>
      <c r="Q70" s="57"/>
      <c r="R70" s="42" t="str">
        <f t="shared" si="6"/>
        <v>4C</v>
      </c>
      <c r="S70" s="42" t="s">
        <v>5</v>
      </c>
      <c r="T70" s="55" t="str">
        <f t="shared" si="7"/>
        <v>aa 00 04 21 26 00 01 4C 55</v>
      </c>
      <c r="U70" s="411" t="s">
        <v>155</v>
      </c>
      <c r="V70" s="556"/>
      <c r="W70" s="556"/>
      <c r="X70" s="556"/>
      <c r="Y70" s="556"/>
      <c r="Z70" s="556"/>
      <c r="AA70" s="556"/>
      <c r="AB70" s="412"/>
      <c r="AC70" t="s">
        <v>593</v>
      </c>
    </row>
    <row r="71" spans="2:29" ht="20.100000000000001" customHeight="1" x14ac:dyDescent="0.25">
      <c r="B71" s="1" t="s">
        <v>0</v>
      </c>
      <c r="C71" s="1" t="s">
        <v>1</v>
      </c>
      <c r="D71" s="1" t="s">
        <v>2</v>
      </c>
      <c r="E71" s="2" t="s">
        <v>3</v>
      </c>
      <c r="F71" s="2" t="s">
        <v>174</v>
      </c>
      <c r="G71" s="2" t="s">
        <v>1</v>
      </c>
      <c r="H71" s="4" t="s">
        <v>14</v>
      </c>
      <c r="I71" s="57"/>
      <c r="J71" s="57"/>
      <c r="K71" s="57"/>
      <c r="L71" s="57"/>
      <c r="M71" s="57"/>
      <c r="N71" s="57"/>
      <c r="O71" s="57"/>
      <c r="P71" s="57"/>
      <c r="Q71" s="57"/>
      <c r="R71" s="42" t="str">
        <f t="shared" si="6"/>
        <v>4D</v>
      </c>
      <c r="S71" s="42" t="s">
        <v>5</v>
      </c>
      <c r="T71" s="55" t="str">
        <f t="shared" si="7"/>
        <v>aa 00 04 21 27 00 01 4D 55</v>
      </c>
      <c r="U71" s="411" t="s">
        <v>156</v>
      </c>
      <c r="V71" s="556"/>
      <c r="W71" s="556"/>
      <c r="X71" s="556"/>
      <c r="Y71" s="556"/>
      <c r="Z71" s="556"/>
      <c r="AA71" s="556"/>
      <c r="AB71" s="412"/>
      <c r="AC71" t="s">
        <v>593</v>
      </c>
    </row>
    <row r="72" spans="2:29" ht="20.100000000000001" customHeight="1" x14ac:dyDescent="0.25">
      <c r="B72" s="1" t="s">
        <v>0</v>
      </c>
      <c r="C72" s="1" t="s">
        <v>1</v>
      </c>
      <c r="D72" s="1" t="s">
        <v>2</v>
      </c>
      <c r="E72" s="2" t="s">
        <v>3</v>
      </c>
      <c r="F72" s="2" t="s">
        <v>175</v>
      </c>
      <c r="G72" s="2" t="s">
        <v>1</v>
      </c>
      <c r="H72" s="4" t="s">
        <v>14</v>
      </c>
      <c r="I72" s="57"/>
      <c r="J72" s="57"/>
      <c r="K72" s="57"/>
      <c r="L72" s="57"/>
      <c r="M72" s="57"/>
      <c r="N72" s="57"/>
      <c r="O72" s="57"/>
      <c r="P72" s="57"/>
      <c r="Q72" s="57"/>
      <c r="R72" s="42" t="str">
        <f t="shared" si="6"/>
        <v>4E</v>
      </c>
      <c r="S72" s="42" t="s">
        <v>5</v>
      </c>
      <c r="T72" s="55" t="str">
        <f t="shared" si="7"/>
        <v>aa 00 04 21 28 00 01 4E 55</v>
      </c>
      <c r="U72" s="411" t="s">
        <v>187</v>
      </c>
      <c r="V72" s="556"/>
      <c r="W72" s="556"/>
      <c r="X72" s="556"/>
      <c r="Y72" s="556"/>
      <c r="Z72" s="556"/>
      <c r="AA72" s="556"/>
      <c r="AB72" s="412"/>
      <c r="AC72" t="s">
        <v>593</v>
      </c>
    </row>
    <row r="73" spans="2:29" s="39" customFormat="1" ht="20.100000000000001" customHeight="1" x14ac:dyDescent="0.25">
      <c r="B73" s="58"/>
      <c r="C73" s="58"/>
      <c r="D73" s="58"/>
      <c r="E73" s="59"/>
      <c r="F73" s="59"/>
      <c r="G73" s="59"/>
      <c r="H73" s="60"/>
      <c r="I73" s="61"/>
      <c r="J73" s="61"/>
      <c r="K73" s="61"/>
      <c r="L73" s="61"/>
      <c r="M73" s="61"/>
      <c r="N73" s="61"/>
      <c r="O73" s="61"/>
      <c r="P73" s="61"/>
      <c r="Q73" s="61"/>
      <c r="R73" s="62"/>
      <c r="S73" s="62"/>
      <c r="T73" s="53"/>
      <c r="U73" s="559"/>
      <c r="V73" s="559"/>
      <c r="W73" s="559"/>
      <c r="X73" s="559"/>
      <c r="Y73" s="559"/>
      <c r="Z73" s="559"/>
      <c r="AA73" s="559"/>
      <c r="AB73" s="559"/>
      <c r="AC73" t="s">
        <v>593</v>
      </c>
    </row>
    <row r="74" spans="2:29" ht="20.100000000000001" customHeight="1" x14ac:dyDescent="0.25">
      <c r="B74" s="1" t="s">
        <v>0</v>
      </c>
      <c r="C74" s="1" t="s">
        <v>1</v>
      </c>
      <c r="D74" s="1" t="s">
        <v>2</v>
      </c>
      <c r="E74" s="2" t="s">
        <v>3</v>
      </c>
      <c r="F74" s="2" t="s">
        <v>176</v>
      </c>
      <c r="G74" s="2" t="s">
        <v>1</v>
      </c>
      <c r="H74" s="4" t="s">
        <v>14</v>
      </c>
      <c r="I74" s="57"/>
      <c r="J74" s="57"/>
      <c r="K74" s="57"/>
      <c r="L74" s="57"/>
      <c r="M74" s="57"/>
      <c r="N74" s="57"/>
      <c r="O74" s="57"/>
      <c r="P74" s="57"/>
      <c r="Q74" s="57"/>
      <c r="R74" s="42" t="str">
        <f t="shared" si="6"/>
        <v>4F</v>
      </c>
      <c r="S74" s="42" t="s">
        <v>5</v>
      </c>
      <c r="T74" s="55" t="str">
        <f t="shared" si="7"/>
        <v>aa 00 04 21 29 00 01 4F 55</v>
      </c>
      <c r="U74" s="411" t="s">
        <v>287</v>
      </c>
      <c r="V74" s="556"/>
      <c r="W74" s="556"/>
      <c r="X74" s="556"/>
      <c r="Y74" s="556"/>
      <c r="Z74" s="556"/>
      <c r="AA74" s="556"/>
      <c r="AB74" s="412"/>
      <c r="AC74" t="s">
        <v>593</v>
      </c>
    </row>
    <row r="75" spans="2:29" ht="20.100000000000001" customHeight="1" x14ac:dyDescent="0.25">
      <c r="B75" s="1" t="s">
        <v>0</v>
      </c>
      <c r="C75" s="1" t="s">
        <v>1</v>
      </c>
      <c r="D75" s="1" t="s">
        <v>2</v>
      </c>
      <c r="E75" s="2" t="s">
        <v>3</v>
      </c>
      <c r="F75" s="2" t="s">
        <v>218</v>
      </c>
      <c r="G75" s="2" t="s">
        <v>1</v>
      </c>
      <c r="H75" s="4" t="s">
        <v>14</v>
      </c>
      <c r="I75" s="57"/>
      <c r="J75" s="57"/>
      <c r="K75" s="57"/>
      <c r="L75" s="57"/>
      <c r="M75" s="57"/>
      <c r="N75" s="57"/>
      <c r="O75" s="57"/>
      <c r="P75" s="57"/>
      <c r="Q75" s="57"/>
      <c r="R75" s="42" t="str">
        <f t="shared" si="6"/>
        <v>50</v>
      </c>
      <c r="S75" s="42" t="s">
        <v>5</v>
      </c>
      <c r="T75" s="55" t="str">
        <f t="shared" si="7"/>
        <v>aa 00 04 21 2A 00 01 50 55</v>
      </c>
      <c r="U75" s="411" t="s">
        <v>188</v>
      </c>
      <c r="V75" s="556"/>
      <c r="W75" s="556"/>
      <c r="X75" s="556"/>
      <c r="Y75" s="556"/>
      <c r="Z75" s="556"/>
      <c r="AA75" s="556"/>
      <c r="AB75" s="412"/>
      <c r="AC75" t="s">
        <v>593</v>
      </c>
    </row>
    <row r="76" spans="2:29" ht="20.100000000000001" customHeight="1" x14ac:dyDescent="0.25">
      <c r="B76" s="1" t="s">
        <v>0</v>
      </c>
      <c r="C76" s="1" t="s">
        <v>1</v>
      </c>
      <c r="D76" s="1" t="s">
        <v>2</v>
      </c>
      <c r="E76" s="2" t="s">
        <v>3</v>
      </c>
      <c r="F76" s="2" t="s">
        <v>219</v>
      </c>
      <c r="G76" s="2" t="s">
        <v>1</v>
      </c>
      <c r="H76" s="4" t="s">
        <v>14</v>
      </c>
      <c r="I76" s="57"/>
      <c r="J76" s="57"/>
      <c r="K76" s="57"/>
      <c r="L76" s="57"/>
      <c r="M76" s="57"/>
      <c r="N76" s="57"/>
      <c r="O76" s="57"/>
      <c r="P76" s="57"/>
      <c r="Q76" s="57"/>
      <c r="R76" s="42" t="str">
        <f t="shared" si="6"/>
        <v>51</v>
      </c>
      <c r="S76" s="42" t="s">
        <v>5</v>
      </c>
      <c r="T76" s="55" t="str">
        <f t="shared" si="7"/>
        <v>aa 00 04 21 2B 00 01 51 55</v>
      </c>
      <c r="U76" s="411" t="s">
        <v>189</v>
      </c>
      <c r="V76" s="556"/>
      <c r="W76" s="556"/>
      <c r="X76" s="556"/>
      <c r="Y76" s="556"/>
      <c r="Z76" s="556"/>
      <c r="AA76" s="556"/>
      <c r="AB76" s="412"/>
      <c r="AC76" t="s">
        <v>593</v>
      </c>
    </row>
    <row r="77" spans="2:29" ht="20.100000000000001" customHeight="1" x14ac:dyDescent="0.25">
      <c r="B77" s="1" t="s">
        <v>0</v>
      </c>
      <c r="C77" s="1" t="s">
        <v>1</v>
      </c>
      <c r="D77" s="1" t="s">
        <v>2</v>
      </c>
      <c r="E77" s="2" t="s">
        <v>3</v>
      </c>
      <c r="F77" s="2" t="s">
        <v>220</v>
      </c>
      <c r="G77" s="2" t="s">
        <v>1</v>
      </c>
      <c r="H77" s="4" t="s">
        <v>14</v>
      </c>
      <c r="I77" s="57"/>
      <c r="J77" s="57"/>
      <c r="K77" s="57"/>
      <c r="L77" s="57"/>
      <c r="M77" s="57"/>
      <c r="N77" s="57"/>
      <c r="O77" s="57"/>
      <c r="P77" s="57"/>
      <c r="Q77" s="57"/>
      <c r="R77" s="42" t="str">
        <f t="shared" si="6"/>
        <v>52</v>
      </c>
      <c r="S77" s="42" t="s">
        <v>5</v>
      </c>
      <c r="T77" s="55" t="str">
        <f t="shared" si="7"/>
        <v>aa 00 04 21 2C 00 01 52 55</v>
      </c>
      <c r="U77" s="411" t="s">
        <v>190</v>
      </c>
      <c r="V77" s="556"/>
      <c r="W77" s="556"/>
      <c r="X77" s="556"/>
      <c r="Y77" s="556"/>
      <c r="Z77" s="556"/>
      <c r="AA77" s="556"/>
      <c r="AB77" s="412"/>
      <c r="AC77" t="s">
        <v>593</v>
      </c>
    </row>
    <row r="78" spans="2:29" ht="20.100000000000001" customHeight="1" x14ac:dyDescent="0.25">
      <c r="B78" s="1" t="s">
        <v>0</v>
      </c>
      <c r="C78" s="1" t="s">
        <v>1</v>
      </c>
      <c r="D78" s="1" t="s">
        <v>2</v>
      </c>
      <c r="E78" s="2" t="s">
        <v>3</v>
      </c>
      <c r="F78" s="2" t="s">
        <v>221</v>
      </c>
      <c r="G78" s="2" t="s">
        <v>1</v>
      </c>
      <c r="H78" s="4" t="s">
        <v>14</v>
      </c>
      <c r="I78" s="57"/>
      <c r="J78" s="57"/>
      <c r="K78" s="57"/>
      <c r="L78" s="57"/>
      <c r="M78" s="57"/>
      <c r="N78" s="57"/>
      <c r="O78" s="57"/>
      <c r="P78" s="57"/>
      <c r="Q78" s="57"/>
      <c r="R78" s="42" t="str">
        <f t="shared" si="6"/>
        <v>53</v>
      </c>
      <c r="S78" s="42" t="s">
        <v>5</v>
      </c>
      <c r="T78" s="55" t="str">
        <f t="shared" si="7"/>
        <v>aa 00 04 21 2D 00 01 53 55</v>
      </c>
      <c r="U78" s="411" t="s">
        <v>191</v>
      </c>
      <c r="V78" s="556"/>
      <c r="W78" s="556"/>
      <c r="X78" s="556"/>
      <c r="Y78" s="556"/>
      <c r="Z78" s="556"/>
      <c r="AA78" s="556"/>
      <c r="AB78" s="412"/>
      <c r="AC78" t="s">
        <v>593</v>
      </c>
    </row>
    <row r="79" spans="2:29" ht="20.100000000000001" customHeight="1" x14ac:dyDescent="0.25">
      <c r="B79" s="1" t="s">
        <v>0</v>
      </c>
      <c r="C79" s="1" t="s">
        <v>1</v>
      </c>
      <c r="D79" s="1" t="s">
        <v>2</v>
      </c>
      <c r="E79" s="2" t="s">
        <v>3</v>
      </c>
      <c r="F79" s="2" t="s">
        <v>222</v>
      </c>
      <c r="G79" s="2" t="s">
        <v>1</v>
      </c>
      <c r="H79" s="4" t="s">
        <v>14</v>
      </c>
      <c r="I79" s="57"/>
      <c r="J79" s="57"/>
      <c r="K79" s="57"/>
      <c r="L79" s="57"/>
      <c r="M79" s="57"/>
      <c r="N79" s="57"/>
      <c r="O79" s="57"/>
      <c r="P79" s="57"/>
      <c r="Q79" s="57"/>
      <c r="R79" s="42" t="str">
        <f t="shared" si="6"/>
        <v>54</v>
      </c>
      <c r="S79" s="42" t="s">
        <v>5</v>
      </c>
      <c r="T79" s="55" t="str">
        <f t="shared" si="7"/>
        <v>aa 00 04 21 2E 00 01 54 55</v>
      </c>
      <c r="U79" s="411" t="s">
        <v>192</v>
      </c>
      <c r="V79" s="556"/>
      <c r="W79" s="556"/>
      <c r="X79" s="556"/>
      <c r="Y79" s="556"/>
      <c r="Z79" s="556"/>
      <c r="AA79" s="556"/>
      <c r="AB79" s="412"/>
      <c r="AC79" t="s">
        <v>593</v>
      </c>
    </row>
    <row r="80" spans="2:29" ht="20.100000000000001" customHeight="1" x14ac:dyDescent="0.25">
      <c r="B80" s="1" t="s">
        <v>0</v>
      </c>
      <c r="C80" s="1" t="s">
        <v>1</v>
      </c>
      <c r="D80" s="1" t="s">
        <v>2</v>
      </c>
      <c r="E80" s="2" t="s">
        <v>3</v>
      </c>
      <c r="F80" s="2" t="s">
        <v>223</v>
      </c>
      <c r="G80" s="2" t="s">
        <v>1</v>
      </c>
      <c r="H80" s="4" t="s">
        <v>14</v>
      </c>
      <c r="I80" s="57"/>
      <c r="J80" s="57"/>
      <c r="K80" s="57"/>
      <c r="L80" s="57"/>
      <c r="M80" s="57"/>
      <c r="N80" s="57"/>
      <c r="O80" s="57"/>
      <c r="P80" s="57"/>
      <c r="Q80" s="57"/>
      <c r="R80" s="42" t="str">
        <f t="shared" si="6"/>
        <v>55</v>
      </c>
      <c r="S80" s="42" t="s">
        <v>5</v>
      </c>
      <c r="T80" s="55" t="str">
        <f t="shared" si="7"/>
        <v>aa 00 04 21 2F 00 01 55 55</v>
      </c>
      <c r="U80" s="411" t="s">
        <v>193</v>
      </c>
      <c r="V80" s="556"/>
      <c r="W80" s="556"/>
      <c r="X80" s="556"/>
      <c r="Y80" s="556"/>
      <c r="Z80" s="556"/>
      <c r="AA80" s="556"/>
      <c r="AB80" s="412"/>
      <c r="AC80" t="s">
        <v>593</v>
      </c>
    </row>
    <row r="81" spans="2:29" ht="20.100000000000001" customHeight="1" x14ac:dyDescent="0.25">
      <c r="B81" s="1" t="s">
        <v>0</v>
      </c>
      <c r="C81" s="1" t="s">
        <v>1</v>
      </c>
      <c r="D81" s="1" t="s">
        <v>2</v>
      </c>
      <c r="E81" s="2" t="s">
        <v>3</v>
      </c>
      <c r="F81" s="2" t="s">
        <v>177</v>
      </c>
      <c r="G81" s="2" t="s">
        <v>1</v>
      </c>
      <c r="H81" s="4" t="s">
        <v>14</v>
      </c>
      <c r="I81" s="57"/>
      <c r="J81" s="57"/>
      <c r="K81" s="57"/>
      <c r="L81" s="57"/>
      <c r="M81" s="57"/>
      <c r="N81" s="57"/>
      <c r="O81" s="57"/>
      <c r="P81" s="57"/>
      <c r="Q81" s="57"/>
      <c r="R81" s="42" t="str">
        <f t="shared" si="6"/>
        <v>56</v>
      </c>
      <c r="S81" s="42" t="s">
        <v>5</v>
      </c>
      <c r="T81" s="55" t="str">
        <f t="shared" si="7"/>
        <v>aa 00 04 21 30 00 01 56 55</v>
      </c>
      <c r="U81" s="411" t="s">
        <v>194</v>
      </c>
      <c r="V81" s="556"/>
      <c r="W81" s="556"/>
      <c r="X81" s="556"/>
      <c r="Y81" s="556"/>
      <c r="Z81" s="556"/>
      <c r="AA81" s="556"/>
      <c r="AB81" s="412"/>
      <c r="AC81" t="s">
        <v>593</v>
      </c>
    </row>
    <row r="82" spans="2:29" ht="20.100000000000001" customHeight="1" x14ac:dyDescent="0.25">
      <c r="B82" s="1" t="s">
        <v>0</v>
      </c>
      <c r="C82" s="1" t="s">
        <v>1</v>
      </c>
      <c r="D82" s="1" t="s">
        <v>2</v>
      </c>
      <c r="E82" s="2" t="s">
        <v>3</v>
      </c>
      <c r="F82" s="2" t="s">
        <v>178</v>
      </c>
      <c r="G82" s="2" t="s">
        <v>1</v>
      </c>
      <c r="H82" s="4" t="s">
        <v>14</v>
      </c>
      <c r="I82" s="57"/>
      <c r="J82" s="57"/>
      <c r="K82" s="57"/>
      <c r="L82" s="57"/>
      <c r="M82" s="57"/>
      <c r="N82" s="57"/>
      <c r="O82" s="57"/>
      <c r="P82" s="57"/>
      <c r="Q82" s="57"/>
      <c r="R82" s="42" t="str">
        <f t="shared" si="6"/>
        <v>57</v>
      </c>
      <c r="S82" s="42" t="s">
        <v>5</v>
      </c>
      <c r="T82" s="55" t="str">
        <f t="shared" si="7"/>
        <v>aa 00 04 21 31 00 01 57 55</v>
      </c>
      <c r="U82" s="411" t="s">
        <v>195</v>
      </c>
      <c r="V82" s="556"/>
      <c r="W82" s="556"/>
      <c r="X82" s="556"/>
      <c r="Y82" s="556"/>
      <c r="Z82" s="556"/>
      <c r="AA82" s="556"/>
      <c r="AB82" s="412"/>
      <c r="AC82" t="s">
        <v>593</v>
      </c>
    </row>
    <row r="83" spans="2:29" ht="20.100000000000001" customHeight="1" x14ac:dyDescent="0.25">
      <c r="B83" s="1" t="s">
        <v>0</v>
      </c>
      <c r="C83" s="1" t="s">
        <v>1</v>
      </c>
      <c r="D83" s="1" t="s">
        <v>2</v>
      </c>
      <c r="E83" s="2" t="s">
        <v>3</v>
      </c>
      <c r="F83" s="2" t="s">
        <v>179</v>
      </c>
      <c r="G83" s="2" t="s">
        <v>1</v>
      </c>
      <c r="H83" s="4" t="s">
        <v>14</v>
      </c>
      <c r="I83" s="57"/>
      <c r="J83" s="57"/>
      <c r="K83" s="57"/>
      <c r="L83" s="57"/>
      <c r="M83" s="57"/>
      <c r="N83" s="57"/>
      <c r="O83" s="57"/>
      <c r="P83" s="57"/>
      <c r="Q83" s="57"/>
      <c r="R83" s="42" t="str">
        <f t="shared" si="6"/>
        <v>58</v>
      </c>
      <c r="S83" s="42" t="s">
        <v>5</v>
      </c>
      <c r="T83" s="55" t="str">
        <f t="shared" si="7"/>
        <v>aa 00 04 21 32 00 01 58 55</v>
      </c>
      <c r="U83" s="411" t="s">
        <v>196</v>
      </c>
      <c r="V83" s="556"/>
      <c r="W83" s="556"/>
      <c r="X83" s="556"/>
      <c r="Y83" s="556"/>
      <c r="Z83" s="556"/>
      <c r="AA83" s="556"/>
      <c r="AB83" s="412"/>
      <c r="AC83" t="s">
        <v>593</v>
      </c>
    </row>
    <row r="84" spans="2:29" ht="20.100000000000001" customHeight="1" x14ac:dyDescent="0.25">
      <c r="B84" s="1" t="s">
        <v>0</v>
      </c>
      <c r="C84" s="1" t="s">
        <v>1</v>
      </c>
      <c r="D84" s="1" t="s">
        <v>2</v>
      </c>
      <c r="E84" s="2" t="s">
        <v>3</v>
      </c>
      <c r="F84" s="2" t="s">
        <v>180</v>
      </c>
      <c r="G84" s="2" t="s">
        <v>1</v>
      </c>
      <c r="H84" s="4" t="s">
        <v>14</v>
      </c>
      <c r="I84" s="57"/>
      <c r="J84" s="57"/>
      <c r="K84" s="57"/>
      <c r="L84" s="57"/>
      <c r="M84" s="57"/>
      <c r="N84" s="57"/>
      <c r="O84" s="57"/>
      <c r="P84" s="57"/>
      <c r="Q84" s="57"/>
      <c r="R84" s="42" t="str">
        <f t="shared" si="6"/>
        <v>59</v>
      </c>
      <c r="S84" s="42" t="s">
        <v>5</v>
      </c>
      <c r="T84" s="55" t="str">
        <f t="shared" si="7"/>
        <v>aa 00 04 21 33 00 01 59 55</v>
      </c>
      <c r="U84" s="411" t="s">
        <v>197</v>
      </c>
      <c r="V84" s="556"/>
      <c r="W84" s="556"/>
      <c r="X84" s="556"/>
      <c r="Y84" s="556"/>
      <c r="Z84" s="556"/>
      <c r="AA84" s="556"/>
      <c r="AB84" s="412"/>
      <c r="AC84" t="s">
        <v>593</v>
      </c>
    </row>
    <row r="85" spans="2:29" ht="20.100000000000001" customHeight="1" x14ac:dyDescent="0.25">
      <c r="B85" s="1" t="s">
        <v>0</v>
      </c>
      <c r="C85" s="1" t="s">
        <v>1</v>
      </c>
      <c r="D85" s="1" t="s">
        <v>2</v>
      </c>
      <c r="E85" s="2" t="s">
        <v>3</v>
      </c>
      <c r="F85" s="2" t="s">
        <v>181</v>
      </c>
      <c r="G85" s="2" t="s">
        <v>1</v>
      </c>
      <c r="H85" s="4" t="s">
        <v>14</v>
      </c>
      <c r="I85" s="57"/>
      <c r="J85" s="57"/>
      <c r="K85" s="57"/>
      <c r="L85" s="57"/>
      <c r="M85" s="57"/>
      <c r="N85" s="57"/>
      <c r="O85" s="57"/>
      <c r="P85" s="57"/>
      <c r="Q85" s="57"/>
      <c r="R85" s="42" t="str">
        <f t="shared" si="6"/>
        <v>5A</v>
      </c>
      <c r="S85" s="42" t="s">
        <v>5</v>
      </c>
      <c r="T85" s="55" t="str">
        <f t="shared" si="7"/>
        <v>aa 00 04 21 34 00 01 5A 55</v>
      </c>
      <c r="U85" s="411" t="s">
        <v>198</v>
      </c>
      <c r="V85" s="556"/>
      <c r="W85" s="556"/>
      <c r="X85" s="556"/>
      <c r="Y85" s="556"/>
      <c r="Z85" s="556"/>
      <c r="AA85" s="556"/>
      <c r="AB85" s="412"/>
      <c r="AC85" t="s">
        <v>593</v>
      </c>
    </row>
    <row r="86" spans="2:29" ht="20.100000000000001" customHeight="1" x14ac:dyDescent="0.25">
      <c r="B86" s="1" t="s">
        <v>0</v>
      </c>
      <c r="C86" s="1" t="s">
        <v>1</v>
      </c>
      <c r="D86" s="1" t="s">
        <v>2</v>
      </c>
      <c r="E86" s="2" t="s">
        <v>3</v>
      </c>
      <c r="F86" s="2" t="s">
        <v>182</v>
      </c>
      <c r="G86" s="2" t="s">
        <v>1</v>
      </c>
      <c r="H86" s="4" t="s">
        <v>14</v>
      </c>
      <c r="I86" s="57"/>
      <c r="J86" s="57"/>
      <c r="K86" s="57"/>
      <c r="L86" s="57"/>
      <c r="M86" s="57"/>
      <c r="N86" s="57"/>
      <c r="O86" s="57"/>
      <c r="P86" s="57"/>
      <c r="Q86" s="57"/>
      <c r="R86" s="42" t="str">
        <f t="shared" si="6"/>
        <v>5B</v>
      </c>
      <c r="S86" s="42" t="s">
        <v>5</v>
      </c>
      <c r="T86" s="55" t="str">
        <f t="shared" si="7"/>
        <v>aa 00 04 21 35 00 01 5B 55</v>
      </c>
      <c r="U86" s="411" t="s">
        <v>199</v>
      </c>
      <c r="V86" s="556"/>
      <c r="W86" s="556"/>
      <c r="X86" s="556"/>
      <c r="Y86" s="556"/>
      <c r="Z86" s="556"/>
      <c r="AA86" s="556"/>
      <c r="AB86" s="412"/>
      <c r="AC86" t="s">
        <v>593</v>
      </c>
    </row>
    <row r="87" spans="2:29" ht="20.100000000000001" customHeight="1" x14ac:dyDescent="0.25">
      <c r="B87" s="1" t="s">
        <v>0</v>
      </c>
      <c r="C87" s="1" t="s">
        <v>1</v>
      </c>
      <c r="D87" s="1" t="s">
        <v>2</v>
      </c>
      <c r="E87" s="2" t="s">
        <v>3</v>
      </c>
      <c r="F87" s="2" t="s">
        <v>183</v>
      </c>
      <c r="G87" s="2" t="s">
        <v>1</v>
      </c>
      <c r="H87" s="4" t="s">
        <v>14</v>
      </c>
      <c r="I87" s="57"/>
      <c r="J87" s="57"/>
      <c r="K87" s="57"/>
      <c r="L87" s="57"/>
      <c r="M87" s="57"/>
      <c r="N87" s="57"/>
      <c r="O87" s="57"/>
      <c r="P87" s="57"/>
      <c r="Q87" s="57"/>
      <c r="R87" s="42" t="str">
        <f t="shared" si="6"/>
        <v>5C</v>
      </c>
      <c r="S87" s="42" t="s">
        <v>5</v>
      </c>
      <c r="T87" s="55" t="str">
        <f t="shared" si="7"/>
        <v>aa 00 04 21 36 00 01 5C 55</v>
      </c>
      <c r="U87" s="411" t="s">
        <v>200</v>
      </c>
      <c r="V87" s="556"/>
      <c r="W87" s="556"/>
      <c r="X87" s="556"/>
      <c r="Y87" s="556"/>
      <c r="Z87" s="556"/>
      <c r="AA87" s="556"/>
      <c r="AB87" s="412"/>
      <c r="AC87" t="s">
        <v>593</v>
      </c>
    </row>
    <row r="88" spans="2:29" ht="20.100000000000001" customHeight="1" x14ac:dyDescent="0.25">
      <c r="B88" s="1" t="s">
        <v>0</v>
      </c>
      <c r="C88" s="1" t="s">
        <v>1</v>
      </c>
      <c r="D88" s="1" t="s">
        <v>2</v>
      </c>
      <c r="E88" s="2" t="s">
        <v>3</v>
      </c>
      <c r="F88" s="2" t="s">
        <v>184</v>
      </c>
      <c r="G88" s="2" t="s">
        <v>1</v>
      </c>
      <c r="H88" s="4" t="s">
        <v>14</v>
      </c>
      <c r="I88" s="57"/>
      <c r="J88" s="57"/>
      <c r="K88" s="57"/>
      <c r="L88" s="57"/>
      <c r="M88" s="57"/>
      <c r="N88" s="57"/>
      <c r="O88" s="57"/>
      <c r="P88" s="57"/>
      <c r="Q88" s="57"/>
      <c r="R88" s="42" t="str">
        <f t="shared" si="6"/>
        <v>5D</v>
      </c>
      <c r="S88" s="42" t="s">
        <v>5</v>
      </c>
      <c r="T88" s="55" t="str">
        <f t="shared" si="7"/>
        <v>aa 00 04 21 37 00 01 5D 55</v>
      </c>
      <c r="U88" s="411" t="s">
        <v>201</v>
      </c>
      <c r="V88" s="556"/>
      <c r="W88" s="556"/>
      <c r="X88" s="556"/>
      <c r="Y88" s="556"/>
      <c r="Z88" s="556"/>
      <c r="AA88" s="556"/>
      <c r="AB88" s="412"/>
      <c r="AC88" t="s">
        <v>593</v>
      </c>
    </row>
    <row r="89" spans="2:29" ht="20.100000000000001" customHeight="1" x14ac:dyDescent="0.25">
      <c r="B89" s="1" t="s">
        <v>0</v>
      </c>
      <c r="C89" s="1" t="s">
        <v>1</v>
      </c>
      <c r="D89" s="1" t="s">
        <v>2</v>
      </c>
      <c r="E89" s="2" t="s">
        <v>3</v>
      </c>
      <c r="F89" s="2" t="s">
        <v>185</v>
      </c>
      <c r="G89" s="2" t="s">
        <v>1</v>
      </c>
      <c r="H89" s="4" t="s">
        <v>14</v>
      </c>
      <c r="I89" s="57"/>
      <c r="J89" s="57"/>
      <c r="K89" s="57"/>
      <c r="L89" s="57"/>
      <c r="M89" s="57"/>
      <c r="N89" s="57"/>
      <c r="O89" s="57"/>
      <c r="P89" s="57"/>
      <c r="Q89" s="57"/>
      <c r="R89" s="42" t="str">
        <f t="shared" si="6"/>
        <v>5E</v>
      </c>
      <c r="S89" s="42" t="s">
        <v>5</v>
      </c>
      <c r="T89" s="55" t="str">
        <f t="shared" si="7"/>
        <v>aa 00 04 21 38 00 01 5E 55</v>
      </c>
      <c r="U89" s="411" t="s">
        <v>202</v>
      </c>
      <c r="V89" s="556"/>
      <c r="W89" s="556"/>
      <c r="X89" s="556"/>
      <c r="Y89" s="556"/>
      <c r="Z89" s="556"/>
      <c r="AA89" s="556"/>
      <c r="AB89" s="412"/>
      <c r="AC89" t="s">
        <v>593</v>
      </c>
    </row>
    <row r="90" spans="2:29" ht="20.100000000000001" customHeight="1" x14ac:dyDescent="0.25">
      <c r="B90" s="1" t="s">
        <v>0</v>
      </c>
      <c r="C90" s="1" t="s">
        <v>1</v>
      </c>
      <c r="D90" s="1" t="s">
        <v>2</v>
      </c>
      <c r="E90" s="2" t="s">
        <v>3</v>
      </c>
      <c r="F90" s="2" t="s">
        <v>186</v>
      </c>
      <c r="G90" s="2" t="s">
        <v>1</v>
      </c>
      <c r="H90" s="4" t="s">
        <v>14</v>
      </c>
      <c r="I90" s="57"/>
      <c r="J90" s="57"/>
      <c r="K90" s="57"/>
      <c r="L90" s="57"/>
      <c r="M90" s="57"/>
      <c r="N90" s="57"/>
      <c r="O90" s="57"/>
      <c r="P90" s="57"/>
      <c r="Q90" s="57"/>
      <c r="R90" s="42" t="str">
        <f t="shared" si="6"/>
        <v>5F</v>
      </c>
      <c r="S90" s="42" t="s">
        <v>5</v>
      </c>
      <c r="T90" s="55" t="str">
        <f t="shared" si="7"/>
        <v>aa 00 04 21 39 00 01 5F 55</v>
      </c>
      <c r="U90" s="411" t="s">
        <v>203</v>
      </c>
      <c r="V90" s="556"/>
      <c r="W90" s="556"/>
      <c r="X90" s="556"/>
      <c r="Y90" s="556"/>
      <c r="Z90" s="556"/>
      <c r="AA90" s="556"/>
      <c r="AB90" s="412"/>
      <c r="AC90" t="s">
        <v>593</v>
      </c>
    </row>
    <row r="91" spans="2:29" ht="20.100000000000001" customHeight="1" x14ac:dyDescent="0.25">
      <c r="B91" s="1" t="s">
        <v>0</v>
      </c>
      <c r="C91" s="1" t="s">
        <v>1</v>
      </c>
      <c r="D91" s="1" t="s">
        <v>2</v>
      </c>
      <c r="E91" s="2" t="s">
        <v>3</v>
      </c>
      <c r="F91" s="2" t="s">
        <v>224</v>
      </c>
      <c r="G91" s="2" t="s">
        <v>1</v>
      </c>
      <c r="H91" s="4" t="s">
        <v>14</v>
      </c>
      <c r="I91" s="57"/>
      <c r="J91" s="57"/>
      <c r="K91" s="57"/>
      <c r="L91" s="57"/>
      <c r="M91" s="57"/>
      <c r="N91" s="57"/>
      <c r="O91" s="57"/>
      <c r="P91" s="57"/>
      <c r="Q91" s="57"/>
      <c r="R91" s="42" t="str">
        <f t="shared" si="6"/>
        <v>60</v>
      </c>
      <c r="S91" s="42" t="s">
        <v>5</v>
      </c>
      <c r="T91" s="55" t="str">
        <f t="shared" si="7"/>
        <v>aa 00 04 21 3A 00 01 60 55</v>
      </c>
      <c r="U91" s="411" t="s">
        <v>204</v>
      </c>
      <c r="V91" s="556"/>
      <c r="W91" s="556"/>
      <c r="X91" s="556"/>
      <c r="Y91" s="556"/>
      <c r="Z91" s="556"/>
      <c r="AA91" s="556"/>
      <c r="AB91" s="412"/>
      <c r="AC91" t="s">
        <v>593</v>
      </c>
    </row>
    <row r="92" spans="2:29" ht="20.100000000000001" customHeight="1" x14ac:dyDescent="0.25">
      <c r="B92" s="1" t="s">
        <v>0</v>
      </c>
      <c r="C92" s="1" t="s">
        <v>1</v>
      </c>
      <c r="D92" s="1" t="s">
        <v>2</v>
      </c>
      <c r="E92" s="2" t="s">
        <v>3</v>
      </c>
      <c r="F92" s="2" t="s">
        <v>225</v>
      </c>
      <c r="G92" s="2" t="s">
        <v>1</v>
      </c>
      <c r="H92" s="4" t="s">
        <v>14</v>
      </c>
      <c r="I92" s="57"/>
      <c r="J92" s="57"/>
      <c r="K92" s="57"/>
      <c r="L92" s="57"/>
      <c r="M92" s="57"/>
      <c r="N92" s="57"/>
      <c r="O92" s="57"/>
      <c r="P92" s="57"/>
      <c r="Q92" s="57"/>
      <c r="R92" s="42" t="str">
        <f t="shared" si="6"/>
        <v>61</v>
      </c>
      <c r="S92" s="42" t="s">
        <v>5</v>
      </c>
      <c r="T92" s="55" t="str">
        <f t="shared" si="7"/>
        <v>aa 00 04 21 3B 00 01 61 55</v>
      </c>
      <c r="U92" s="411" t="s">
        <v>205</v>
      </c>
      <c r="V92" s="556"/>
      <c r="W92" s="556"/>
      <c r="X92" s="556"/>
      <c r="Y92" s="556"/>
      <c r="Z92" s="556"/>
      <c r="AA92" s="556"/>
      <c r="AB92" s="412"/>
      <c r="AC92" t="s">
        <v>593</v>
      </c>
    </row>
    <row r="93" spans="2:29" ht="20.100000000000001" customHeight="1" x14ac:dyDescent="0.25">
      <c r="B93" s="1" t="s">
        <v>0</v>
      </c>
      <c r="C93" s="1" t="s">
        <v>1</v>
      </c>
      <c r="D93" s="1" t="s">
        <v>2</v>
      </c>
      <c r="E93" s="2" t="s">
        <v>3</v>
      </c>
      <c r="F93" s="2" t="s">
        <v>226</v>
      </c>
      <c r="G93" s="2" t="s">
        <v>1</v>
      </c>
      <c r="H93" s="4" t="s">
        <v>14</v>
      </c>
      <c r="I93" s="57"/>
      <c r="J93" s="57"/>
      <c r="K93" s="57"/>
      <c r="L93" s="57"/>
      <c r="M93" s="57"/>
      <c r="N93" s="57"/>
      <c r="O93" s="57"/>
      <c r="P93" s="57"/>
      <c r="Q93" s="57"/>
      <c r="R93" s="42" t="str">
        <f t="shared" si="6"/>
        <v>62</v>
      </c>
      <c r="S93" s="42" t="s">
        <v>5</v>
      </c>
      <c r="T93" s="55" t="str">
        <f t="shared" si="7"/>
        <v>aa 00 04 21 3C 00 01 62 55</v>
      </c>
      <c r="U93" s="411" t="s">
        <v>206</v>
      </c>
      <c r="V93" s="556"/>
      <c r="W93" s="556"/>
      <c r="X93" s="556"/>
      <c r="Y93" s="556"/>
      <c r="Z93" s="556"/>
      <c r="AA93" s="556"/>
      <c r="AB93" s="412"/>
      <c r="AC93" t="s">
        <v>593</v>
      </c>
    </row>
    <row r="95" spans="2:29" ht="15" customHeight="1" x14ac:dyDescent="0.25">
      <c r="B95" s="1" t="s">
        <v>0</v>
      </c>
      <c r="C95" s="1" t="s">
        <v>1</v>
      </c>
      <c r="D95" s="1" t="s">
        <v>2</v>
      </c>
      <c r="E95" s="2" t="s">
        <v>3</v>
      </c>
      <c r="F95" s="2" t="s">
        <v>584</v>
      </c>
      <c r="G95" s="2" t="s">
        <v>1</v>
      </c>
      <c r="H95" s="4" t="s">
        <v>14</v>
      </c>
      <c r="I95" s="57"/>
      <c r="J95" s="57"/>
      <c r="K95" s="57"/>
      <c r="L95" s="57"/>
      <c r="M95" s="57"/>
      <c r="N95" s="57"/>
      <c r="O95" s="57"/>
      <c r="P95" s="57"/>
      <c r="Q95" s="57"/>
      <c r="R95" s="42" t="str">
        <f t="shared" ref="R95" si="8">DEC2HEX(MOD(HEX2DEC(C95)+HEX2DEC(D95)+HEX2DEC(E95)+HEX2DEC(F95)+HEX2DEC(G95)+HEX2DEC(H95)+HEX2DEC(I95)+HEX2DEC(J95)+HEX2DEC(K95)+HEX2DEC(L95)+HEX2DEC(M95)+HEX2DEC(N95)+HEX2DEC(Q95),256),2)</f>
        <v>63</v>
      </c>
      <c r="S95" s="42" t="s">
        <v>5</v>
      </c>
      <c r="T95" s="55" t="str">
        <f t="shared" ref="T95" si="9">IF(ISBLANK(B95),,B95&amp;" ")&amp;IF(ISBLANK(C95),,C95&amp;" ")&amp;IF(ISBLANK(D95),,D95&amp;" ")&amp;IF(ISBLANK(E95),,E95&amp;" ")&amp;IF(ISBLANK(F95),,F95&amp;" ")&amp;IF(ISBLANK(G95),,G95&amp;" ")&amp;IF(ISBLANK(H95),,H95&amp;" ")&amp;IF(ISBLANK(I95),,I95&amp;" ")&amp;IF(ISBLANK(J95),,J95&amp;" ")&amp;IF(ISBLANK(K95),,K95&amp;" ")&amp;IF(ISBLANK(L95),,L95&amp;" ")&amp;IF(ISBLANK(M95),,M95&amp;" ")&amp;IF(ISBLANK(N95),,N95&amp;" ")&amp;IF(ISBLANK(Q95),,Q95&amp;" ")&amp;IF(ISBLANK(R95),,R95&amp;" ")&amp;IF(ISBLANK(S95),,S95)</f>
        <v>aa 00 04 21 3D 00 01 63 55</v>
      </c>
      <c r="U95" s="411" t="s">
        <v>206</v>
      </c>
      <c r="V95" s="556"/>
      <c r="W95" s="556"/>
      <c r="X95" s="556"/>
      <c r="Y95" s="556"/>
      <c r="Z95" s="556"/>
      <c r="AA95" s="556"/>
      <c r="AB95" s="412"/>
      <c r="AC95" t="s">
        <v>593</v>
      </c>
    </row>
    <row r="96" spans="2:29" ht="15" customHeight="1" x14ac:dyDescent="0.25">
      <c r="B96" s="1" t="s">
        <v>0</v>
      </c>
      <c r="C96" s="1" t="s">
        <v>1</v>
      </c>
      <c r="D96" s="1" t="s">
        <v>2</v>
      </c>
      <c r="E96" s="2" t="s">
        <v>3</v>
      </c>
      <c r="F96" s="2" t="s">
        <v>585</v>
      </c>
      <c r="G96" s="2" t="s">
        <v>1</v>
      </c>
      <c r="H96" s="4" t="s">
        <v>14</v>
      </c>
      <c r="I96" s="57"/>
      <c r="J96" s="57"/>
      <c r="K96" s="57"/>
      <c r="L96" s="57"/>
      <c r="M96" s="57"/>
      <c r="N96" s="57"/>
      <c r="O96" s="57"/>
      <c r="P96" s="57"/>
      <c r="Q96" s="57"/>
      <c r="R96" s="42" t="str">
        <f t="shared" ref="R96:R103" si="10">DEC2HEX(MOD(HEX2DEC(C96)+HEX2DEC(D96)+HEX2DEC(E96)+HEX2DEC(F96)+HEX2DEC(G96)+HEX2DEC(H96)+HEX2DEC(I96)+HEX2DEC(J96)+HEX2DEC(K96)+HEX2DEC(L96)+HEX2DEC(M96)+HEX2DEC(N96)+HEX2DEC(Q96),256),2)</f>
        <v>64</v>
      </c>
      <c r="S96" s="42" t="s">
        <v>5</v>
      </c>
      <c r="T96" s="55" t="str">
        <f t="shared" ref="T96:T103" si="11">IF(ISBLANK(B96),,B96&amp;" ")&amp;IF(ISBLANK(C96),,C96&amp;" ")&amp;IF(ISBLANK(D96),,D96&amp;" ")&amp;IF(ISBLANK(E96),,E96&amp;" ")&amp;IF(ISBLANK(F96),,F96&amp;" ")&amp;IF(ISBLANK(G96),,G96&amp;" ")&amp;IF(ISBLANK(H96),,H96&amp;" ")&amp;IF(ISBLANK(I96),,I96&amp;" ")&amp;IF(ISBLANK(J96),,J96&amp;" ")&amp;IF(ISBLANK(K96),,K96&amp;" ")&amp;IF(ISBLANK(L96),,L96&amp;" ")&amp;IF(ISBLANK(M96),,M96&amp;" ")&amp;IF(ISBLANK(N96),,N96&amp;" ")&amp;IF(ISBLANK(Q96),,Q96&amp;" ")&amp;IF(ISBLANK(R96),,R96&amp;" ")&amp;IF(ISBLANK(S96),,S96)</f>
        <v>aa 00 04 21 3E 00 01 64 55</v>
      </c>
      <c r="U96" s="411" t="s">
        <v>576</v>
      </c>
      <c r="V96" s="556"/>
      <c r="W96" s="556"/>
      <c r="X96" s="556"/>
      <c r="Y96" s="556"/>
      <c r="Z96" s="556"/>
      <c r="AA96" s="556"/>
      <c r="AB96" s="412"/>
      <c r="AC96" t="s">
        <v>593</v>
      </c>
    </row>
    <row r="97" spans="2:29" ht="15" customHeight="1" x14ac:dyDescent="0.25">
      <c r="B97" s="1" t="s">
        <v>0</v>
      </c>
      <c r="C97" s="1" t="s">
        <v>1</v>
      </c>
      <c r="D97" s="1" t="s">
        <v>2</v>
      </c>
      <c r="E97" s="2" t="s">
        <v>3</v>
      </c>
      <c r="F97" s="2" t="s">
        <v>586</v>
      </c>
      <c r="G97" s="2" t="s">
        <v>1</v>
      </c>
      <c r="H97" s="4" t="s">
        <v>14</v>
      </c>
      <c r="I97" s="57"/>
      <c r="J97" s="57"/>
      <c r="K97" s="57"/>
      <c r="L97" s="57"/>
      <c r="M97" s="57"/>
      <c r="N97" s="57"/>
      <c r="O97" s="57"/>
      <c r="P97" s="57"/>
      <c r="Q97" s="57"/>
      <c r="R97" s="42" t="str">
        <f t="shared" si="10"/>
        <v>65</v>
      </c>
      <c r="S97" s="42" t="s">
        <v>5</v>
      </c>
      <c r="T97" s="55" t="str">
        <f t="shared" si="11"/>
        <v>aa 00 04 21 3F 00 01 65 55</v>
      </c>
      <c r="U97" s="411" t="s">
        <v>577</v>
      </c>
      <c r="V97" s="556"/>
      <c r="W97" s="556"/>
      <c r="X97" s="556"/>
      <c r="Y97" s="556"/>
      <c r="Z97" s="556"/>
      <c r="AA97" s="556"/>
      <c r="AB97" s="412"/>
      <c r="AC97" t="s">
        <v>593</v>
      </c>
    </row>
    <row r="98" spans="2:29" ht="15" customHeight="1" x14ac:dyDescent="0.25">
      <c r="B98" s="1" t="s">
        <v>0</v>
      </c>
      <c r="C98" s="1" t="s">
        <v>1</v>
      </c>
      <c r="D98" s="1" t="s">
        <v>2</v>
      </c>
      <c r="E98" s="2" t="s">
        <v>3</v>
      </c>
      <c r="F98" s="2" t="s">
        <v>587</v>
      </c>
      <c r="G98" s="2" t="s">
        <v>1</v>
      </c>
      <c r="H98" s="4" t="s">
        <v>14</v>
      </c>
      <c r="I98" s="57"/>
      <c r="J98" s="57"/>
      <c r="K98" s="57"/>
      <c r="L98" s="57"/>
      <c r="M98" s="57"/>
      <c r="N98" s="57"/>
      <c r="O98" s="57"/>
      <c r="P98" s="57"/>
      <c r="Q98" s="57"/>
      <c r="R98" s="42" t="str">
        <f t="shared" si="10"/>
        <v>66</v>
      </c>
      <c r="S98" s="42" t="s">
        <v>5</v>
      </c>
      <c r="T98" s="55" t="str">
        <f t="shared" si="11"/>
        <v>aa 00 04 21 40 00 01 66 55</v>
      </c>
      <c r="U98" s="411" t="s">
        <v>578</v>
      </c>
      <c r="V98" s="556"/>
      <c r="W98" s="556"/>
      <c r="X98" s="556"/>
      <c r="Y98" s="556"/>
      <c r="Z98" s="556"/>
      <c r="AA98" s="556"/>
      <c r="AB98" s="412"/>
      <c r="AC98" t="s">
        <v>593</v>
      </c>
    </row>
    <row r="99" spans="2:29" ht="15" customHeight="1" x14ac:dyDescent="0.25">
      <c r="B99" s="1" t="s">
        <v>0</v>
      </c>
      <c r="C99" s="1" t="s">
        <v>1</v>
      </c>
      <c r="D99" s="1" t="s">
        <v>2</v>
      </c>
      <c r="E99" s="2" t="s">
        <v>3</v>
      </c>
      <c r="F99" s="2" t="s">
        <v>588</v>
      </c>
      <c r="G99" s="2" t="s">
        <v>1</v>
      </c>
      <c r="H99" s="4" t="s">
        <v>14</v>
      </c>
      <c r="I99" s="57"/>
      <c r="J99" s="57"/>
      <c r="K99" s="57"/>
      <c r="L99" s="57"/>
      <c r="M99" s="57"/>
      <c r="N99" s="57"/>
      <c r="O99" s="57"/>
      <c r="P99" s="57"/>
      <c r="Q99" s="57"/>
      <c r="R99" s="42" t="str">
        <f t="shared" si="10"/>
        <v>67</v>
      </c>
      <c r="S99" s="42" t="s">
        <v>5</v>
      </c>
      <c r="T99" s="55" t="str">
        <f t="shared" si="11"/>
        <v>aa 00 04 21 41 00 01 67 55</v>
      </c>
      <c r="U99" s="411" t="s">
        <v>579</v>
      </c>
      <c r="V99" s="556"/>
      <c r="W99" s="556"/>
      <c r="X99" s="556"/>
      <c r="Y99" s="556"/>
      <c r="Z99" s="556"/>
      <c r="AA99" s="556"/>
      <c r="AB99" s="412"/>
      <c r="AC99" t="s">
        <v>593</v>
      </c>
    </row>
    <row r="100" spans="2:29" ht="15" customHeight="1" x14ac:dyDescent="0.25">
      <c r="B100" s="1" t="s">
        <v>0</v>
      </c>
      <c r="C100" s="1" t="s">
        <v>1</v>
      </c>
      <c r="D100" s="1" t="s">
        <v>2</v>
      </c>
      <c r="E100" s="2" t="s">
        <v>3</v>
      </c>
      <c r="F100" s="2" t="s">
        <v>589</v>
      </c>
      <c r="G100" s="2" t="s">
        <v>1</v>
      </c>
      <c r="H100" s="4" t="s">
        <v>14</v>
      </c>
      <c r="I100" s="57"/>
      <c r="J100" s="57"/>
      <c r="K100" s="57"/>
      <c r="L100" s="57"/>
      <c r="M100" s="57"/>
      <c r="N100" s="57"/>
      <c r="O100" s="57"/>
      <c r="P100" s="57"/>
      <c r="Q100" s="57"/>
      <c r="R100" s="42" t="str">
        <f t="shared" si="10"/>
        <v>68</v>
      </c>
      <c r="S100" s="42" t="s">
        <v>5</v>
      </c>
      <c r="T100" s="55" t="str">
        <f t="shared" si="11"/>
        <v>aa 00 04 21 42 00 01 68 55</v>
      </c>
      <c r="U100" s="411" t="s">
        <v>580</v>
      </c>
      <c r="V100" s="556"/>
      <c r="W100" s="556"/>
      <c r="X100" s="556"/>
      <c r="Y100" s="556"/>
      <c r="Z100" s="556"/>
      <c r="AA100" s="556"/>
      <c r="AB100" s="412"/>
      <c r="AC100" t="s">
        <v>593</v>
      </c>
    </row>
    <row r="101" spans="2:29" ht="15" customHeight="1" x14ac:dyDescent="0.25">
      <c r="B101" s="1" t="s">
        <v>0</v>
      </c>
      <c r="C101" s="1" t="s">
        <v>1</v>
      </c>
      <c r="D101" s="1" t="s">
        <v>2</v>
      </c>
      <c r="E101" s="2" t="s">
        <v>3</v>
      </c>
      <c r="F101" s="2" t="s">
        <v>590</v>
      </c>
      <c r="G101" s="2" t="s">
        <v>1</v>
      </c>
      <c r="H101" s="4" t="s">
        <v>14</v>
      </c>
      <c r="I101" s="57"/>
      <c r="J101" s="57"/>
      <c r="K101" s="57"/>
      <c r="L101" s="57"/>
      <c r="M101" s="57"/>
      <c r="N101" s="57"/>
      <c r="O101" s="57"/>
      <c r="P101" s="57"/>
      <c r="Q101" s="57"/>
      <c r="R101" s="42" t="str">
        <f t="shared" si="10"/>
        <v>69</v>
      </c>
      <c r="S101" s="42" t="s">
        <v>5</v>
      </c>
      <c r="T101" s="55" t="str">
        <f t="shared" si="11"/>
        <v>aa 00 04 21 43 00 01 69 55</v>
      </c>
      <c r="U101" s="411" t="s">
        <v>581</v>
      </c>
      <c r="V101" s="556"/>
      <c r="W101" s="556"/>
      <c r="X101" s="556"/>
      <c r="Y101" s="556"/>
      <c r="Z101" s="556"/>
      <c r="AA101" s="556"/>
      <c r="AB101" s="412"/>
      <c r="AC101" t="s">
        <v>593</v>
      </c>
    </row>
    <row r="102" spans="2:29" ht="15" customHeight="1" x14ac:dyDescent="0.25">
      <c r="B102" s="1" t="s">
        <v>0</v>
      </c>
      <c r="C102" s="1" t="s">
        <v>1</v>
      </c>
      <c r="D102" s="1" t="s">
        <v>2</v>
      </c>
      <c r="E102" s="2" t="s">
        <v>3</v>
      </c>
      <c r="F102" s="2" t="s">
        <v>591</v>
      </c>
      <c r="G102" s="2" t="s">
        <v>1</v>
      </c>
      <c r="H102" s="4" t="s">
        <v>14</v>
      </c>
      <c r="I102" s="57"/>
      <c r="J102" s="57"/>
      <c r="K102" s="57"/>
      <c r="L102" s="57"/>
      <c r="M102" s="57"/>
      <c r="N102" s="57"/>
      <c r="O102" s="57"/>
      <c r="P102" s="57"/>
      <c r="Q102" s="57"/>
      <c r="R102" s="42" t="str">
        <f t="shared" si="10"/>
        <v>6A</v>
      </c>
      <c r="S102" s="42" t="s">
        <v>5</v>
      </c>
      <c r="T102" s="55" t="str">
        <f t="shared" si="11"/>
        <v>aa 00 04 21 44 00 01 6A 55</v>
      </c>
      <c r="U102" s="411" t="s">
        <v>582</v>
      </c>
      <c r="V102" s="556"/>
      <c r="W102" s="556"/>
      <c r="X102" s="556"/>
      <c r="Y102" s="556"/>
      <c r="Z102" s="556"/>
      <c r="AA102" s="556"/>
      <c r="AB102" s="412"/>
      <c r="AC102" t="s">
        <v>593</v>
      </c>
    </row>
    <row r="103" spans="2:29" ht="15" customHeight="1" x14ac:dyDescent="0.25">
      <c r="B103" s="1" t="s">
        <v>0</v>
      </c>
      <c r="C103" s="1" t="s">
        <v>1</v>
      </c>
      <c r="D103" s="1" t="s">
        <v>2</v>
      </c>
      <c r="E103" s="2" t="s">
        <v>3</v>
      </c>
      <c r="F103" s="2" t="s">
        <v>592</v>
      </c>
      <c r="G103" s="2" t="s">
        <v>1</v>
      </c>
      <c r="H103" s="4" t="s">
        <v>14</v>
      </c>
      <c r="I103" s="57"/>
      <c r="J103" s="57"/>
      <c r="K103" s="57"/>
      <c r="L103" s="57"/>
      <c r="M103" s="57"/>
      <c r="N103" s="57"/>
      <c r="O103" s="57"/>
      <c r="P103" s="57"/>
      <c r="Q103" s="57"/>
      <c r="R103" s="42" t="str">
        <f t="shared" si="10"/>
        <v>6B</v>
      </c>
      <c r="S103" s="42" t="s">
        <v>5</v>
      </c>
      <c r="T103" s="55" t="str">
        <f t="shared" si="11"/>
        <v>aa 00 04 21 45 00 01 6B 55</v>
      </c>
      <c r="U103" s="411" t="s">
        <v>583</v>
      </c>
      <c r="V103" s="556"/>
      <c r="W103" s="556"/>
      <c r="X103" s="556"/>
      <c r="Y103" s="556"/>
      <c r="Z103" s="556"/>
      <c r="AA103" s="556"/>
      <c r="AB103" s="412"/>
      <c r="AC103" t="s">
        <v>593</v>
      </c>
    </row>
  </sheetData>
  <mergeCells count="96">
    <mergeCell ref="U75:AB75"/>
    <mergeCell ref="U76:AB76"/>
    <mergeCell ref="U77:AB77"/>
    <mergeCell ref="U79:AB79"/>
    <mergeCell ref="U80:AB80"/>
    <mergeCell ref="U78:AB78"/>
    <mergeCell ref="U81:AB81"/>
    <mergeCell ref="U82:AB82"/>
    <mergeCell ref="U93:AB93"/>
    <mergeCell ref="U92:AB92"/>
    <mergeCell ref="U87:AB87"/>
    <mergeCell ref="U88:AB88"/>
    <mergeCell ref="U89:AB89"/>
    <mergeCell ref="U90:AB90"/>
    <mergeCell ref="U91:AB91"/>
    <mergeCell ref="U86:AB86"/>
    <mergeCell ref="U83:AB83"/>
    <mergeCell ref="U84:AB84"/>
    <mergeCell ref="U85:AB85"/>
    <mergeCell ref="U74:AB74"/>
    <mergeCell ref="U63:AB63"/>
    <mergeCell ref="U64:AB64"/>
    <mergeCell ref="U65:AB65"/>
    <mergeCell ref="U66:AB66"/>
    <mergeCell ref="U67:AB67"/>
    <mergeCell ref="U68:AB68"/>
    <mergeCell ref="U69:AB69"/>
    <mergeCell ref="U70:AB70"/>
    <mergeCell ref="U71:AB71"/>
    <mergeCell ref="U72:AB72"/>
    <mergeCell ref="U73:AB73"/>
    <mergeCell ref="U62:AB62"/>
    <mergeCell ref="U51:AB51"/>
    <mergeCell ref="U52:AB52"/>
    <mergeCell ref="U53:AB53"/>
    <mergeCell ref="U54:AB54"/>
    <mergeCell ref="U55:AB55"/>
    <mergeCell ref="U56:AB56"/>
    <mergeCell ref="U57:AB57"/>
    <mergeCell ref="U58:AB58"/>
    <mergeCell ref="U59:AB59"/>
    <mergeCell ref="U60:AB60"/>
    <mergeCell ref="U61:AB61"/>
    <mergeCell ref="U37:AB37"/>
    <mergeCell ref="U50:AB50"/>
    <mergeCell ref="U39:AB39"/>
    <mergeCell ref="U40:AB40"/>
    <mergeCell ref="U41:AB41"/>
    <mergeCell ref="U42:AB42"/>
    <mergeCell ref="U43:AB43"/>
    <mergeCell ref="U44:AB44"/>
    <mergeCell ref="U45:AB45"/>
    <mergeCell ref="U46:AB46"/>
    <mergeCell ref="U47:AB47"/>
    <mergeCell ref="U48:AB48"/>
    <mergeCell ref="U49:AB49"/>
    <mergeCell ref="U38:AB38"/>
    <mergeCell ref="H3:Q3"/>
    <mergeCell ref="B2:AB2"/>
    <mergeCell ref="U3:AB3"/>
    <mergeCell ref="U4:AB4"/>
    <mergeCell ref="B4:S4"/>
    <mergeCell ref="B28:S28"/>
    <mergeCell ref="U22:AB22"/>
    <mergeCell ref="U23:AB23"/>
    <mergeCell ref="B30:S30"/>
    <mergeCell ref="B13:S13"/>
    <mergeCell ref="U14:AB14"/>
    <mergeCell ref="U18:AB18"/>
    <mergeCell ref="U19:AB19"/>
    <mergeCell ref="U20:AB20"/>
    <mergeCell ref="U21:AB21"/>
    <mergeCell ref="B17:AB17"/>
    <mergeCell ref="H18:Q18"/>
    <mergeCell ref="B19:S19"/>
    <mergeCell ref="U13:AB13"/>
    <mergeCell ref="U24:AB24"/>
    <mergeCell ref="U25:AB25"/>
    <mergeCell ref="U100:AB100"/>
    <mergeCell ref="U101:AB101"/>
    <mergeCell ref="U102:AB102"/>
    <mergeCell ref="U103:AB103"/>
    <mergeCell ref="U95:AB95"/>
    <mergeCell ref="U96:AB96"/>
    <mergeCell ref="U97:AB97"/>
    <mergeCell ref="U98:AB98"/>
    <mergeCell ref="U99:AB99"/>
    <mergeCell ref="U26:AB26"/>
    <mergeCell ref="U27:AB27"/>
    <mergeCell ref="U36:AB36"/>
    <mergeCell ref="U28:AB28"/>
    <mergeCell ref="U29:AB29"/>
    <mergeCell ref="U30:AB30"/>
    <mergeCell ref="U31:AB31"/>
    <mergeCell ref="U32:AB32"/>
    <mergeCell ref="U33:AB33"/>
  </mergeCells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C2:AC52"/>
  <sheetViews>
    <sheetView topLeftCell="B1" zoomScale="115" zoomScaleNormal="115" workbookViewId="0">
      <selection activeCell="V25" sqref="V25"/>
    </sheetView>
  </sheetViews>
  <sheetFormatPr defaultColWidth="9" defaultRowHeight="14.4" x14ac:dyDescent="0.25"/>
  <cols>
    <col min="1" max="20" width="3.6640625" style="43" customWidth="1"/>
    <col min="21" max="21" width="26.21875" style="43" customWidth="1"/>
    <col min="22" max="25" width="5.6640625" style="43" customWidth="1"/>
    <col min="26" max="29" width="10.6640625" style="43" customWidth="1"/>
    <col min="30" max="16384" width="9" style="43"/>
  </cols>
  <sheetData>
    <row r="2" spans="3:29" ht="15" customHeight="1" x14ac:dyDescent="0.25">
      <c r="C2" s="428" t="s">
        <v>379</v>
      </c>
      <c r="D2" s="429"/>
      <c r="E2" s="429"/>
      <c r="F2" s="429"/>
      <c r="G2" s="429"/>
      <c r="H2" s="429"/>
      <c r="I2" s="429"/>
      <c r="J2" s="429"/>
      <c r="K2" s="429"/>
      <c r="L2" s="429"/>
      <c r="M2" s="429"/>
      <c r="N2" s="429"/>
      <c r="O2" s="429"/>
      <c r="P2" s="429"/>
      <c r="Q2" s="429"/>
      <c r="R2" s="429"/>
      <c r="S2" s="429"/>
      <c r="T2" s="429"/>
      <c r="U2" s="429"/>
      <c r="V2" s="429"/>
      <c r="W2" s="429"/>
      <c r="X2" s="429"/>
      <c r="Y2" s="429"/>
      <c r="Z2" s="429"/>
      <c r="AA2" s="429"/>
      <c r="AB2" s="429"/>
      <c r="AC2" s="430"/>
    </row>
    <row r="3" spans="3:29" ht="28.5" customHeight="1" x14ac:dyDescent="0.25">
      <c r="C3" s="468" t="s">
        <v>398</v>
      </c>
      <c r="D3" s="469"/>
      <c r="E3" s="469"/>
      <c r="F3" s="469"/>
      <c r="G3" s="469"/>
      <c r="H3" s="469"/>
      <c r="I3" s="469"/>
      <c r="J3" s="469"/>
      <c r="K3" s="469"/>
      <c r="L3" s="469"/>
      <c r="M3" s="469"/>
      <c r="N3" s="469"/>
      <c r="O3" s="469"/>
      <c r="P3" s="469"/>
      <c r="Q3" s="469"/>
      <c r="R3" s="469"/>
      <c r="S3" s="469"/>
      <c r="T3" s="469"/>
      <c r="U3" s="469"/>
      <c r="V3" s="469"/>
      <c r="W3" s="469"/>
      <c r="X3" s="469"/>
      <c r="Y3" s="469"/>
      <c r="Z3" s="469"/>
      <c r="AA3" s="469"/>
      <c r="AB3" s="469"/>
      <c r="AC3" s="470"/>
    </row>
    <row r="4" spans="3:29" ht="15" customHeight="1" x14ac:dyDescent="0.25">
      <c r="C4" s="388" t="s">
        <v>275</v>
      </c>
      <c r="D4" s="388"/>
      <c r="E4" s="388"/>
      <c r="F4" s="388"/>
      <c r="G4" s="388"/>
      <c r="H4" s="388"/>
      <c r="I4" s="388"/>
      <c r="J4" s="388"/>
      <c r="K4" s="388"/>
      <c r="L4" s="388"/>
      <c r="M4" s="388"/>
      <c r="N4" s="388"/>
      <c r="O4" s="388"/>
      <c r="P4" s="388"/>
      <c r="Q4" s="388"/>
      <c r="R4" s="388"/>
      <c r="S4" s="388"/>
      <c r="T4" s="388"/>
      <c r="U4" s="104" t="s">
        <v>266</v>
      </c>
      <c r="V4" s="388" t="s">
        <v>267</v>
      </c>
      <c r="W4" s="388"/>
      <c r="X4" s="388"/>
      <c r="Y4" s="388"/>
      <c r="Z4" s="388" t="s">
        <v>268</v>
      </c>
      <c r="AA4" s="388"/>
      <c r="AB4" s="388"/>
      <c r="AC4" s="388"/>
    </row>
    <row r="5" spans="3:29" ht="15" customHeight="1" x14ac:dyDescent="0.25">
      <c r="C5" s="86" t="s">
        <v>77</v>
      </c>
      <c r="D5" s="105" t="s">
        <v>78</v>
      </c>
      <c r="E5" s="105" t="s">
        <v>10</v>
      </c>
      <c r="F5" s="105" t="s">
        <v>79</v>
      </c>
      <c r="G5" s="105" t="s">
        <v>80</v>
      </c>
      <c r="H5" s="105" t="s">
        <v>11</v>
      </c>
      <c r="I5" s="424" t="s">
        <v>83</v>
      </c>
      <c r="J5" s="424"/>
      <c r="K5" s="424"/>
      <c r="L5" s="424"/>
      <c r="M5" s="424"/>
      <c r="N5" s="424"/>
      <c r="O5" s="424"/>
      <c r="P5" s="424"/>
      <c r="Q5" s="424"/>
      <c r="R5" s="424"/>
      <c r="S5" s="83" t="s">
        <v>81</v>
      </c>
      <c r="T5" s="83" t="s">
        <v>82</v>
      </c>
      <c r="U5" s="51" t="s">
        <v>276</v>
      </c>
      <c r="V5" s="45" t="s">
        <v>80</v>
      </c>
      <c r="W5" s="45"/>
      <c r="X5" s="45"/>
      <c r="Y5" s="45"/>
      <c r="Z5" s="435" t="s">
        <v>6</v>
      </c>
      <c r="AA5" s="435"/>
      <c r="AB5" s="435"/>
      <c r="AC5" s="435"/>
    </row>
    <row r="6" spans="3:29" ht="15" customHeight="1" x14ac:dyDescent="0.25">
      <c r="C6" s="84" t="s">
        <v>0</v>
      </c>
      <c r="D6" s="75" t="s">
        <v>1</v>
      </c>
      <c r="E6" s="75" t="str">
        <f>DEC2HEX( COUNTA(F6:R6),2)</f>
        <v>03</v>
      </c>
      <c r="F6" s="76" t="s">
        <v>381</v>
      </c>
      <c r="G6" s="76" t="str">
        <f>DEC2HEX(V6,2)</f>
        <v>00</v>
      </c>
      <c r="H6" s="76" t="s">
        <v>70</v>
      </c>
      <c r="I6" s="57"/>
      <c r="J6" s="57"/>
      <c r="K6" s="57"/>
      <c r="L6" s="57"/>
      <c r="M6" s="57"/>
      <c r="N6" s="57"/>
      <c r="O6" s="57"/>
      <c r="P6" s="57"/>
      <c r="Q6" s="57"/>
      <c r="R6" s="57"/>
      <c r="S6" s="84" t="str">
        <f>DEC2HEX(MOD(HEX2DEC(D6)+HEX2DEC(E6)+HEX2DEC(F6)+HEX2DEC(G6)+HEX2DEC(H6)+HEX2DEC(I6)+HEX2DEC(J6)+HEX2DEC(K6)+HEX2DEC(L6)+HEX2DEC(M6)+HEX2DEC(N6)+HEX2DEC(O6)+HEX2DEC(R6),256),2)</f>
        <v>77</v>
      </c>
      <c r="T6" s="84" t="s">
        <v>5</v>
      </c>
      <c r="U6" s="55" t="str">
        <f>IF(ISBLANK(C6),,C6&amp;" ")&amp;IF(ISBLANK(D6),,D6&amp;" ")&amp;IF(ISBLANK(E6),,E6&amp;" ")&amp;IF(ISBLANK(F6),,F6&amp;" ")&amp;IF(ISBLANK(G6),,G6&amp;" ")&amp;IF(ISBLANK(H6),,H6&amp;" ")&amp;IF(ISBLANK(I6),,I6&amp;" ")&amp;IF(ISBLANK(J6),,J6&amp;" ")&amp;IF(ISBLANK(K6),,K6&amp;" ")&amp;IF(ISBLANK(L6),,L6&amp;" ")&amp;IF(ISBLANK(M6),,M6&amp;" ")&amp;IF(ISBLANK(N6),,N6&amp;" ")&amp;IF(ISBLANK(O6),,O6&amp;" ")&amp;IF(ISBLANK(R6),,R6&amp;" ")&amp;IF(ISBLANK(S6),,S6&amp;" ")&amp;IF(ISBLANK(T6),,T6)</f>
        <v>aa 00 03 64 00 10 77 55</v>
      </c>
      <c r="V6" s="116">
        <v>0</v>
      </c>
      <c r="W6" s="106"/>
      <c r="X6" s="106"/>
      <c r="Y6" s="106"/>
      <c r="Z6" s="492" t="s">
        <v>380</v>
      </c>
      <c r="AA6" s="492"/>
      <c r="AB6" s="492"/>
      <c r="AC6" s="492"/>
    </row>
    <row r="7" spans="3:29" ht="15" customHeight="1" x14ac:dyDescent="0.25">
      <c r="C7" s="84" t="s">
        <v>0</v>
      </c>
      <c r="D7" s="75" t="s">
        <v>1</v>
      </c>
      <c r="E7" s="75" t="str">
        <f t="shared" ref="E7:E15" si="0">DEC2HEX( COUNTA(F7:R7),2)</f>
        <v>03</v>
      </c>
      <c r="F7" s="76" t="s">
        <v>381</v>
      </c>
      <c r="G7" s="76" t="str">
        <f>DEC2HEX(V7,2)</f>
        <v>01</v>
      </c>
      <c r="H7" s="76" t="s">
        <v>70</v>
      </c>
      <c r="I7" s="57"/>
      <c r="J7" s="57"/>
      <c r="K7" s="57"/>
      <c r="L7" s="57"/>
      <c r="M7" s="57"/>
      <c r="N7" s="57"/>
      <c r="O7" s="57"/>
      <c r="P7" s="57"/>
      <c r="Q7" s="57"/>
      <c r="R7" s="57"/>
      <c r="S7" s="84" t="str">
        <f>DEC2HEX(MOD(HEX2DEC(D7)+HEX2DEC(E7)+HEX2DEC(F7)+HEX2DEC(G7)+HEX2DEC(H7)+HEX2DEC(I7)+HEX2DEC(J7)+HEX2DEC(K7)+HEX2DEC(L7)+HEX2DEC(M7)+HEX2DEC(N7)+HEX2DEC(O7)+HEX2DEC(R7),256),2)</f>
        <v>78</v>
      </c>
      <c r="T7" s="84" t="s">
        <v>5</v>
      </c>
      <c r="U7" s="55" t="str">
        <f>IF(ISBLANK(C7),,C7&amp;" ")&amp;IF(ISBLANK(D7),,D7&amp;" ")&amp;IF(ISBLANK(E7),,E7&amp;" ")&amp;IF(ISBLANK(F7),,F7&amp;" ")&amp;IF(ISBLANK(G7),,G7&amp;" ")&amp;IF(ISBLANK(H7),,H7&amp;" ")&amp;IF(ISBLANK(I7),,I7&amp;" ")&amp;IF(ISBLANK(J7),,J7&amp;" ")&amp;IF(ISBLANK(K7),,K7&amp;" ")&amp;IF(ISBLANK(L7),,L7&amp;" ")&amp;IF(ISBLANK(M7),,M7&amp;" ")&amp;IF(ISBLANK(N7),,N7&amp;" ")&amp;IF(ISBLANK(O7),,O7&amp;" ")&amp;IF(ISBLANK(R7),,R7&amp;" ")&amp;IF(ISBLANK(S7),,S7&amp;" ")&amp;IF(ISBLANK(T7),,T7)</f>
        <v>aa 00 03 64 01 10 78 55</v>
      </c>
      <c r="V7" s="116">
        <v>1</v>
      </c>
      <c r="W7" s="106"/>
      <c r="X7" s="106"/>
      <c r="Y7" s="106"/>
      <c r="Z7" s="492" t="s">
        <v>380</v>
      </c>
      <c r="AA7" s="492"/>
      <c r="AB7" s="492"/>
      <c r="AC7" s="492"/>
    </row>
    <row r="8" spans="3:29" ht="15" customHeight="1" x14ac:dyDescent="0.25">
      <c r="C8" s="84" t="s">
        <v>0</v>
      </c>
      <c r="D8" s="75" t="s">
        <v>1</v>
      </c>
      <c r="E8" s="75" t="str">
        <f t="shared" si="0"/>
        <v>03</v>
      </c>
      <c r="F8" s="76" t="s">
        <v>381</v>
      </c>
      <c r="G8" s="76" t="str">
        <f t="shared" ref="G8:G15" si="1">DEC2HEX(V8,2)</f>
        <v>02</v>
      </c>
      <c r="H8" s="76" t="s">
        <v>70</v>
      </c>
      <c r="I8" s="57"/>
      <c r="J8" s="57"/>
      <c r="K8" s="57"/>
      <c r="L8" s="57"/>
      <c r="M8" s="57"/>
      <c r="N8" s="57"/>
      <c r="O8" s="57"/>
      <c r="P8" s="57"/>
      <c r="Q8" s="57"/>
      <c r="R8" s="57"/>
      <c r="S8" s="84" t="str">
        <f t="shared" ref="S8:S15" si="2">DEC2HEX(MOD(HEX2DEC(D8)+HEX2DEC(E8)+HEX2DEC(F8)+HEX2DEC(G8)+HEX2DEC(H8)+HEX2DEC(I8)+HEX2DEC(J8)+HEX2DEC(K8)+HEX2DEC(L8)+HEX2DEC(M8)+HEX2DEC(N8)+HEX2DEC(O8)+HEX2DEC(R8),256),2)</f>
        <v>79</v>
      </c>
      <c r="T8" s="84" t="s">
        <v>5</v>
      </c>
      <c r="U8" s="55" t="str">
        <f t="shared" ref="U8:U15" si="3">IF(ISBLANK(C8),,C8&amp;" ")&amp;IF(ISBLANK(D8),,D8&amp;" ")&amp;IF(ISBLANK(E8),,E8&amp;" ")&amp;IF(ISBLANK(F8),,F8&amp;" ")&amp;IF(ISBLANK(G8),,G8&amp;" ")&amp;IF(ISBLANK(H8),,H8&amp;" ")&amp;IF(ISBLANK(I8),,I8&amp;" ")&amp;IF(ISBLANK(J8),,J8&amp;" ")&amp;IF(ISBLANK(K8),,K8&amp;" ")&amp;IF(ISBLANK(L8),,L8&amp;" ")&amp;IF(ISBLANK(M8),,M8&amp;" ")&amp;IF(ISBLANK(N8),,N8&amp;" ")&amp;IF(ISBLANK(O8),,O8&amp;" ")&amp;IF(ISBLANK(R8),,R8&amp;" ")&amp;IF(ISBLANK(S8),,S8&amp;" ")&amp;IF(ISBLANK(T8),,T8)</f>
        <v>aa 00 03 64 02 10 79 55</v>
      </c>
      <c r="V8" s="116">
        <v>2</v>
      </c>
      <c r="W8" s="106"/>
      <c r="X8" s="106"/>
      <c r="Y8" s="106"/>
      <c r="Z8" s="492" t="s">
        <v>380</v>
      </c>
      <c r="AA8" s="492"/>
      <c r="AB8" s="492"/>
      <c r="AC8" s="492"/>
    </row>
    <row r="9" spans="3:29" ht="15" customHeight="1" x14ac:dyDescent="0.25">
      <c r="C9" s="84" t="s">
        <v>0</v>
      </c>
      <c r="D9" s="75" t="s">
        <v>1</v>
      </c>
      <c r="E9" s="75" t="str">
        <f t="shared" si="0"/>
        <v>03</v>
      </c>
      <c r="F9" s="76" t="s">
        <v>381</v>
      </c>
      <c r="G9" s="76" t="str">
        <f t="shared" si="1"/>
        <v>03</v>
      </c>
      <c r="H9" s="76" t="s">
        <v>70</v>
      </c>
      <c r="I9" s="57"/>
      <c r="J9" s="57"/>
      <c r="K9" s="57"/>
      <c r="L9" s="57"/>
      <c r="M9" s="57"/>
      <c r="N9" s="57"/>
      <c r="O9" s="57"/>
      <c r="P9" s="57"/>
      <c r="Q9" s="57"/>
      <c r="R9" s="57"/>
      <c r="S9" s="84" t="str">
        <f t="shared" si="2"/>
        <v>7A</v>
      </c>
      <c r="T9" s="84" t="s">
        <v>5</v>
      </c>
      <c r="U9" s="55" t="str">
        <f t="shared" si="3"/>
        <v>aa 00 03 64 03 10 7A 55</v>
      </c>
      <c r="V9" s="116">
        <v>3</v>
      </c>
      <c r="W9" s="106"/>
      <c r="X9" s="106"/>
      <c r="Y9" s="106"/>
      <c r="Z9" s="492" t="s">
        <v>380</v>
      </c>
      <c r="AA9" s="492"/>
      <c r="AB9" s="492"/>
      <c r="AC9" s="492"/>
    </row>
    <row r="10" spans="3:29" ht="15" customHeight="1" x14ac:dyDescent="0.25">
      <c r="C10" s="84" t="s">
        <v>0</v>
      </c>
      <c r="D10" s="75" t="s">
        <v>1</v>
      </c>
      <c r="E10" s="75" t="str">
        <f t="shared" si="0"/>
        <v>03</v>
      </c>
      <c r="F10" s="76" t="s">
        <v>381</v>
      </c>
      <c r="G10" s="76" t="str">
        <f t="shared" si="1"/>
        <v>04</v>
      </c>
      <c r="H10" s="76" t="s">
        <v>70</v>
      </c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84" t="str">
        <f t="shared" si="2"/>
        <v>7B</v>
      </c>
      <c r="T10" s="84" t="s">
        <v>5</v>
      </c>
      <c r="U10" s="55" t="str">
        <f t="shared" si="3"/>
        <v>aa 00 03 64 04 10 7B 55</v>
      </c>
      <c r="V10" s="116">
        <v>4</v>
      </c>
      <c r="W10" s="106"/>
      <c r="X10" s="106"/>
      <c r="Y10" s="106"/>
      <c r="Z10" s="492" t="s">
        <v>380</v>
      </c>
      <c r="AA10" s="492"/>
      <c r="AB10" s="492"/>
      <c r="AC10" s="492"/>
    </row>
    <row r="11" spans="3:29" ht="15" customHeight="1" x14ac:dyDescent="0.25">
      <c r="C11" s="84" t="s">
        <v>0</v>
      </c>
      <c r="D11" s="75" t="s">
        <v>1</v>
      </c>
      <c r="E11" s="75" t="str">
        <f t="shared" si="0"/>
        <v>03</v>
      </c>
      <c r="F11" s="76" t="s">
        <v>381</v>
      </c>
      <c r="G11" s="76" t="str">
        <f t="shared" si="1"/>
        <v>05</v>
      </c>
      <c r="H11" s="76" t="s">
        <v>70</v>
      </c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84" t="str">
        <f t="shared" si="2"/>
        <v>7C</v>
      </c>
      <c r="T11" s="84" t="s">
        <v>5</v>
      </c>
      <c r="U11" s="55" t="str">
        <f t="shared" si="3"/>
        <v>aa 00 03 64 05 10 7C 55</v>
      </c>
      <c r="V11" s="116">
        <v>5</v>
      </c>
      <c r="W11" s="106"/>
      <c r="X11" s="106"/>
      <c r="Y11" s="106"/>
      <c r="Z11" s="492" t="s">
        <v>380</v>
      </c>
      <c r="AA11" s="492"/>
      <c r="AB11" s="492"/>
      <c r="AC11" s="492"/>
    </row>
    <row r="12" spans="3:29" ht="15" customHeight="1" x14ac:dyDescent="0.25">
      <c r="C12" s="84" t="s">
        <v>0</v>
      </c>
      <c r="D12" s="75" t="s">
        <v>1</v>
      </c>
      <c r="E12" s="75" t="str">
        <f t="shared" si="0"/>
        <v>03</v>
      </c>
      <c r="F12" s="76" t="s">
        <v>381</v>
      </c>
      <c r="G12" s="76" t="str">
        <f t="shared" si="1"/>
        <v>06</v>
      </c>
      <c r="H12" s="76" t="s">
        <v>70</v>
      </c>
      <c r="I12" s="57"/>
      <c r="J12" s="57"/>
      <c r="K12" s="57"/>
      <c r="L12" s="57"/>
      <c r="M12" s="57"/>
      <c r="N12" s="57"/>
      <c r="O12" s="57"/>
      <c r="P12" s="57"/>
      <c r="Q12" s="57"/>
      <c r="R12" s="57"/>
      <c r="S12" s="84" t="str">
        <f t="shared" si="2"/>
        <v>7D</v>
      </c>
      <c r="T12" s="84" t="s">
        <v>5</v>
      </c>
      <c r="U12" s="55" t="str">
        <f t="shared" si="3"/>
        <v>aa 00 03 64 06 10 7D 55</v>
      </c>
      <c r="V12" s="116">
        <v>6</v>
      </c>
      <c r="W12" s="106"/>
      <c r="X12" s="106"/>
      <c r="Y12" s="106"/>
      <c r="Z12" s="492" t="s">
        <v>382</v>
      </c>
      <c r="AA12" s="492"/>
      <c r="AB12" s="492"/>
      <c r="AC12" s="492"/>
    </row>
    <row r="13" spans="3:29" ht="15" customHeight="1" x14ac:dyDescent="0.25">
      <c r="C13" s="84" t="s">
        <v>0</v>
      </c>
      <c r="D13" s="75" t="s">
        <v>1</v>
      </c>
      <c r="E13" s="75" t="str">
        <f t="shared" si="0"/>
        <v>03</v>
      </c>
      <c r="F13" s="76" t="s">
        <v>381</v>
      </c>
      <c r="G13" s="76" t="str">
        <f t="shared" si="1"/>
        <v>07</v>
      </c>
      <c r="H13" s="76" t="s">
        <v>70</v>
      </c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84" t="str">
        <f t="shared" si="2"/>
        <v>7E</v>
      </c>
      <c r="T13" s="84" t="s">
        <v>5</v>
      </c>
      <c r="U13" s="55" t="str">
        <f t="shared" si="3"/>
        <v>aa 00 03 64 07 10 7E 55</v>
      </c>
      <c r="V13" s="116">
        <v>7</v>
      </c>
      <c r="W13" s="106"/>
      <c r="X13" s="106"/>
      <c r="Y13" s="106"/>
      <c r="Z13" s="492" t="s">
        <v>380</v>
      </c>
      <c r="AA13" s="492"/>
      <c r="AB13" s="492"/>
      <c r="AC13" s="492"/>
    </row>
    <row r="14" spans="3:29" ht="15" customHeight="1" x14ac:dyDescent="0.25">
      <c r="C14" s="84" t="s">
        <v>0</v>
      </c>
      <c r="D14" s="75" t="s">
        <v>1</v>
      </c>
      <c r="E14" s="75" t="str">
        <f t="shared" si="0"/>
        <v>03</v>
      </c>
      <c r="F14" s="76" t="s">
        <v>381</v>
      </c>
      <c r="G14" s="76" t="str">
        <f t="shared" si="1"/>
        <v>08</v>
      </c>
      <c r="H14" s="76" t="s">
        <v>70</v>
      </c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84" t="str">
        <f t="shared" si="2"/>
        <v>7F</v>
      </c>
      <c r="T14" s="84" t="s">
        <v>5</v>
      </c>
      <c r="U14" s="55" t="str">
        <f t="shared" si="3"/>
        <v>aa 00 03 64 08 10 7F 55</v>
      </c>
      <c r="V14" s="116">
        <v>8</v>
      </c>
      <c r="W14" s="106"/>
      <c r="X14" s="106"/>
      <c r="Y14" s="106"/>
      <c r="Z14" s="492" t="s">
        <v>380</v>
      </c>
      <c r="AA14" s="492"/>
      <c r="AB14" s="492"/>
      <c r="AC14" s="492"/>
    </row>
    <row r="15" spans="3:29" ht="15" customHeight="1" x14ac:dyDescent="0.25">
      <c r="C15" s="84" t="s">
        <v>0</v>
      </c>
      <c r="D15" s="75" t="s">
        <v>1</v>
      </c>
      <c r="E15" s="75" t="str">
        <f t="shared" si="0"/>
        <v>03</v>
      </c>
      <c r="F15" s="76" t="s">
        <v>381</v>
      </c>
      <c r="G15" s="76" t="str">
        <f t="shared" si="1"/>
        <v>09</v>
      </c>
      <c r="H15" s="76" t="s">
        <v>70</v>
      </c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84" t="str">
        <f t="shared" si="2"/>
        <v>80</v>
      </c>
      <c r="T15" s="84" t="s">
        <v>5</v>
      </c>
      <c r="U15" s="55" t="str">
        <f t="shared" si="3"/>
        <v>aa 00 03 64 09 10 80 55</v>
      </c>
      <c r="V15" s="116">
        <v>9</v>
      </c>
      <c r="W15" s="106"/>
      <c r="X15" s="106"/>
      <c r="Y15" s="106"/>
      <c r="Z15" s="492" t="s">
        <v>380</v>
      </c>
      <c r="AA15" s="492"/>
      <c r="AB15" s="492"/>
      <c r="AC15" s="492"/>
    </row>
    <row r="18" spans="3:29" ht="20.100000000000001" customHeight="1" x14ac:dyDescent="0.25">
      <c r="C18" s="428" t="s">
        <v>379</v>
      </c>
      <c r="D18" s="429"/>
      <c r="E18" s="429"/>
      <c r="F18" s="429"/>
      <c r="G18" s="429"/>
      <c r="H18" s="429"/>
      <c r="I18" s="429"/>
      <c r="J18" s="429"/>
      <c r="K18" s="429"/>
      <c r="L18" s="429"/>
      <c r="M18" s="429"/>
      <c r="N18" s="429"/>
      <c r="O18" s="429"/>
      <c r="P18" s="429"/>
      <c r="Q18" s="429"/>
      <c r="R18" s="429"/>
      <c r="S18" s="429"/>
      <c r="T18" s="429"/>
      <c r="U18" s="429"/>
      <c r="V18" s="429"/>
      <c r="W18" s="429"/>
      <c r="X18" s="429"/>
      <c r="Y18" s="429"/>
      <c r="Z18" s="429"/>
      <c r="AA18" s="429"/>
      <c r="AB18" s="429"/>
      <c r="AC18" s="430"/>
    </row>
    <row r="19" spans="3:29" ht="20.100000000000001" customHeight="1" x14ac:dyDescent="0.25">
      <c r="C19" s="468" t="s">
        <v>406</v>
      </c>
      <c r="D19" s="469"/>
      <c r="E19" s="469"/>
      <c r="F19" s="469"/>
      <c r="G19" s="469"/>
      <c r="H19" s="469"/>
      <c r="I19" s="469"/>
      <c r="J19" s="469"/>
      <c r="K19" s="469"/>
      <c r="L19" s="469"/>
      <c r="M19" s="469"/>
      <c r="N19" s="469"/>
      <c r="O19" s="469"/>
      <c r="P19" s="469"/>
      <c r="Q19" s="469"/>
      <c r="R19" s="469"/>
      <c r="S19" s="469"/>
      <c r="T19" s="469"/>
      <c r="U19" s="469"/>
      <c r="V19" s="469"/>
      <c r="W19" s="469"/>
      <c r="X19" s="469"/>
      <c r="Y19" s="469"/>
      <c r="Z19" s="469"/>
      <c r="AA19" s="469"/>
      <c r="AB19" s="469"/>
      <c r="AC19" s="470"/>
    </row>
    <row r="20" spans="3:29" ht="20.100000000000001" customHeight="1" x14ac:dyDescent="0.25">
      <c r="C20" s="388" t="s">
        <v>275</v>
      </c>
      <c r="D20" s="388"/>
      <c r="E20" s="388"/>
      <c r="F20" s="388"/>
      <c r="G20" s="388"/>
      <c r="H20" s="388"/>
      <c r="I20" s="388"/>
      <c r="J20" s="388"/>
      <c r="K20" s="388"/>
      <c r="L20" s="388"/>
      <c r="M20" s="388"/>
      <c r="N20" s="388"/>
      <c r="O20" s="388"/>
      <c r="P20" s="388"/>
      <c r="Q20" s="388"/>
      <c r="R20" s="388"/>
      <c r="S20" s="388"/>
      <c r="T20" s="388"/>
      <c r="U20" s="108" t="s">
        <v>266</v>
      </c>
      <c r="V20" s="388" t="s">
        <v>267</v>
      </c>
      <c r="W20" s="388"/>
      <c r="X20" s="388"/>
      <c r="Y20" s="388"/>
      <c r="Z20" s="388" t="s">
        <v>268</v>
      </c>
      <c r="AA20" s="388"/>
      <c r="AB20" s="388"/>
      <c r="AC20" s="388"/>
    </row>
    <row r="21" spans="3:29" ht="15" customHeight="1" x14ac:dyDescent="0.25">
      <c r="C21" s="86" t="s">
        <v>77</v>
      </c>
      <c r="D21" s="109" t="s">
        <v>78</v>
      </c>
      <c r="E21" s="109" t="s">
        <v>10</v>
      </c>
      <c r="F21" s="109" t="s">
        <v>79</v>
      </c>
      <c r="G21" s="109" t="s">
        <v>80</v>
      </c>
      <c r="H21" s="109" t="s">
        <v>11</v>
      </c>
      <c r="I21" s="571" t="s">
        <v>83</v>
      </c>
      <c r="J21" s="424"/>
      <c r="K21" s="424"/>
      <c r="L21" s="424"/>
      <c r="M21" s="424"/>
      <c r="N21" s="424"/>
      <c r="O21" s="424"/>
      <c r="P21" s="424"/>
      <c r="Q21" s="424"/>
      <c r="R21" s="424"/>
      <c r="S21" s="83" t="s">
        <v>81</v>
      </c>
      <c r="T21" s="83" t="s">
        <v>82</v>
      </c>
      <c r="U21" s="51" t="s">
        <v>276</v>
      </c>
      <c r="V21" s="45" t="s">
        <v>80</v>
      </c>
      <c r="W21" s="45"/>
      <c r="X21" s="45"/>
      <c r="Y21" s="45"/>
      <c r="Z21" s="435" t="s">
        <v>6</v>
      </c>
      <c r="AA21" s="435"/>
      <c r="AB21" s="435"/>
      <c r="AC21" s="435"/>
    </row>
    <row r="22" spans="3:29" ht="15" customHeight="1" x14ac:dyDescent="0.25">
      <c r="C22" s="84" t="s">
        <v>0</v>
      </c>
      <c r="D22" s="75" t="s">
        <v>1</v>
      </c>
      <c r="E22" s="75" t="str">
        <f t="shared" ref="E22:E31" si="4">DEC2HEX( COUNTA(F22:R22),2)</f>
        <v>04</v>
      </c>
      <c r="F22" s="76" t="s">
        <v>405</v>
      </c>
      <c r="G22" s="76" t="s">
        <v>407</v>
      </c>
      <c r="H22" s="113" t="s">
        <v>404</v>
      </c>
      <c r="I22" s="76" t="str">
        <f t="shared" ref="I22:I31" si="5">DEC2HEX(V22,2)</f>
        <v>00</v>
      </c>
      <c r="J22" s="114"/>
      <c r="K22" s="57"/>
      <c r="L22" s="57"/>
      <c r="M22" s="57"/>
      <c r="N22" s="57"/>
      <c r="O22" s="57"/>
      <c r="P22" s="57"/>
      <c r="Q22" s="57"/>
      <c r="R22" s="57"/>
      <c r="S22" s="84" t="str">
        <f t="shared" ref="S22:S31" si="6">DEC2HEX(MOD(HEX2DEC(D22)+HEX2DEC(E22)+HEX2DEC(F22)+HEX2DEC(G22)+HEX2DEC(H22)+HEX2DEC(I22)+HEX2DEC(J22)+HEX2DEC(K22)+HEX2DEC(L22)+HEX2DEC(M22)+HEX2DEC(N22)+HEX2DEC(O22)+HEX2DEC(R22),256),2)</f>
        <v>05</v>
      </c>
      <c r="T22" s="84" t="s">
        <v>5</v>
      </c>
      <c r="U22" s="275" t="str">
        <f t="shared" ref="U22:U31" si="7">IF(ISBLANK(C22),,C22&amp;" ")&amp;IF(ISBLANK(D22),,D22&amp;" ")&amp;IF(ISBLANK(E22),,E22&amp;" ")&amp;IF(ISBLANK(F22),,F22&amp;" ")&amp;IF(ISBLANK(G22),,G22&amp;" ")&amp;IF(ISBLANK(H22),,H22&amp;" ")&amp;IF(ISBLANK(I22),,I22&amp;" ")&amp;IF(ISBLANK(J22),,J22&amp;" ")&amp;IF(ISBLANK(K22),,K22&amp;" ")&amp;IF(ISBLANK(L22),,L22&amp;" ")&amp;IF(ISBLANK(M22),,M22&amp;" ")&amp;IF(ISBLANK(N22),,N22&amp;" ")&amp;IF(ISBLANK(O22),,O22&amp;" ")&amp;IF(ISBLANK(R22),,R22&amp;" ")&amp;IF(ISBLANK(S22),,S22&amp;" ")&amp;IF(ISBLANK(T22),,T22)</f>
        <v>aa 00 04 E0 00 21 00 05 55</v>
      </c>
      <c r="V22" s="116">
        <v>0</v>
      </c>
      <c r="W22" s="106"/>
      <c r="X22" s="106"/>
      <c r="Y22" s="106"/>
      <c r="Z22" s="492" t="s">
        <v>399</v>
      </c>
      <c r="AA22" s="492"/>
      <c r="AB22" s="492"/>
      <c r="AC22" s="492"/>
    </row>
    <row r="23" spans="3:29" ht="15" customHeight="1" x14ac:dyDescent="0.25">
      <c r="C23" s="84" t="s">
        <v>0</v>
      </c>
      <c r="D23" s="75" t="s">
        <v>1</v>
      </c>
      <c r="E23" s="75" t="str">
        <f t="shared" si="4"/>
        <v>04</v>
      </c>
      <c r="F23" s="76" t="s">
        <v>405</v>
      </c>
      <c r="G23" s="76" t="s">
        <v>407</v>
      </c>
      <c r="H23" s="113" t="s">
        <v>404</v>
      </c>
      <c r="I23" s="76" t="str">
        <f t="shared" si="5"/>
        <v>01</v>
      </c>
      <c r="J23" s="114"/>
      <c r="K23" s="57"/>
      <c r="L23" s="57"/>
      <c r="M23" s="57"/>
      <c r="N23" s="57"/>
      <c r="O23" s="57"/>
      <c r="P23" s="57"/>
      <c r="Q23" s="57"/>
      <c r="R23" s="57"/>
      <c r="S23" s="84" t="str">
        <f t="shared" si="6"/>
        <v>06</v>
      </c>
      <c r="T23" s="84" t="s">
        <v>5</v>
      </c>
      <c r="U23" s="275" t="str">
        <f t="shared" si="7"/>
        <v>aa 00 04 E0 00 21 01 06 55</v>
      </c>
      <c r="V23" s="116">
        <v>1</v>
      </c>
      <c r="W23" s="106"/>
      <c r="X23" s="106"/>
      <c r="Y23" s="106"/>
      <c r="Z23" s="492" t="s">
        <v>400</v>
      </c>
      <c r="AA23" s="492"/>
      <c r="AB23" s="492"/>
      <c r="AC23" s="492"/>
    </row>
    <row r="24" spans="3:29" ht="15" customHeight="1" x14ac:dyDescent="0.25">
      <c r="C24" s="84" t="s">
        <v>0</v>
      </c>
      <c r="D24" s="75" t="s">
        <v>1</v>
      </c>
      <c r="E24" s="75" t="str">
        <f t="shared" si="4"/>
        <v>04</v>
      </c>
      <c r="F24" s="76" t="s">
        <v>405</v>
      </c>
      <c r="G24" s="76" t="s">
        <v>407</v>
      </c>
      <c r="H24" s="113" t="s">
        <v>404</v>
      </c>
      <c r="I24" s="76" t="str">
        <f t="shared" si="5"/>
        <v>02</v>
      </c>
      <c r="J24" s="114"/>
      <c r="K24" s="57"/>
      <c r="L24" s="57"/>
      <c r="M24" s="57"/>
      <c r="N24" s="57"/>
      <c r="O24" s="57"/>
      <c r="P24" s="57"/>
      <c r="Q24" s="57"/>
      <c r="R24" s="57"/>
      <c r="S24" s="84" t="str">
        <f t="shared" si="6"/>
        <v>07</v>
      </c>
      <c r="T24" s="84" t="s">
        <v>5</v>
      </c>
      <c r="U24" s="275" t="str">
        <f t="shared" si="7"/>
        <v>aa 00 04 E0 00 21 02 07 55</v>
      </c>
      <c r="V24" s="116">
        <v>2</v>
      </c>
      <c r="W24" s="106"/>
      <c r="X24" s="106"/>
      <c r="Y24" s="106"/>
      <c r="Z24" s="492" t="s">
        <v>401</v>
      </c>
      <c r="AA24" s="492"/>
      <c r="AB24" s="492"/>
      <c r="AC24" s="492"/>
    </row>
    <row r="25" spans="3:29" ht="15" customHeight="1" x14ac:dyDescent="0.25">
      <c r="C25" s="84" t="s">
        <v>0</v>
      </c>
      <c r="D25" s="75" t="s">
        <v>1</v>
      </c>
      <c r="E25" s="75" t="str">
        <f t="shared" si="4"/>
        <v>04</v>
      </c>
      <c r="F25" s="76" t="s">
        <v>405</v>
      </c>
      <c r="G25" s="76" t="s">
        <v>407</v>
      </c>
      <c r="H25" s="113" t="s">
        <v>404</v>
      </c>
      <c r="I25" s="76" t="str">
        <f t="shared" si="5"/>
        <v>03</v>
      </c>
      <c r="J25" s="114"/>
      <c r="K25" s="57"/>
      <c r="L25" s="57"/>
      <c r="M25" s="57"/>
      <c r="N25" s="57"/>
      <c r="O25" s="57"/>
      <c r="P25" s="57"/>
      <c r="Q25" s="57"/>
      <c r="R25" s="57"/>
      <c r="S25" s="84" t="str">
        <f t="shared" si="6"/>
        <v>08</v>
      </c>
      <c r="T25" s="84" t="s">
        <v>5</v>
      </c>
      <c r="U25" s="55" t="str">
        <f t="shared" si="7"/>
        <v>aa 00 04 E0 00 21 03 08 55</v>
      </c>
      <c r="V25" s="116">
        <v>3</v>
      </c>
      <c r="W25" s="106"/>
      <c r="X25" s="106"/>
      <c r="Y25" s="106"/>
      <c r="Z25" s="492" t="s">
        <v>402</v>
      </c>
      <c r="AA25" s="492"/>
      <c r="AB25" s="492"/>
      <c r="AC25" s="492"/>
    </row>
    <row r="26" spans="3:29" ht="15" customHeight="1" x14ac:dyDescent="0.25">
      <c r="C26" s="84" t="s">
        <v>0</v>
      </c>
      <c r="D26" s="75" t="s">
        <v>1</v>
      </c>
      <c r="E26" s="75" t="str">
        <f t="shared" si="4"/>
        <v>04</v>
      </c>
      <c r="F26" s="76" t="s">
        <v>405</v>
      </c>
      <c r="G26" s="76" t="s">
        <v>407</v>
      </c>
      <c r="H26" s="113" t="s">
        <v>404</v>
      </c>
      <c r="I26" s="76" t="str">
        <f t="shared" si="5"/>
        <v>04</v>
      </c>
      <c r="J26" s="114"/>
      <c r="K26" s="57"/>
      <c r="L26" s="57"/>
      <c r="M26" s="57"/>
      <c r="N26" s="57"/>
      <c r="O26" s="57"/>
      <c r="P26" s="57"/>
      <c r="Q26" s="57"/>
      <c r="R26" s="57"/>
      <c r="S26" s="84" t="str">
        <f t="shared" si="6"/>
        <v>09</v>
      </c>
      <c r="T26" s="84" t="s">
        <v>5</v>
      </c>
      <c r="U26" s="55" t="str">
        <f t="shared" si="7"/>
        <v>aa 00 04 E0 00 21 04 09 55</v>
      </c>
      <c r="V26" s="116">
        <v>4</v>
      </c>
      <c r="W26" s="106"/>
      <c r="X26" s="106"/>
      <c r="Y26" s="106"/>
      <c r="Z26" s="492" t="s">
        <v>403</v>
      </c>
      <c r="AA26" s="492"/>
      <c r="AB26" s="492"/>
      <c r="AC26" s="492"/>
    </row>
    <row r="27" spans="3:29" ht="15" customHeight="1" x14ac:dyDescent="0.25">
      <c r="C27" s="84" t="s">
        <v>0</v>
      </c>
      <c r="D27" s="75" t="s">
        <v>1</v>
      </c>
      <c r="E27" s="75" t="str">
        <f t="shared" si="4"/>
        <v>04</v>
      </c>
      <c r="F27" s="76" t="s">
        <v>405</v>
      </c>
      <c r="G27" s="76" t="s">
        <v>1</v>
      </c>
      <c r="H27" s="113" t="s">
        <v>3</v>
      </c>
      <c r="I27" s="76" t="str">
        <f t="shared" si="5"/>
        <v>05</v>
      </c>
      <c r="J27" s="114"/>
      <c r="K27" s="57"/>
      <c r="L27" s="57"/>
      <c r="M27" s="57"/>
      <c r="N27" s="57"/>
      <c r="O27" s="57"/>
      <c r="P27" s="57"/>
      <c r="Q27" s="57"/>
      <c r="R27" s="57"/>
      <c r="S27" s="84" t="str">
        <f t="shared" si="6"/>
        <v>0A</v>
      </c>
      <c r="T27" s="84" t="s">
        <v>5</v>
      </c>
      <c r="U27" s="55" t="str">
        <f t="shared" si="7"/>
        <v>aa 00 04 E0 00 21 05 0A 55</v>
      </c>
      <c r="V27" s="116">
        <v>5</v>
      </c>
      <c r="W27" s="106"/>
      <c r="X27" s="106"/>
      <c r="Y27" s="106"/>
      <c r="Z27" s="492" t="s">
        <v>399</v>
      </c>
      <c r="AA27" s="492"/>
      <c r="AB27" s="492"/>
      <c r="AC27" s="492"/>
    </row>
    <row r="28" spans="3:29" ht="15" customHeight="1" x14ac:dyDescent="0.25">
      <c r="C28" s="84" t="s">
        <v>0</v>
      </c>
      <c r="D28" s="75" t="s">
        <v>1</v>
      </c>
      <c r="E28" s="75" t="str">
        <f t="shared" si="4"/>
        <v>04</v>
      </c>
      <c r="F28" s="76" t="s">
        <v>405</v>
      </c>
      <c r="G28" s="76" t="s">
        <v>1</v>
      </c>
      <c r="H28" s="113" t="s">
        <v>3</v>
      </c>
      <c r="I28" s="76" t="str">
        <f t="shared" si="5"/>
        <v>06</v>
      </c>
      <c r="J28" s="114"/>
      <c r="K28" s="57"/>
      <c r="L28" s="57"/>
      <c r="M28" s="57"/>
      <c r="N28" s="57"/>
      <c r="O28" s="57"/>
      <c r="P28" s="57"/>
      <c r="Q28" s="57"/>
      <c r="R28" s="57"/>
      <c r="S28" s="84" t="str">
        <f t="shared" si="6"/>
        <v>0B</v>
      </c>
      <c r="T28" s="84" t="s">
        <v>5</v>
      </c>
      <c r="U28" s="55" t="str">
        <f t="shared" si="7"/>
        <v>aa 00 04 E0 00 21 06 0B 55</v>
      </c>
      <c r="V28" s="116">
        <v>6</v>
      </c>
      <c r="W28" s="106"/>
      <c r="X28" s="106"/>
      <c r="Y28" s="106"/>
      <c r="Z28" s="492" t="s">
        <v>400</v>
      </c>
      <c r="AA28" s="492"/>
      <c r="AB28" s="492"/>
      <c r="AC28" s="492"/>
    </row>
    <row r="29" spans="3:29" ht="15" customHeight="1" x14ac:dyDescent="0.25">
      <c r="C29" s="84" t="s">
        <v>0</v>
      </c>
      <c r="D29" s="75" t="s">
        <v>1</v>
      </c>
      <c r="E29" s="75" t="str">
        <f t="shared" si="4"/>
        <v>04</v>
      </c>
      <c r="F29" s="76" t="s">
        <v>405</v>
      </c>
      <c r="G29" s="76" t="s">
        <v>1</v>
      </c>
      <c r="H29" s="113" t="s">
        <v>3</v>
      </c>
      <c r="I29" s="76" t="str">
        <f t="shared" si="5"/>
        <v>07</v>
      </c>
      <c r="J29" s="114"/>
      <c r="K29" s="57"/>
      <c r="L29" s="57"/>
      <c r="M29" s="57"/>
      <c r="N29" s="57"/>
      <c r="O29" s="57"/>
      <c r="P29" s="57"/>
      <c r="Q29" s="57"/>
      <c r="R29" s="57"/>
      <c r="S29" s="84" t="str">
        <f t="shared" si="6"/>
        <v>0C</v>
      </c>
      <c r="T29" s="84" t="s">
        <v>5</v>
      </c>
      <c r="U29" s="55" t="str">
        <f t="shared" si="7"/>
        <v>aa 00 04 E0 00 21 07 0C 55</v>
      </c>
      <c r="V29" s="116">
        <v>7</v>
      </c>
      <c r="W29" s="106"/>
      <c r="X29" s="106"/>
      <c r="Y29" s="106"/>
      <c r="Z29" s="492" t="s">
        <v>401</v>
      </c>
      <c r="AA29" s="492"/>
      <c r="AB29" s="492"/>
      <c r="AC29" s="492"/>
    </row>
    <row r="30" spans="3:29" ht="15" customHeight="1" x14ac:dyDescent="0.25">
      <c r="C30" s="84" t="s">
        <v>0</v>
      </c>
      <c r="D30" s="75" t="s">
        <v>1</v>
      </c>
      <c r="E30" s="75" t="str">
        <f t="shared" si="4"/>
        <v>04</v>
      </c>
      <c r="F30" s="76" t="s">
        <v>405</v>
      </c>
      <c r="G30" s="76" t="s">
        <v>1</v>
      </c>
      <c r="H30" s="113" t="s">
        <v>3</v>
      </c>
      <c r="I30" s="76" t="str">
        <f t="shared" si="5"/>
        <v>08</v>
      </c>
      <c r="J30" s="114"/>
      <c r="K30" s="57"/>
      <c r="L30" s="57"/>
      <c r="M30" s="57"/>
      <c r="N30" s="57"/>
      <c r="O30" s="57"/>
      <c r="P30" s="57"/>
      <c r="Q30" s="57"/>
      <c r="R30" s="57"/>
      <c r="S30" s="84" t="str">
        <f t="shared" si="6"/>
        <v>0D</v>
      </c>
      <c r="T30" s="84" t="s">
        <v>5</v>
      </c>
      <c r="U30" s="55" t="str">
        <f t="shared" si="7"/>
        <v>aa 00 04 E0 00 21 08 0D 55</v>
      </c>
      <c r="V30" s="116">
        <v>8</v>
      </c>
      <c r="W30" s="106"/>
      <c r="X30" s="106"/>
      <c r="Y30" s="106"/>
      <c r="Z30" s="492" t="s">
        <v>402</v>
      </c>
      <c r="AA30" s="492"/>
      <c r="AB30" s="492"/>
      <c r="AC30" s="492"/>
    </row>
    <row r="31" spans="3:29" ht="15" customHeight="1" x14ac:dyDescent="0.25">
      <c r="C31" s="84" t="s">
        <v>0</v>
      </c>
      <c r="D31" s="75" t="s">
        <v>1</v>
      </c>
      <c r="E31" s="75" t="str">
        <f t="shared" si="4"/>
        <v>04</v>
      </c>
      <c r="F31" s="76" t="s">
        <v>405</v>
      </c>
      <c r="G31" s="76" t="s">
        <v>1</v>
      </c>
      <c r="H31" s="113" t="s">
        <v>3</v>
      </c>
      <c r="I31" s="76" t="str">
        <f t="shared" si="5"/>
        <v>09</v>
      </c>
      <c r="J31" s="114"/>
      <c r="K31" s="57"/>
      <c r="L31" s="57"/>
      <c r="M31" s="57"/>
      <c r="N31" s="57"/>
      <c r="O31" s="57"/>
      <c r="P31" s="57"/>
      <c r="Q31" s="57"/>
      <c r="R31" s="57"/>
      <c r="S31" s="84" t="str">
        <f t="shared" si="6"/>
        <v>0E</v>
      </c>
      <c r="T31" s="84" t="s">
        <v>5</v>
      </c>
      <c r="U31" s="55" t="str">
        <f t="shared" si="7"/>
        <v>aa 00 04 E0 00 21 09 0E 55</v>
      </c>
      <c r="V31" s="116">
        <v>9</v>
      </c>
      <c r="W31" s="106"/>
      <c r="X31" s="106"/>
      <c r="Y31" s="106"/>
      <c r="Z31" s="492" t="s">
        <v>403</v>
      </c>
      <c r="AA31" s="492"/>
      <c r="AB31" s="492"/>
      <c r="AC31" s="492"/>
    </row>
    <row r="33" spans="3:29" x14ac:dyDescent="0.25">
      <c r="C33" s="221"/>
      <c r="D33" s="221"/>
      <c r="E33" s="221"/>
      <c r="F33" s="221"/>
      <c r="G33" s="221"/>
      <c r="H33" s="221"/>
      <c r="I33" s="221"/>
      <c r="J33" s="221"/>
      <c r="K33" s="221"/>
      <c r="L33" s="221"/>
      <c r="M33" s="221"/>
      <c r="N33" s="221"/>
      <c r="O33" s="221"/>
      <c r="P33" s="221"/>
      <c r="Q33" s="221"/>
      <c r="R33" s="221"/>
      <c r="S33" s="221"/>
      <c r="T33" s="221"/>
      <c r="U33" s="221"/>
      <c r="V33" s="221"/>
      <c r="W33" s="221"/>
      <c r="X33" s="221"/>
      <c r="Y33" s="221"/>
      <c r="Z33" s="221"/>
      <c r="AA33" s="221"/>
      <c r="AB33" s="221"/>
      <c r="AC33" s="221"/>
    </row>
    <row r="34" spans="3:29" ht="65.25" customHeight="1" x14ac:dyDescent="0.25">
      <c r="C34" s="84" t="s">
        <v>0</v>
      </c>
      <c r="D34" s="75" t="s">
        <v>1</v>
      </c>
      <c r="E34" s="75" t="str">
        <f t="shared" ref="E34" si="8">DEC2HEX( COUNTA(F34:R34),2)</f>
        <v>04</v>
      </c>
      <c r="F34" s="76" t="s">
        <v>405</v>
      </c>
      <c r="G34" s="76" t="s">
        <v>1</v>
      </c>
      <c r="H34" s="113" t="s">
        <v>600</v>
      </c>
      <c r="I34" s="54" t="str">
        <f>DEC2HEX(V34,2)</f>
        <v>0A</v>
      </c>
      <c r="J34" s="114"/>
      <c r="K34" s="57"/>
      <c r="L34" s="57"/>
      <c r="M34" s="57"/>
      <c r="N34" s="57"/>
      <c r="O34" s="57"/>
      <c r="P34" s="57"/>
      <c r="Q34" s="57"/>
      <c r="R34" s="57"/>
      <c r="S34" s="84" t="str">
        <f>DEC2HEX(MOD(HEX2DEC(D34)+HEX2DEC(E34)+HEX2DEC(F34)+HEX2DEC(G34)+HEX2DEC(H34)+HEX2DEC(I34)+HEX2DEC(J34)+HEX2DEC(K34)+HEX2DEC(L34)+HEX2DEC(M34)+HEX2DEC(N34)+HEX2DEC(O34)+HEX2DEC(R34),256),2)</f>
        <v>FE</v>
      </c>
      <c r="T34" s="84" t="s">
        <v>5</v>
      </c>
      <c r="U34" s="55" t="str">
        <f>IF(ISBLANK(C34),,C34&amp;" ")&amp;IF(ISBLANK(D34),,D34&amp;" ")&amp;IF(ISBLANK(E34),,E34&amp;" ")&amp;IF(ISBLANK(F34),,F34&amp;" ")&amp;IF(ISBLANK(G34),,G34&amp;" ")&amp;IF(ISBLANK(H34),,H34&amp;" ")&amp;IF(ISBLANK(I34),,I34&amp;" ")&amp;IF(ISBLANK(J34),,J34&amp;" ")&amp;IF(ISBLANK(K34),,K34&amp;" ")&amp;IF(ISBLANK(L34),,L34&amp;" ")&amp;IF(ISBLANK(M34),,M34&amp;" ")&amp;IF(ISBLANK(N34),,N34&amp;" ")&amp;IF(ISBLANK(O34),,O34&amp;" ")&amp;IF(ISBLANK(R34),,R34&amp;" ")&amp;IF(ISBLANK(S34),,S34&amp;" ")&amp;IF(ISBLANK(T34),,T34)</f>
        <v>aa 00 04 E0 00 10 0A FE 55</v>
      </c>
      <c r="V34" s="116">
        <v>10</v>
      </c>
      <c r="W34" s="572" t="s">
        <v>599</v>
      </c>
      <c r="X34" s="573"/>
      <c r="Y34" s="573"/>
      <c r="Z34" s="573"/>
      <c r="AA34" s="573"/>
      <c r="AB34" s="573"/>
      <c r="AC34" s="574"/>
    </row>
    <row r="38" spans="3:29" ht="22.2" x14ac:dyDescent="0.25">
      <c r="C38" s="468" t="s">
        <v>726</v>
      </c>
      <c r="D38" s="469"/>
      <c r="E38" s="469"/>
      <c r="F38" s="469"/>
      <c r="G38" s="469"/>
      <c r="H38" s="469"/>
      <c r="I38" s="469"/>
      <c r="J38" s="469"/>
      <c r="K38" s="469"/>
      <c r="L38" s="469"/>
      <c r="M38" s="469"/>
      <c r="N38" s="469"/>
      <c r="O38" s="469"/>
      <c r="P38" s="469"/>
      <c r="Q38" s="469"/>
      <c r="R38" s="469"/>
      <c r="S38" s="469"/>
      <c r="T38" s="469"/>
      <c r="U38" s="469"/>
      <c r="V38" s="469"/>
      <c r="W38" s="469"/>
      <c r="X38" s="469"/>
      <c r="Y38" s="469"/>
      <c r="Z38" s="469"/>
      <c r="AA38" s="469"/>
      <c r="AB38" s="469"/>
      <c r="AC38" s="470"/>
    </row>
    <row r="39" spans="3:29" x14ac:dyDescent="0.25">
      <c r="C39" s="388" t="s">
        <v>275</v>
      </c>
      <c r="D39" s="388"/>
      <c r="E39" s="388"/>
      <c r="F39" s="388"/>
      <c r="G39" s="388"/>
      <c r="H39" s="388"/>
      <c r="I39" s="388"/>
      <c r="J39" s="388"/>
      <c r="K39" s="388"/>
      <c r="L39" s="388"/>
      <c r="M39" s="388"/>
      <c r="N39" s="388"/>
      <c r="O39" s="388"/>
      <c r="P39" s="388"/>
      <c r="Q39" s="388"/>
      <c r="R39" s="388"/>
      <c r="S39" s="388"/>
      <c r="T39" s="388"/>
      <c r="U39" s="294" t="s">
        <v>266</v>
      </c>
      <c r="V39" s="388" t="s">
        <v>267</v>
      </c>
      <c r="W39" s="388"/>
      <c r="X39" s="388"/>
      <c r="Y39" s="388"/>
      <c r="Z39" s="388" t="s">
        <v>268</v>
      </c>
      <c r="AA39" s="388"/>
      <c r="AB39" s="388"/>
      <c r="AC39" s="388"/>
    </row>
    <row r="40" spans="3:29" ht="16.8" x14ac:dyDescent="0.25">
      <c r="C40" s="86" t="s">
        <v>77</v>
      </c>
      <c r="D40" s="295" t="s">
        <v>78</v>
      </c>
      <c r="E40" s="295" t="s">
        <v>10</v>
      </c>
      <c r="F40" s="295" t="s">
        <v>79</v>
      </c>
      <c r="G40" s="295" t="s">
        <v>80</v>
      </c>
      <c r="H40" s="295" t="s">
        <v>11</v>
      </c>
      <c r="I40" s="571" t="s">
        <v>83</v>
      </c>
      <c r="J40" s="424"/>
      <c r="K40" s="424"/>
      <c r="L40" s="424"/>
      <c r="M40" s="424"/>
      <c r="N40" s="424"/>
      <c r="O40" s="424"/>
      <c r="P40" s="424"/>
      <c r="Q40" s="424"/>
      <c r="R40" s="424"/>
      <c r="S40" s="83" t="s">
        <v>81</v>
      </c>
      <c r="T40" s="83" t="s">
        <v>82</v>
      </c>
      <c r="U40" s="51" t="s">
        <v>276</v>
      </c>
      <c r="V40" s="45"/>
      <c r="W40" s="45"/>
      <c r="X40" s="45"/>
      <c r="Y40" s="45"/>
      <c r="Z40" s="435" t="s">
        <v>6</v>
      </c>
      <c r="AA40" s="435"/>
      <c r="AB40" s="435"/>
      <c r="AC40" s="435"/>
    </row>
    <row r="41" spans="3:29" x14ac:dyDescent="0.25">
      <c r="C41" s="84" t="s">
        <v>0</v>
      </c>
      <c r="D41" s="75" t="s">
        <v>1</v>
      </c>
      <c r="E41" s="75" t="str">
        <f t="shared" ref="E41" si="9">DEC2HEX( COUNTA(F41:R41),2)</f>
        <v>03</v>
      </c>
      <c r="F41" s="76" t="s">
        <v>381</v>
      </c>
      <c r="G41" s="76" t="s">
        <v>727</v>
      </c>
      <c r="H41" s="113" t="s">
        <v>70</v>
      </c>
      <c r="I41" s="76"/>
      <c r="J41" s="114"/>
      <c r="K41" s="57"/>
      <c r="L41" s="57"/>
      <c r="M41" s="57"/>
      <c r="N41" s="57"/>
      <c r="O41" s="57"/>
      <c r="P41" s="57"/>
      <c r="Q41" s="57"/>
      <c r="R41" s="57"/>
      <c r="S41" s="84" t="str">
        <f t="shared" ref="S41" si="10">DEC2HEX(MOD(HEX2DEC(D41)+HEX2DEC(E41)+HEX2DEC(F41)+HEX2DEC(G41)+HEX2DEC(H41)+HEX2DEC(I41)+HEX2DEC(J41)+HEX2DEC(K41)+HEX2DEC(L41)+HEX2DEC(M41)+HEX2DEC(N41)+HEX2DEC(O41)+HEX2DEC(R41),256),2)</f>
        <v>77</v>
      </c>
      <c r="T41" s="84" t="s">
        <v>5</v>
      </c>
      <c r="U41" s="275" t="str">
        <f t="shared" ref="U41:U43" si="11">IF(ISBLANK(C41),,C41&amp;" ")&amp;IF(ISBLANK(D41),,D41&amp;" ")&amp;IF(ISBLANK(E41),,E41&amp;" ")&amp;IF(ISBLANK(F41),,F41&amp;" ")&amp;IF(ISBLANK(G41),,G41&amp;" ")&amp;IF(ISBLANK(H41),,H41&amp;" ")&amp;IF(ISBLANK(I41),,I41&amp;" ")&amp;IF(ISBLANK(J41),,J41&amp;" ")&amp;IF(ISBLANK(K41),,K41&amp;" ")&amp;IF(ISBLANK(L41),,L41&amp;" ")&amp;IF(ISBLANK(M41),,M41&amp;" ")&amp;IF(ISBLANK(N41),,N41&amp;" ")&amp;IF(ISBLANK(O41),,O41&amp;" ")&amp;IF(ISBLANK(R41),,R41&amp;" ")&amp;IF(ISBLANK(S41),,S41&amp;" ")&amp;IF(ISBLANK(T41),,T41)</f>
        <v>aa 00 03 64 00 10 77 55</v>
      </c>
      <c r="V41" s="116"/>
      <c r="W41" s="106"/>
      <c r="X41" s="106"/>
      <c r="Y41" s="106"/>
      <c r="Z41" s="492" t="s">
        <v>729</v>
      </c>
      <c r="AA41" s="492"/>
      <c r="AB41" s="492"/>
      <c r="AC41" s="492"/>
    </row>
    <row r="42" spans="3:29" x14ac:dyDescent="0.25">
      <c r="C42" s="84" t="s">
        <v>0</v>
      </c>
      <c r="D42" s="75" t="s">
        <v>1</v>
      </c>
      <c r="E42" s="75" t="str">
        <f t="shared" ref="E42:E44" si="12">DEC2HEX( COUNTA(F42:R42),2)</f>
        <v>03</v>
      </c>
      <c r="F42" s="76" t="s">
        <v>381</v>
      </c>
      <c r="G42" s="76" t="s">
        <v>14</v>
      </c>
      <c r="H42" s="113" t="s">
        <v>70</v>
      </c>
      <c r="I42" s="76"/>
      <c r="J42" s="114"/>
      <c r="K42" s="57"/>
      <c r="L42" s="57"/>
      <c r="M42" s="57"/>
      <c r="N42" s="57"/>
      <c r="O42" s="57"/>
      <c r="P42" s="57"/>
      <c r="Q42" s="57"/>
      <c r="R42" s="57"/>
      <c r="S42" s="84" t="str">
        <f t="shared" ref="S42:S44" si="13">DEC2HEX(MOD(HEX2DEC(D42)+HEX2DEC(E42)+HEX2DEC(F42)+HEX2DEC(G42)+HEX2DEC(H42)+HEX2DEC(I42)+HEX2DEC(J42)+HEX2DEC(K42)+HEX2DEC(L42)+HEX2DEC(M42)+HEX2DEC(N42)+HEX2DEC(O42)+HEX2DEC(R42),256),2)</f>
        <v>78</v>
      </c>
      <c r="T42" s="84" t="s">
        <v>5</v>
      </c>
      <c r="U42" s="275" t="str">
        <f t="shared" si="11"/>
        <v>aa 00 03 64 01 10 78 55</v>
      </c>
      <c r="V42" s="116"/>
      <c r="W42" s="106"/>
      <c r="X42" s="106"/>
      <c r="Y42" s="106"/>
      <c r="Z42" s="492" t="s">
        <v>400</v>
      </c>
      <c r="AA42" s="492"/>
      <c r="AB42" s="492"/>
      <c r="AC42" s="492"/>
    </row>
    <row r="43" spans="3:29" x14ac:dyDescent="0.25">
      <c r="C43" s="84" t="s">
        <v>0</v>
      </c>
      <c r="D43" s="75" t="s">
        <v>1</v>
      </c>
      <c r="E43" s="75" t="str">
        <f t="shared" si="12"/>
        <v>03</v>
      </c>
      <c r="F43" s="76" t="s">
        <v>381</v>
      </c>
      <c r="G43" s="76" t="s">
        <v>15</v>
      </c>
      <c r="H43" s="113" t="s">
        <v>70</v>
      </c>
      <c r="I43" s="76"/>
      <c r="J43" s="114"/>
      <c r="K43" s="57"/>
      <c r="L43" s="57"/>
      <c r="M43" s="57"/>
      <c r="N43" s="57"/>
      <c r="O43" s="57"/>
      <c r="P43" s="57"/>
      <c r="Q43" s="57"/>
      <c r="R43" s="57"/>
      <c r="S43" s="84" t="str">
        <f t="shared" si="13"/>
        <v>79</v>
      </c>
      <c r="T43" s="84" t="s">
        <v>5</v>
      </c>
      <c r="U43" s="275" t="str">
        <f t="shared" si="11"/>
        <v>aa 00 03 64 02 10 79 55</v>
      </c>
      <c r="V43" s="116"/>
      <c r="W43" s="106"/>
      <c r="X43" s="106"/>
      <c r="Y43" s="106"/>
      <c r="Z43" s="492" t="s">
        <v>401</v>
      </c>
      <c r="AA43" s="492"/>
      <c r="AB43" s="492"/>
      <c r="AC43" s="492"/>
    </row>
    <row r="44" spans="3:29" x14ac:dyDescent="0.25">
      <c r="C44" s="84" t="s">
        <v>0</v>
      </c>
      <c r="D44" s="75" t="s">
        <v>1</v>
      </c>
      <c r="E44" s="75" t="str">
        <f t="shared" si="12"/>
        <v>03</v>
      </c>
      <c r="F44" s="76" t="s">
        <v>381</v>
      </c>
      <c r="G44" s="76" t="s">
        <v>13</v>
      </c>
      <c r="H44" s="113" t="s">
        <v>70</v>
      </c>
      <c r="I44" s="76"/>
      <c r="J44" s="114"/>
      <c r="K44" s="57"/>
      <c r="L44" s="57"/>
      <c r="M44" s="57"/>
      <c r="N44" s="57"/>
      <c r="O44" s="57"/>
      <c r="P44" s="57"/>
      <c r="Q44" s="57"/>
      <c r="R44" s="57"/>
      <c r="S44" s="84" t="str">
        <f t="shared" si="13"/>
        <v>7A</v>
      </c>
      <c r="T44" s="84" t="s">
        <v>5</v>
      </c>
      <c r="U44" s="275" t="str">
        <f t="shared" ref="U44:U51" si="14">IF(ISBLANK(C44),,C44&amp;" ")&amp;IF(ISBLANK(D44),,D44&amp;" ")&amp;IF(ISBLANK(E44),,E44&amp;" ")&amp;IF(ISBLANK(F44),,F44&amp;" ")&amp;IF(ISBLANK(G44),,G44&amp;" ")&amp;IF(ISBLANK(H44),,H44&amp;" ")&amp;IF(ISBLANK(I44),,I44&amp;" ")&amp;IF(ISBLANK(J44),,J44&amp;" ")&amp;IF(ISBLANK(K44),,K44&amp;" ")&amp;IF(ISBLANK(L44),,L44&amp;" ")&amp;IF(ISBLANK(M44),,M44&amp;" ")&amp;IF(ISBLANK(N44),,N44&amp;" ")&amp;IF(ISBLANK(O44),,O44&amp;" ")&amp;IF(ISBLANK(R44),,R44&amp;" ")&amp;IF(ISBLANK(S44),,S44&amp;" ")&amp;IF(ISBLANK(T44),,T44)</f>
        <v>aa 00 03 64 03 10 7A 55</v>
      </c>
      <c r="V44" s="116"/>
      <c r="W44" s="106"/>
      <c r="X44" s="106"/>
      <c r="Y44" s="106"/>
      <c r="Z44" s="492" t="s">
        <v>399</v>
      </c>
      <c r="AA44" s="492"/>
      <c r="AB44" s="492"/>
      <c r="AC44" s="492"/>
    </row>
    <row r="45" spans="3:29" x14ac:dyDescent="0.25">
      <c r="C45" s="84" t="s">
        <v>0</v>
      </c>
      <c r="D45" s="75" t="s">
        <v>1</v>
      </c>
      <c r="E45" s="75" t="str">
        <f t="shared" ref="E45:E51" si="15">DEC2HEX( COUNTA(F45:R45),2)</f>
        <v>03</v>
      </c>
      <c r="F45" s="76" t="s">
        <v>381</v>
      </c>
      <c r="G45" s="76" t="s">
        <v>18</v>
      </c>
      <c r="H45" s="113" t="s">
        <v>70</v>
      </c>
      <c r="I45" s="76"/>
      <c r="J45" s="114"/>
      <c r="K45" s="57"/>
      <c r="L45" s="57"/>
      <c r="M45" s="57"/>
      <c r="N45" s="57"/>
      <c r="O45" s="57"/>
      <c r="P45" s="57"/>
      <c r="Q45" s="57"/>
      <c r="R45" s="57"/>
      <c r="S45" s="84" t="str">
        <f t="shared" ref="S45:S51" si="16">DEC2HEX(MOD(HEX2DEC(D45)+HEX2DEC(E45)+HEX2DEC(F45)+HEX2DEC(G45)+HEX2DEC(H45)+HEX2DEC(I45)+HEX2DEC(J45)+HEX2DEC(K45)+HEX2DEC(L45)+HEX2DEC(M45)+HEX2DEC(N45)+HEX2DEC(O45)+HEX2DEC(R45),256),2)</f>
        <v>7B</v>
      </c>
      <c r="T45" s="84" t="s">
        <v>5</v>
      </c>
      <c r="U45" s="275" t="str">
        <f t="shared" si="14"/>
        <v>aa 00 03 64 04 10 7B 55</v>
      </c>
      <c r="V45" s="116"/>
      <c r="W45" s="106"/>
      <c r="X45" s="106"/>
      <c r="Y45" s="106"/>
      <c r="Z45" s="492" t="s">
        <v>400</v>
      </c>
      <c r="AA45" s="492"/>
      <c r="AB45" s="492"/>
      <c r="AC45" s="492"/>
    </row>
    <row r="46" spans="3:29" x14ac:dyDescent="0.25">
      <c r="C46" s="84" t="s">
        <v>0</v>
      </c>
      <c r="D46" s="75" t="s">
        <v>1</v>
      </c>
      <c r="E46" s="75" t="str">
        <f t="shared" si="15"/>
        <v>03</v>
      </c>
      <c r="F46" s="76" t="s">
        <v>381</v>
      </c>
      <c r="G46" s="76" t="s">
        <v>122</v>
      </c>
      <c r="H46" s="113" t="s">
        <v>70</v>
      </c>
      <c r="I46" s="76"/>
      <c r="J46" s="114"/>
      <c r="K46" s="57"/>
      <c r="L46" s="57"/>
      <c r="M46" s="57"/>
      <c r="N46" s="57"/>
      <c r="O46" s="57"/>
      <c r="P46" s="57"/>
      <c r="Q46" s="57"/>
      <c r="R46" s="57"/>
      <c r="S46" s="84" t="str">
        <f t="shared" si="16"/>
        <v>7C</v>
      </c>
      <c r="T46" s="84" t="s">
        <v>5</v>
      </c>
      <c r="U46" s="275" t="str">
        <f t="shared" si="14"/>
        <v>aa 00 03 64 05 10 7C 55</v>
      </c>
      <c r="V46" s="116"/>
      <c r="W46" s="106"/>
      <c r="X46" s="106"/>
      <c r="Y46" s="106"/>
      <c r="Z46" s="492" t="s">
        <v>401</v>
      </c>
      <c r="AA46" s="492"/>
      <c r="AB46" s="492"/>
      <c r="AC46" s="492"/>
    </row>
    <row r="47" spans="3:29" x14ac:dyDescent="0.25">
      <c r="C47" s="84" t="s">
        <v>0</v>
      </c>
      <c r="D47" s="75" t="s">
        <v>1</v>
      </c>
      <c r="E47" s="75" t="str">
        <f t="shared" si="15"/>
        <v>03</v>
      </c>
      <c r="F47" s="76" t="s">
        <v>381</v>
      </c>
      <c r="G47" s="76" t="s">
        <v>123</v>
      </c>
      <c r="H47" s="113" t="s">
        <v>70</v>
      </c>
      <c r="I47" s="76"/>
      <c r="J47" s="114"/>
      <c r="K47" s="57"/>
      <c r="L47" s="57"/>
      <c r="M47" s="57"/>
      <c r="N47" s="57"/>
      <c r="O47" s="57"/>
      <c r="P47" s="57"/>
      <c r="Q47" s="57"/>
      <c r="R47" s="57"/>
      <c r="S47" s="84" t="str">
        <f t="shared" si="16"/>
        <v>7D</v>
      </c>
      <c r="T47" s="84" t="s">
        <v>5</v>
      </c>
      <c r="U47" s="275" t="str">
        <f t="shared" si="14"/>
        <v>aa 00 03 64 06 10 7D 55</v>
      </c>
      <c r="V47" s="116"/>
      <c r="W47" s="106"/>
      <c r="X47" s="106"/>
      <c r="Y47" s="106"/>
      <c r="Z47" s="492" t="s">
        <v>399</v>
      </c>
      <c r="AA47" s="492"/>
      <c r="AB47" s="492"/>
      <c r="AC47" s="492"/>
    </row>
    <row r="48" spans="3:29" x14ac:dyDescent="0.25">
      <c r="C48" s="84" t="s">
        <v>0</v>
      </c>
      <c r="D48" s="75" t="s">
        <v>1</v>
      </c>
      <c r="E48" s="75" t="str">
        <f t="shared" si="15"/>
        <v>03</v>
      </c>
      <c r="F48" s="76" t="s">
        <v>381</v>
      </c>
      <c r="G48" s="76" t="s">
        <v>124</v>
      </c>
      <c r="H48" s="113" t="s">
        <v>70</v>
      </c>
      <c r="I48" s="76"/>
      <c r="J48" s="114"/>
      <c r="K48" s="57"/>
      <c r="L48" s="57"/>
      <c r="M48" s="57"/>
      <c r="N48" s="57"/>
      <c r="O48" s="57"/>
      <c r="P48" s="57"/>
      <c r="Q48" s="57"/>
      <c r="R48" s="57"/>
      <c r="S48" s="84" t="str">
        <f t="shared" si="16"/>
        <v>7E</v>
      </c>
      <c r="T48" s="84" t="s">
        <v>5</v>
      </c>
      <c r="U48" s="275" t="str">
        <f t="shared" si="14"/>
        <v>aa 00 03 64 07 10 7E 55</v>
      </c>
      <c r="V48" s="116"/>
      <c r="W48" s="106"/>
      <c r="X48" s="106"/>
      <c r="Y48" s="106"/>
      <c r="Z48" s="492" t="s">
        <v>400</v>
      </c>
      <c r="AA48" s="492"/>
      <c r="AB48" s="492"/>
      <c r="AC48" s="492"/>
    </row>
    <row r="49" spans="3:29" x14ac:dyDescent="0.25">
      <c r="C49" s="84" t="s">
        <v>0</v>
      </c>
      <c r="D49" s="75" t="s">
        <v>1</v>
      </c>
      <c r="E49" s="75" t="str">
        <f t="shared" si="15"/>
        <v>03</v>
      </c>
      <c r="F49" s="76" t="s">
        <v>381</v>
      </c>
      <c r="G49" s="76" t="s">
        <v>125</v>
      </c>
      <c r="H49" s="113" t="s">
        <v>70</v>
      </c>
      <c r="I49" s="76"/>
      <c r="J49" s="114"/>
      <c r="K49" s="57"/>
      <c r="L49" s="57"/>
      <c r="M49" s="57"/>
      <c r="N49" s="57"/>
      <c r="O49" s="57"/>
      <c r="P49" s="57"/>
      <c r="Q49" s="57"/>
      <c r="R49" s="57"/>
      <c r="S49" s="84" t="str">
        <f t="shared" si="16"/>
        <v>7F</v>
      </c>
      <c r="T49" s="84" t="s">
        <v>5</v>
      </c>
      <c r="U49" s="275" t="str">
        <f t="shared" si="14"/>
        <v>aa 00 03 64 08 10 7F 55</v>
      </c>
      <c r="V49" s="116"/>
      <c r="W49" s="106"/>
      <c r="X49" s="106"/>
      <c r="Y49" s="106"/>
      <c r="Z49" s="492" t="s">
        <v>401</v>
      </c>
      <c r="AA49" s="492"/>
      <c r="AB49" s="492"/>
      <c r="AC49" s="492"/>
    </row>
    <row r="50" spans="3:29" x14ac:dyDescent="0.25">
      <c r="C50" s="84" t="s">
        <v>0</v>
      </c>
      <c r="D50" s="75" t="s">
        <v>1</v>
      </c>
      <c r="E50" s="75" t="str">
        <f t="shared" si="15"/>
        <v>03</v>
      </c>
      <c r="F50" s="76" t="s">
        <v>381</v>
      </c>
      <c r="G50" s="76" t="s">
        <v>126</v>
      </c>
      <c r="H50" s="113" t="s">
        <v>70</v>
      </c>
      <c r="I50" s="76"/>
      <c r="J50" s="114"/>
      <c r="K50" s="57"/>
      <c r="L50" s="57"/>
      <c r="M50" s="57"/>
      <c r="N50" s="57"/>
      <c r="O50" s="57"/>
      <c r="P50" s="57"/>
      <c r="Q50" s="57"/>
      <c r="R50" s="57"/>
      <c r="S50" s="84" t="str">
        <f t="shared" si="16"/>
        <v>80</v>
      </c>
      <c r="T50" s="84" t="s">
        <v>5</v>
      </c>
      <c r="U50" s="275" t="str">
        <f t="shared" si="14"/>
        <v>aa 00 03 64 09 10 80 55</v>
      </c>
      <c r="V50" s="116"/>
      <c r="W50" s="106"/>
      <c r="X50" s="106"/>
      <c r="Y50" s="106"/>
      <c r="Z50" s="492" t="s">
        <v>399</v>
      </c>
      <c r="AA50" s="492"/>
      <c r="AB50" s="492"/>
      <c r="AC50" s="492"/>
    </row>
    <row r="51" spans="3:29" x14ac:dyDescent="0.25">
      <c r="C51" s="84" t="s">
        <v>0</v>
      </c>
      <c r="D51" s="75" t="s">
        <v>1</v>
      </c>
      <c r="E51" s="75" t="str">
        <f t="shared" si="15"/>
        <v>03</v>
      </c>
      <c r="F51" s="76" t="s">
        <v>381</v>
      </c>
      <c r="G51" s="76" t="s">
        <v>728</v>
      </c>
      <c r="H51" s="113" t="s">
        <v>70</v>
      </c>
      <c r="I51" s="76"/>
      <c r="J51" s="114"/>
      <c r="K51" s="57"/>
      <c r="L51" s="57"/>
      <c r="M51" s="57"/>
      <c r="N51" s="57"/>
      <c r="O51" s="57"/>
      <c r="P51" s="57"/>
      <c r="Q51" s="57"/>
      <c r="R51" s="57"/>
      <c r="S51" s="84" t="str">
        <f t="shared" si="16"/>
        <v>81</v>
      </c>
      <c r="T51" s="84" t="s">
        <v>5</v>
      </c>
      <c r="U51" s="275" t="str">
        <f t="shared" si="14"/>
        <v>aa 00 03 64 0a 10 81 55</v>
      </c>
      <c r="V51" s="116"/>
      <c r="W51" s="106"/>
      <c r="X51" s="106"/>
      <c r="Y51" s="106"/>
      <c r="Z51" s="492" t="s">
        <v>400</v>
      </c>
      <c r="AA51" s="492"/>
      <c r="AB51" s="492"/>
      <c r="AC51" s="492"/>
    </row>
    <row r="52" spans="3:29" x14ac:dyDescent="0.25">
      <c r="C52" s="84"/>
      <c r="D52" s="75"/>
      <c r="E52" s="75"/>
      <c r="F52" s="76"/>
      <c r="G52" s="76"/>
      <c r="H52" s="113"/>
      <c r="I52" s="76"/>
      <c r="J52" s="114"/>
      <c r="K52" s="57"/>
      <c r="L52" s="57"/>
      <c r="M52" s="57"/>
      <c r="N52" s="57"/>
      <c r="O52" s="57"/>
      <c r="P52" s="57"/>
      <c r="Q52" s="57"/>
      <c r="R52" s="57"/>
      <c r="S52" s="84"/>
      <c r="T52" s="84"/>
      <c r="U52" s="275"/>
      <c r="V52" s="116"/>
      <c r="W52" s="106"/>
      <c r="X52" s="106"/>
      <c r="Y52" s="106"/>
      <c r="Z52" s="492"/>
      <c r="AA52" s="492"/>
      <c r="AB52" s="492"/>
      <c r="AC52" s="492"/>
    </row>
  </sheetData>
  <sheetProtection selectLockedCells="1"/>
  <mergeCells count="53">
    <mergeCell ref="Z31:AC31"/>
    <mergeCell ref="Z27:AC27"/>
    <mergeCell ref="Z28:AC28"/>
    <mergeCell ref="Z29:AC29"/>
    <mergeCell ref="Z30:AC30"/>
    <mergeCell ref="W34:AC34"/>
    <mergeCell ref="I5:R5"/>
    <mergeCell ref="Z5:AC5"/>
    <mergeCell ref="C2:AC2"/>
    <mergeCell ref="C3:AC3"/>
    <mergeCell ref="C4:T4"/>
    <mergeCell ref="V4:Y4"/>
    <mergeCell ref="Z4:AC4"/>
    <mergeCell ref="Z11:AC11"/>
    <mergeCell ref="Z12:AC12"/>
    <mergeCell ref="Z13:AC13"/>
    <mergeCell ref="Z14:AC14"/>
    <mergeCell ref="Z15:AC15"/>
    <mergeCell ref="Z6:AC6"/>
    <mergeCell ref="Z7:AC7"/>
    <mergeCell ref="Z8:AC8"/>
    <mergeCell ref="Z9:AC9"/>
    <mergeCell ref="Z10:AC10"/>
    <mergeCell ref="C18:AC18"/>
    <mergeCell ref="C19:AC19"/>
    <mergeCell ref="C20:T20"/>
    <mergeCell ref="V20:Y20"/>
    <mergeCell ref="Z20:AC20"/>
    <mergeCell ref="Z25:AC25"/>
    <mergeCell ref="Z26:AC26"/>
    <mergeCell ref="I21:R21"/>
    <mergeCell ref="Z21:AC21"/>
    <mergeCell ref="Z22:AC22"/>
    <mergeCell ref="Z23:AC23"/>
    <mergeCell ref="Z24:AC24"/>
    <mergeCell ref="C38:AC38"/>
    <mergeCell ref="C39:T39"/>
    <mergeCell ref="V39:Y39"/>
    <mergeCell ref="Z39:AC39"/>
    <mergeCell ref="I40:R40"/>
    <mergeCell ref="Z40:AC40"/>
    <mergeCell ref="Z41:AC41"/>
    <mergeCell ref="Z42:AC42"/>
    <mergeCell ref="Z43:AC43"/>
    <mergeCell ref="Z44:AC44"/>
    <mergeCell ref="Z45:AC45"/>
    <mergeCell ref="Z51:AC51"/>
    <mergeCell ref="Z52:AC52"/>
    <mergeCell ref="Z46:AC46"/>
    <mergeCell ref="Z47:AC47"/>
    <mergeCell ref="Z48:AC48"/>
    <mergeCell ref="Z49:AC49"/>
    <mergeCell ref="Z50:AC50"/>
  </mergeCells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B2:AB14"/>
  <sheetViews>
    <sheetView zoomScale="115" zoomScaleNormal="115" workbookViewId="0">
      <selection activeCell="T6" sqref="T6"/>
    </sheetView>
  </sheetViews>
  <sheetFormatPr defaultColWidth="9" defaultRowHeight="14.4" x14ac:dyDescent="0.25"/>
  <cols>
    <col min="1" max="19" width="3.6640625" style="43" customWidth="1"/>
    <col min="20" max="20" width="40.6640625" style="43" customWidth="1"/>
    <col min="21" max="24" width="5.6640625" style="43" customWidth="1"/>
    <col min="25" max="28" width="10.6640625" style="43" customWidth="1"/>
    <col min="29" max="16384" width="9" style="43"/>
  </cols>
  <sheetData>
    <row r="2" spans="2:28" x14ac:dyDescent="0.25">
      <c r="B2" s="428" t="s">
        <v>379</v>
      </c>
      <c r="C2" s="429"/>
      <c r="D2" s="429"/>
      <c r="E2" s="429"/>
      <c r="F2" s="429"/>
      <c r="G2" s="429"/>
      <c r="H2" s="429"/>
      <c r="I2" s="429"/>
      <c r="J2" s="429"/>
      <c r="K2" s="429"/>
      <c r="L2" s="429"/>
      <c r="M2" s="429"/>
      <c r="N2" s="429"/>
      <c r="O2" s="429"/>
      <c r="P2" s="429"/>
      <c r="Q2" s="429"/>
      <c r="R2" s="429"/>
      <c r="S2" s="429"/>
      <c r="T2" s="429"/>
      <c r="U2" s="429"/>
      <c r="V2" s="429"/>
      <c r="W2" s="429"/>
      <c r="X2" s="429"/>
      <c r="Y2" s="429"/>
      <c r="Z2" s="429"/>
      <c r="AA2" s="429"/>
      <c r="AB2" s="430"/>
    </row>
    <row r="3" spans="2:28" ht="22.2" x14ac:dyDescent="0.25">
      <c r="B3" s="468" t="s">
        <v>388</v>
      </c>
      <c r="C3" s="469"/>
      <c r="D3" s="469"/>
      <c r="E3" s="469"/>
      <c r="F3" s="469"/>
      <c r="G3" s="469"/>
      <c r="H3" s="469"/>
      <c r="I3" s="469"/>
      <c r="J3" s="469"/>
      <c r="K3" s="469"/>
      <c r="L3" s="469"/>
      <c r="M3" s="469"/>
      <c r="N3" s="469"/>
      <c r="O3" s="469"/>
      <c r="P3" s="469"/>
      <c r="Q3" s="469"/>
      <c r="R3" s="469"/>
      <c r="S3" s="469"/>
      <c r="T3" s="469"/>
      <c r="U3" s="469"/>
      <c r="V3" s="469"/>
      <c r="W3" s="469"/>
      <c r="X3" s="469"/>
      <c r="Y3" s="469"/>
      <c r="Z3" s="469"/>
      <c r="AA3" s="469"/>
      <c r="AB3" s="470"/>
    </row>
    <row r="4" spans="2:28" ht="30" customHeight="1" x14ac:dyDescent="0.25">
      <c r="B4" s="388" t="s">
        <v>275</v>
      </c>
      <c r="C4" s="388"/>
      <c r="D4" s="388"/>
      <c r="E4" s="388"/>
      <c r="F4" s="388"/>
      <c r="G4" s="388"/>
      <c r="H4" s="388"/>
      <c r="I4" s="388"/>
      <c r="J4" s="388"/>
      <c r="K4" s="388"/>
      <c r="L4" s="388"/>
      <c r="M4" s="388"/>
      <c r="N4" s="388"/>
      <c r="O4" s="388"/>
      <c r="P4" s="388"/>
      <c r="Q4" s="388"/>
      <c r="R4" s="388"/>
      <c r="S4" s="388"/>
      <c r="T4" s="108" t="s">
        <v>266</v>
      </c>
      <c r="U4" s="575" t="s">
        <v>393</v>
      </c>
      <c r="V4" s="388"/>
      <c r="W4" s="388"/>
      <c r="X4" s="388"/>
      <c r="Y4" s="388" t="s">
        <v>268</v>
      </c>
      <c r="Z4" s="388"/>
      <c r="AA4" s="388"/>
      <c r="AB4" s="388"/>
    </row>
    <row r="5" spans="2:28" ht="12" customHeight="1" x14ac:dyDescent="0.25">
      <c r="B5" s="86" t="s">
        <v>77</v>
      </c>
      <c r="C5" s="109" t="s">
        <v>78</v>
      </c>
      <c r="D5" s="109" t="s">
        <v>10</v>
      </c>
      <c r="E5" s="109" t="s">
        <v>79</v>
      </c>
      <c r="F5" s="109" t="s">
        <v>80</v>
      </c>
      <c r="G5" s="109" t="s">
        <v>11</v>
      </c>
      <c r="H5" s="571" t="s">
        <v>83</v>
      </c>
      <c r="I5" s="571"/>
      <c r="J5" s="571"/>
      <c r="K5" s="571"/>
      <c r="L5" s="571"/>
      <c r="M5" s="571"/>
      <c r="N5" s="424"/>
      <c r="O5" s="424"/>
      <c r="P5" s="424"/>
      <c r="Q5" s="424"/>
      <c r="R5" s="83" t="s">
        <v>81</v>
      </c>
      <c r="S5" s="83" t="s">
        <v>82</v>
      </c>
      <c r="T5" s="51" t="s">
        <v>276</v>
      </c>
      <c r="U5" s="45" t="s">
        <v>395</v>
      </c>
      <c r="V5" s="112" t="s">
        <v>390</v>
      </c>
      <c r="W5" s="112" t="s">
        <v>391</v>
      </c>
      <c r="X5" s="45"/>
      <c r="Y5" s="435" t="s">
        <v>6</v>
      </c>
      <c r="Z5" s="435"/>
      <c r="AA5" s="435"/>
      <c r="AB5" s="435"/>
    </row>
    <row r="6" spans="2:28" ht="12" customHeight="1" x14ac:dyDescent="0.25">
      <c r="B6" s="84" t="s">
        <v>0</v>
      </c>
      <c r="C6" s="75" t="s">
        <v>1</v>
      </c>
      <c r="D6" s="75" t="s">
        <v>52</v>
      </c>
      <c r="E6" s="76" t="s">
        <v>389</v>
      </c>
      <c r="F6" s="76" t="s">
        <v>1</v>
      </c>
      <c r="G6" s="113" t="s">
        <v>1</v>
      </c>
      <c r="H6" s="54" t="str">
        <f>LEFT(DEC2HEX(U6,4),2)</f>
        <v>03</v>
      </c>
      <c r="I6" s="54" t="str">
        <f>RIGHT(DEC2HEX(U6,4),2)</f>
        <v>E8</v>
      </c>
      <c r="J6" s="54" t="str">
        <f>LEFT(DEC2HEX(V6,4),2)</f>
        <v>00</v>
      </c>
      <c r="K6" s="54" t="str">
        <f>RIGHT(DEC2HEX(V6,4),2)</f>
        <v>00</v>
      </c>
      <c r="L6" s="54" t="str">
        <f>LEFT(DEC2HEX(W6,4),2)</f>
        <v>00</v>
      </c>
      <c r="M6" s="54" t="str">
        <f>RIGHT(DEC2HEX(W6,4),2)</f>
        <v>00</v>
      </c>
      <c r="N6" s="114"/>
      <c r="O6" s="57"/>
      <c r="P6" s="57"/>
      <c r="Q6" s="57"/>
      <c r="R6" s="84" t="str">
        <f>DEC2HEX(MOD(HEX2DEC(C6)+HEX2DEC(D6)+HEX2DEC(E6)+HEX2DEC(F6)+HEX2DEC(G6)+HEX2DEC(H6)+HEX2DEC(I6)+HEX2DEC(J6)+HEX2DEC(K6)+HEX2DEC(L6)+HEX2DEC(M6)+HEX2DEC(N6)+HEX2DEC(Q6),256),2)</f>
        <v>D6</v>
      </c>
      <c r="S6" s="84" t="s">
        <v>5</v>
      </c>
      <c r="T6" s="55" t="str">
        <f>IF(ISBLANK(B6),,B6&amp;" ")&amp;IF(ISBLANK(C6),,C6&amp;" ")&amp;IF(ISBLANK(D6),,D6&amp;" ")&amp;IF(ISBLANK(E6),,E6&amp;" ")&amp;IF(ISBLANK(F6),,F6&amp;" ")&amp;IF(ISBLANK(G6),,G6&amp;" ")&amp;IF(ISBLANK(H6),,H6&amp;" ")&amp;IF(ISBLANK(I6),,I6&amp;" ")&amp;IF(ISBLANK(J6),,J6&amp;" ")&amp;IF(ISBLANK(K6),,K6&amp;" ")&amp;IF(ISBLANK(L6),,L6&amp;" ")&amp;IF(ISBLANK(M6),,M6&amp;" ")&amp;IF(ISBLANK(N6),,N6&amp;" ")&amp;IF(ISBLANK(Q6),,Q6&amp;" ")&amp;IF(ISBLANK(R6),,R6&amp;" ")&amp;IF(ISBLANK(S6),,S6)</f>
        <v>aa 00 09 E2 00 00 03 E8 00 00 00 00 D6 55</v>
      </c>
      <c r="U6" s="110">
        <v>1000</v>
      </c>
      <c r="V6" s="77">
        <v>0</v>
      </c>
      <c r="W6" s="77">
        <v>0</v>
      </c>
      <c r="X6" s="111"/>
      <c r="Y6" s="492" t="s">
        <v>392</v>
      </c>
      <c r="Z6" s="492"/>
      <c r="AA6" s="492"/>
      <c r="AB6" s="492"/>
    </row>
    <row r="10" spans="2:28" x14ac:dyDescent="0.25">
      <c r="B10" s="428" t="s">
        <v>379</v>
      </c>
      <c r="C10" s="429"/>
      <c r="D10" s="429"/>
      <c r="E10" s="429"/>
      <c r="F10" s="429"/>
      <c r="G10" s="429"/>
      <c r="H10" s="429"/>
      <c r="I10" s="429"/>
      <c r="J10" s="429"/>
      <c r="K10" s="429"/>
      <c r="L10" s="429"/>
      <c r="M10" s="429"/>
      <c r="N10" s="429"/>
      <c r="O10" s="429"/>
      <c r="P10" s="429"/>
      <c r="Q10" s="429"/>
      <c r="R10" s="429"/>
      <c r="S10" s="429"/>
      <c r="T10" s="429"/>
      <c r="U10" s="429"/>
      <c r="V10" s="429"/>
      <c r="W10" s="429"/>
      <c r="X10" s="429"/>
      <c r="Y10" s="429"/>
      <c r="Z10" s="429"/>
      <c r="AA10" s="429"/>
      <c r="AB10" s="430"/>
    </row>
    <row r="11" spans="2:28" ht="22.2" x14ac:dyDescent="0.25">
      <c r="B11" s="468" t="s">
        <v>394</v>
      </c>
      <c r="C11" s="469"/>
      <c r="D11" s="469"/>
      <c r="E11" s="469"/>
      <c r="F11" s="469"/>
      <c r="G11" s="469"/>
      <c r="H11" s="469"/>
      <c r="I11" s="469"/>
      <c r="J11" s="469"/>
      <c r="K11" s="469"/>
      <c r="L11" s="469"/>
      <c r="M11" s="469"/>
      <c r="N11" s="469"/>
      <c r="O11" s="469"/>
      <c r="P11" s="469"/>
      <c r="Q11" s="469"/>
      <c r="R11" s="469"/>
      <c r="S11" s="469"/>
      <c r="T11" s="469"/>
      <c r="U11" s="469"/>
      <c r="V11" s="469"/>
      <c r="W11" s="469"/>
      <c r="X11" s="469"/>
      <c r="Y11" s="469"/>
      <c r="Z11" s="469"/>
      <c r="AA11" s="469"/>
      <c r="AB11" s="470"/>
    </row>
    <row r="12" spans="2:28" x14ac:dyDescent="0.25">
      <c r="B12" s="388" t="s">
        <v>275</v>
      </c>
      <c r="C12" s="388"/>
      <c r="D12" s="388"/>
      <c r="E12" s="388"/>
      <c r="F12" s="388"/>
      <c r="G12" s="388"/>
      <c r="H12" s="388"/>
      <c r="I12" s="388"/>
      <c r="J12" s="388"/>
      <c r="K12" s="388"/>
      <c r="L12" s="388"/>
      <c r="M12" s="388"/>
      <c r="N12" s="388"/>
      <c r="O12" s="388"/>
      <c r="P12" s="388"/>
      <c r="Q12" s="388"/>
      <c r="R12" s="388"/>
      <c r="S12" s="388"/>
      <c r="T12" s="108" t="s">
        <v>266</v>
      </c>
      <c r="U12" s="575" t="s">
        <v>393</v>
      </c>
      <c r="V12" s="388"/>
      <c r="W12" s="388"/>
      <c r="X12" s="388"/>
      <c r="Y12" s="388" t="s">
        <v>268</v>
      </c>
      <c r="Z12" s="388"/>
      <c r="AA12" s="388"/>
      <c r="AB12" s="388"/>
    </row>
    <row r="13" spans="2:28" ht="16.8" x14ac:dyDescent="0.25">
      <c r="B13" s="86" t="s">
        <v>77</v>
      </c>
      <c r="C13" s="109" t="s">
        <v>78</v>
      </c>
      <c r="D13" s="109" t="s">
        <v>10</v>
      </c>
      <c r="E13" s="109" t="s">
        <v>79</v>
      </c>
      <c r="F13" s="109" t="s">
        <v>80</v>
      </c>
      <c r="G13" s="109" t="s">
        <v>11</v>
      </c>
      <c r="H13" s="571" t="s">
        <v>83</v>
      </c>
      <c r="I13" s="571"/>
      <c r="J13" s="571"/>
      <c r="K13" s="571"/>
      <c r="L13" s="571"/>
      <c r="M13" s="571"/>
      <c r="N13" s="424"/>
      <c r="O13" s="424"/>
      <c r="P13" s="424"/>
      <c r="Q13" s="424"/>
      <c r="R13" s="83" t="s">
        <v>81</v>
      </c>
      <c r="S13" s="83" t="s">
        <v>82</v>
      </c>
      <c r="T13" s="51" t="s">
        <v>276</v>
      </c>
      <c r="U13" s="45" t="s">
        <v>395</v>
      </c>
      <c r="V13" s="112"/>
      <c r="W13" s="112"/>
      <c r="X13" s="45"/>
      <c r="Y13" s="435" t="s">
        <v>6</v>
      </c>
      <c r="Z13" s="435"/>
      <c r="AA13" s="435"/>
      <c r="AB13" s="435"/>
    </row>
    <row r="14" spans="2:28" x14ac:dyDescent="0.25">
      <c r="B14" s="84" t="s">
        <v>0</v>
      </c>
      <c r="C14" s="75" t="s">
        <v>1</v>
      </c>
      <c r="D14" s="75" t="s">
        <v>269</v>
      </c>
      <c r="E14" s="76" t="s">
        <v>396</v>
      </c>
      <c r="F14" s="76" t="s">
        <v>1</v>
      </c>
      <c r="G14" s="113" t="s">
        <v>1</v>
      </c>
      <c r="H14" s="54" t="str">
        <f>LEFT(DEC2HEX(U14,4),2)</f>
        <v>03</v>
      </c>
      <c r="I14" s="54" t="str">
        <f>RIGHT(DEC2HEX(U14,4),2)</f>
        <v>E8</v>
      </c>
      <c r="J14" s="114"/>
      <c r="K14" s="114"/>
      <c r="L14" s="114"/>
      <c r="M14" s="114"/>
      <c r="N14" s="114"/>
      <c r="O14" s="57"/>
      <c r="P14" s="57"/>
      <c r="Q14" s="57"/>
      <c r="R14" s="84" t="str">
        <f>DEC2HEX(MOD(HEX2DEC(C14)+HEX2DEC(D14)+HEX2DEC(E14)+HEX2DEC(F14)+HEX2DEC(G14)+HEX2DEC(H14)+HEX2DEC(I14)+HEX2DEC(J14)+HEX2DEC(K14)+HEX2DEC(L14)+HEX2DEC(M14)+HEX2DEC(N14)+HEX2DEC(Q14),256),2)</f>
        <v>D3</v>
      </c>
      <c r="S14" s="84" t="s">
        <v>5</v>
      </c>
      <c r="T14" s="55" t="str">
        <f>IF(ISBLANK(B14),,B14&amp;" ")&amp;IF(ISBLANK(C14),,C14&amp;" ")&amp;IF(ISBLANK(D14),,D14&amp;" ")&amp;IF(ISBLANK(E14),,E14&amp;" ")&amp;IF(ISBLANK(F14),,F14&amp;" ")&amp;IF(ISBLANK(G14),,G14&amp;" ")&amp;IF(ISBLANK(H14),,H14&amp;" ")&amp;IF(ISBLANK(I14),,I14&amp;" ")&amp;IF(ISBLANK(J14),,J14&amp;" ")&amp;IF(ISBLANK(K14),,K14&amp;" ")&amp;IF(ISBLANK(L14),,L14&amp;" ")&amp;IF(ISBLANK(M14),,M14&amp;" ")&amp;IF(ISBLANK(N14),,N14&amp;" ")&amp;IF(ISBLANK(Q14),,Q14&amp;" ")&amp;IF(ISBLANK(R14),,R14&amp;" ")&amp;IF(ISBLANK(S14),,S14)</f>
        <v>aa 00 05 E3 00 00 03 E8 D3 55</v>
      </c>
      <c r="U14" s="115">
        <v>1000</v>
      </c>
      <c r="V14" s="106"/>
      <c r="W14" s="111"/>
      <c r="X14" s="111"/>
      <c r="Y14" s="492" t="s">
        <v>743</v>
      </c>
      <c r="Z14" s="492"/>
      <c r="AA14" s="492"/>
      <c r="AB14" s="492"/>
    </row>
  </sheetData>
  <mergeCells count="16">
    <mergeCell ref="Y6:AB6"/>
    <mergeCell ref="B2:AB2"/>
    <mergeCell ref="B3:AB3"/>
    <mergeCell ref="B4:S4"/>
    <mergeCell ref="U4:X4"/>
    <mergeCell ref="Y4:AB4"/>
    <mergeCell ref="H5:Q5"/>
    <mergeCell ref="Y5:AB5"/>
    <mergeCell ref="Y13:AB13"/>
    <mergeCell ref="Y14:AB14"/>
    <mergeCell ref="B10:AB10"/>
    <mergeCell ref="B11:AB11"/>
    <mergeCell ref="B12:S12"/>
    <mergeCell ref="U12:X12"/>
    <mergeCell ref="Y12:AB12"/>
    <mergeCell ref="H13:Q13"/>
  </mergeCells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5"/>
  <dimension ref="A1:AY108"/>
  <sheetViews>
    <sheetView zoomScale="70" zoomScaleNormal="70" workbookViewId="0">
      <selection activeCell="T9" sqref="T9"/>
    </sheetView>
  </sheetViews>
  <sheetFormatPr defaultRowHeight="14.1" customHeight="1" x14ac:dyDescent="0.25"/>
  <cols>
    <col min="1" max="1" width="4.109375" customWidth="1"/>
    <col min="2" max="2" width="3.6640625" style="217" customWidth="1"/>
    <col min="3" max="6" width="3.6640625" customWidth="1"/>
    <col min="7" max="7" width="6.33203125" customWidth="1"/>
    <col min="8" max="14" width="3.6640625" customWidth="1"/>
    <col min="15" max="18" width="3.6640625" style="217" customWidth="1"/>
    <col min="19" max="19" width="3.6640625" customWidth="1"/>
    <col min="20" max="20" width="34.6640625" customWidth="1"/>
    <col min="21" max="21" width="7.109375" style="97" customWidth="1"/>
    <col min="22" max="22" width="7.44140625" style="97" customWidth="1"/>
    <col min="23" max="23" width="40.21875" customWidth="1"/>
    <col min="24" max="24" width="4.109375" customWidth="1"/>
    <col min="25" max="42" width="3.6640625" customWidth="1"/>
    <col min="43" max="43" width="27.33203125" customWidth="1"/>
    <col min="44" max="47" width="5.6640625" customWidth="1"/>
    <col min="48" max="51" width="10.6640625" customWidth="1"/>
  </cols>
  <sheetData>
    <row r="1" spans="2:51" ht="14.1" customHeight="1" x14ac:dyDescent="0.25">
      <c r="B1" s="515" t="s">
        <v>413</v>
      </c>
      <c r="C1" s="515"/>
      <c r="D1" s="515"/>
      <c r="E1" s="515"/>
      <c r="F1" s="515"/>
      <c r="G1" s="515"/>
      <c r="H1" s="515"/>
      <c r="I1" s="515"/>
      <c r="J1" s="515"/>
      <c r="K1" s="515"/>
      <c r="L1" s="515"/>
      <c r="M1" s="515"/>
      <c r="N1" s="515"/>
      <c r="O1" s="515"/>
      <c r="P1" s="515"/>
      <c r="Q1" s="515"/>
      <c r="R1" s="515"/>
      <c r="S1" s="515"/>
      <c r="T1" s="515"/>
      <c r="U1" s="515"/>
      <c r="V1" s="515"/>
      <c r="W1" s="515"/>
      <c r="Y1" s="431" t="s">
        <v>414</v>
      </c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1"/>
      <c r="AP1" s="431"/>
      <c r="AQ1" s="431"/>
      <c r="AR1" s="431"/>
      <c r="AS1" s="431"/>
      <c r="AT1" s="431"/>
      <c r="AU1" s="431"/>
      <c r="AV1" s="431"/>
      <c r="AW1" s="431"/>
      <c r="AX1" s="431"/>
      <c r="AY1" s="431"/>
    </row>
    <row r="2" spans="2:51" ht="14.1" customHeight="1" x14ac:dyDescent="0.25">
      <c r="B2" s="515"/>
      <c r="C2" s="515"/>
      <c r="D2" s="515"/>
      <c r="E2" s="515"/>
      <c r="F2" s="515"/>
      <c r="G2" s="515"/>
      <c r="H2" s="515"/>
      <c r="I2" s="515"/>
      <c r="J2" s="515"/>
      <c r="K2" s="515"/>
      <c r="L2" s="515"/>
      <c r="M2" s="515"/>
      <c r="N2" s="515"/>
      <c r="O2" s="515"/>
      <c r="P2" s="515"/>
      <c r="Q2" s="515"/>
      <c r="R2" s="515"/>
      <c r="S2" s="515"/>
      <c r="T2" s="515"/>
      <c r="U2" s="515"/>
      <c r="V2" s="515"/>
      <c r="W2" s="515"/>
      <c r="Y2" s="431"/>
      <c r="Z2" s="431"/>
      <c r="AA2" s="431"/>
      <c r="AB2" s="431"/>
      <c r="AC2" s="431"/>
      <c r="AD2" s="431"/>
      <c r="AE2" s="431"/>
      <c r="AF2" s="431"/>
      <c r="AG2" s="431"/>
      <c r="AH2" s="431"/>
      <c r="AI2" s="431"/>
      <c r="AJ2" s="431"/>
      <c r="AK2" s="431"/>
      <c r="AL2" s="431"/>
      <c r="AM2" s="431"/>
      <c r="AN2" s="431"/>
      <c r="AO2" s="431"/>
      <c r="AP2" s="431"/>
      <c r="AQ2" s="431"/>
      <c r="AR2" s="431"/>
      <c r="AS2" s="431"/>
      <c r="AT2" s="431"/>
      <c r="AU2" s="431"/>
      <c r="AV2" s="431"/>
      <c r="AW2" s="431"/>
      <c r="AX2" s="431"/>
      <c r="AY2" s="431"/>
    </row>
    <row r="3" spans="2:51" ht="14.1" customHeight="1" x14ac:dyDescent="0.25">
      <c r="B3" s="559" t="s">
        <v>241</v>
      </c>
      <c r="C3" s="559"/>
      <c r="D3" s="559"/>
      <c r="E3" s="559"/>
      <c r="F3" s="559"/>
      <c r="G3" s="559"/>
      <c r="H3" s="559"/>
      <c r="I3" s="559"/>
      <c r="J3" s="559"/>
      <c r="K3" s="559"/>
      <c r="L3" s="559"/>
      <c r="M3" s="559"/>
      <c r="N3" s="559"/>
      <c r="O3" s="559"/>
      <c r="P3" s="559"/>
      <c r="Q3" s="559"/>
      <c r="R3" s="559"/>
      <c r="S3" s="559"/>
      <c r="T3" s="559"/>
      <c r="U3" s="559"/>
      <c r="V3" s="559"/>
      <c r="W3" s="559"/>
      <c r="Y3" s="388" t="s">
        <v>275</v>
      </c>
      <c r="Z3" s="388"/>
      <c r="AA3" s="388"/>
      <c r="AB3" s="388"/>
      <c r="AC3" s="388"/>
      <c r="AD3" s="388"/>
      <c r="AE3" s="388"/>
      <c r="AF3" s="388"/>
      <c r="AG3" s="388"/>
      <c r="AH3" s="388"/>
      <c r="AI3" s="388"/>
      <c r="AJ3" s="388"/>
      <c r="AK3" s="388"/>
      <c r="AL3" s="388"/>
      <c r="AM3" s="388"/>
      <c r="AN3" s="388"/>
      <c r="AO3" s="388"/>
      <c r="AP3" s="388"/>
      <c r="AQ3" s="119" t="s">
        <v>266</v>
      </c>
      <c r="AR3" s="388" t="s">
        <v>267</v>
      </c>
      <c r="AS3" s="388"/>
      <c r="AT3" s="388"/>
      <c r="AU3" s="388"/>
      <c r="AV3" s="388" t="s">
        <v>268</v>
      </c>
      <c r="AW3" s="388"/>
      <c r="AX3" s="388"/>
      <c r="AY3" s="388"/>
    </row>
    <row r="4" spans="2:51" ht="14.1" customHeight="1" x14ac:dyDescent="0.25">
      <c r="B4" s="215"/>
      <c r="C4" s="32"/>
      <c r="D4" s="32" t="s">
        <v>378</v>
      </c>
      <c r="E4" s="33" t="s">
        <v>229</v>
      </c>
      <c r="F4" s="33" t="s">
        <v>230</v>
      </c>
      <c r="G4" s="33" t="s">
        <v>231</v>
      </c>
      <c r="H4" s="33" t="s">
        <v>232</v>
      </c>
      <c r="I4" s="402" t="s">
        <v>233</v>
      </c>
      <c r="J4" s="402"/>
      <c r="K4" s="245"/>
      <c r="L4" s="33" t="s">
        <v>234</v>
      </c>
      <c r="M4" s="122" t="s">
        <v>235</v>
      </c>
      <c r="N4" s="236"/>
      <c r="O4" s="122"/>
      <c r="P4" s="122"/>
      <c r="Q4" s="122"/>
      <c r="R4" s="237" t="s">
        <v>81</v>
      </c>
      <c r="S4" s="32"/>
      <c r="T4" s="14" t="s">
        <v>236</v>
      </c>
      <c r="U4" s="23" t="s">
        <v>237</v>
      </c>
      <c r="V4" s="352"/>
      <c r="W4" s="353"/>
      <c r="Y4" s="86" t="s">
        <v>77</v>
      </c>
      <c r="Z4" s="120" t="s">
        <v>78</v>
      </c>
      <c r="AA4" s="120" t="s">
        <v>10</v>
      </c>
      <c r="AB4" s="120" t="s">
        <v>79</v>
      </c>
      <c r="AC4" s="120" t="s">
        <v>80</v>
      </c>
      <c r="AD4" s="120" t="s">
        <v>11</v>
      </c>
      <c r="AE4" s="424" t="s">
        <v>83</v>
      </c>
      <c r="AF4" s="424"/>
      <c r="AG4" s="424"/>
      <c r="AH4" s="424"/>
      <c r="AI4" s="424"/>
      <c r="AJ4" s="424"/>
      <c r="AK4" s="424"/>
      <c r="AL4" s="424"/>
      <c r="AM4" s="424"/>
      <c r="AN4" s="424"/>
      <c r="AO4" s="83" t="s">
        <v>81</v>
      </c>
      <c r="AP4" s="83" t="s">
        <v>82</v>
      </c>
      <c r="AQ4" s="51" t="s">
        <v>276</v>
      </c>
      <c r="AR4" s="45" t="s">
        <v>418</v>
      </c>
      <c r="AS4" s="45" t="s">
        <v>419</v>
      </c>
      <c r="AT4" s="435" t="s">
        <v>6</v>
      </c>
      <c r="AU4" s="435"/>
      <c r="AV4" s="435"/>
      <c r="AW4" s="435"/>
      <c r="AX4" s="435"/>
      <c r="AY4" s="435"/>
    </row>
    <row r="5" spans="2:51" ht="14.1" customHeight="1" x14ac:dyDescent="0.25">
      <c r="B5" s="10" t="s">
        <v>0</v>
      </c>
      <c r="C5" s="1" t="s">
        <v>1</v>
      </c>
      <c r="D5" s="75" t="str">
        <f>DEC2HEX( COUNTA(E5:Q5),2)</f>
        <v>08</v>
      </c>
      <c r="E5" s="2" t="s">
        <v>71</v>
      </c>
      <c r="F5" s="2" t="s">
        <v>69</v>
      </c>
      <c r="G5" s="2" t="s">
        <v>70</v>
      </c>
      <c r="H5" s="3" t="s">
        <v>550</v>
      </c>
      <c r="I5" s="3" t="str">
        <f t="shared" ref="I5:I13" si="0">LEFT(RIGHT(DEC2HEX(U5,4),4),2)</f>
        <v>03</v>
      </c>
      <c r="J5" s="3" t="str">
        <f t="shared" ref="J5:J13" si="1">LEFT(RIGHT(DEC2HEX(U5,4),2),2)</f>
        <v>E8</v>
      </c>
      <c r="K5" s="3"/>
      <c r="L5" s="3" t="s">
        <v>1</v>
      </c>
      <c r="M5" s="3" t="s">
        <v>1</v>
      </c>
      <c r="N5" s="236"/>
      <c r="O5" s="229"/>
      <c r="P5" s="229"/>
      <c r="Q5" s="229"/>
      <c r="R5" s="84" t="str">
        <f>DEC2HEX(MOD(HEX2DEC(C5)+HEX2DEC(D5)+HEX2DEC(E5)+HEX2DEC(F5)+HEX2DEC(G5)+HEX2DEC(H5)+HEX2DEC(I5)+HEX2DEC(J5)+HEX2DEC(K5)+HEX2DEC(L5)+HEX2DEC(M5)+HEX2DEC(N5)+HEX2DEC(O5)+HEX2DEC(P5)+HEX2DEC(Q5),256),2)</f>
        <v>37</v>
      </c>
      <c r="S5" s="10" t="s">
        <v>5</v>
      </c>
      <c r="T5" s="55" t="str">
        <f>IF(ISBLANK(B5),,B5&amp;" ")&amp;IF(ISBLANK(C5),,C5&amp;" ")&amp;IF(ISBLANK(D5),,D5&amp;" ")&amp;IF(ISBLANK(E5),,E5&amp;" ")&amp;IF(ISBLANK(F5),,F5&amp;" ")&amp;IF(ISBLANK(G5),,G5&amp;" ")&amp;IF(ISBLANK(H5),,H5&amp;" ")&amp;IF(ISBLANK(I5),,I5&amp;" ")&amp;IF(ISBLANK(J5),,J5&amp;" ")&amp;IF(ISBLANK(K5),,K5&amp;" ")&amp;IF(ISBLANK(L5),,L5&amp;" ")&amp;IF(ISBLANK(M5),,M5&amp;" ")&amp;IF(ISBLANK(N5),,N5&amp;" ")&amp;IF(ISBLANK(O5),,O5&amp;" ")&amp;IF(ISBLANK(P5),,P5&amp;" ")&amp;IF(ISBLANK(Q5),,Q5&amp;" ")&amp;IF(ISBLANK(R5),,R5&amp;" ")&amp;IF(ISBLANK(S5),,S5)</f>
        <v>aa 00 08 23 01 10 10 03 E8 00 00 37 55</v>
      </c>
      <c r="U5" s="41">
        <v>1000</v>
      </c>
      <c r="V5" s="354" t="s">
        <v>626</v>
      </c>
      <c r="W5" s="355"/>
      <c r="Y5" s="84" t="s">
        <v>0</v>
      </c>
      <c r="Z5" s="75" t="s">
        <v>1</v>
      </c>
      <c r="AA5" s="75" t="s">
        <v>9</v>
      </c>
      <c r="AB5" s="76" t="s">
        <v>420</v>
      </c>
      <c r="AC5" s="76" t="s">
        <v>1</v>
      </c>
      <c r="AD5" s="76" t="s">
        <v>1</v>
      </c>
      <c r="AE5" s="54" t="str">
        <f>DEC2HEX(AR5,2)</f>
        <v>01</v>
      </c>
      <c r="AF5" s="54" t="str">
        <f>DEC2HEX(AS5,2)</f>
        <v>0A</v>
      </c>
      <c r="AG5" s="57"/>
      <c r="AH5" s="57"/>
      <c r="AI5" s="57"/>
      <c r="AJ5" s="57"/>
      <c r="AK5" s="57"/>
      <c r="AL5" s="57"/>
      <c r="AM5" s="57"/>
      <c r="AN5" s="57"/>
      <c r="AO5" s="84" t="str">
        <f>DEC2HEX(MOD(HEX2DEC(Z5)+HEX2DEC(AA5)+HEX2DEC(AB5)+HEX2DEC(AC5)+HEX2DEC(AD5)+HEX2DEC(AE5)+HEX2DEC(AF5)+HEX2DEC(AG5)+HEX2DEC(AH5)+HEX2DEC(AI5)+HEX2DEC(AJ5)+HEX2DEC(AK5)+HEX2DEC(AN5),256),2)</f>
        <v>80</v>
      </c>
      <c r="AP5" s="84" t="s">
        <v>5</v>
      </c>
      <c r="AQ5" s="55" t="str">
        <f>IF(ISBLANK(Y5),,Y5&amp;" ")&amp;IF(ISBLANK(Z5),,Z5&amp;" ")&amp;IF(ISBLANK(AA5),,AA5&amp;" ")&amp;IF(ISBLANK(AB5),,AB5&amp;" ")&amp;IF(ISBLANK(AC5),,AC5&amp;" ")&amp;IF(ISBLANK(AD5),,AD5&amp;" ")&amp;IF(ISBLANK(AE5),,AE5&amp;" ")&amp;IF(ISBLANK(AF5),,AF5&amp;" ")&amp;IF(ISBLANK(AG5),,AG5&amp;" ")&amp;IF(ISBLANK(AH5),,AH5&amp;" ")&amp;IF(ISBLANK(AI5),,AI5&amp;" ")&amp;IF(ISBLANK(AJ5),,AJ5&amp;" ")&amp;IF(ISBLANK(AK5),,AK5&amp;" ")&amp;IF(ISBLANK(AN5),,AN5&amp;" ")&amp;IF(ISBLANK(AO5),,AO5&amp;" ")&amp;IF(ISBLANK(AP5),,AP5)</f>
        <v>aa 00 05 70 00 00 01 0A 80 55</v>
      </c>
      <c r="AR5" s="116">
        <v>1</v>
      </c>
      <c r="AS5" s="116">
        <v>10</v>
      </c>
      <c r="AT5" s="492" t="s">
        <v>416</v>
      </c>
      <c r="AU5" s="492"/>
      <c r="AV5" s="492"/>
      <c r="AW5" s="492"/>
      <c r="AX5" s="492"/>
      <c r="AY5" s="492"/>
    </row>
    <row r="6" spans="2:51" ht="14.1" customHeight="1" x14ac:dyDescent="0.25">
      <c r="B6" s="10" t="s">
        <v>0</v>
      </c>
      <c r="C6" s="1" t="s">
        <v>1</v>
      </c>
      <c r="D6" s="75" t="str">
        <f t="shared" ref="D6:D13" si="2">DEC2HEX( COUNTA(E6:Q6),2)</f>
        <v>08</v>
      </c>
      <c r="E6" s="2" t="s">
        <v>71</v>
      </c>
      <c r="F6" s="2" t="s">
        <v>15</v>
      </c>
      <c r="G6" s="2" t="s">
        <v>70</v>
      </c>
      <c r="H6" s="3" t="s">
        <v>550</v>
      </c>
      <c r="I6" s="3" t="str">
        <f t="shared" si="0"/>
        <v>03</v>
      </c>
      <c r="J6" s="3" t="str">
        <f t="shared" si="1"/>
        <v>E8</v>
      </c>
      <c r="K6" s="3"/>
      <c r="L6" s="3" t="s">
        <v>1</v>
      </c>
      <c r="M6" s="3" t="s">
        <v>1</v>
      </c>
      <c r="N6" s="236"/>
      <c r="O6" s="229"/>
      <c r="P6" s="229"/>
      <c r="Q6" s="229"/>
      <c r="R6" s="84" t="str">
        <f t="shared" ref="R6:R13" si="3">DEC2HEX(MOD(HEX2DEC(C6)+HEX2DEC(D6)+HEX2DEC(E6)+HEX2DEC(F6)+HEX2DEC(G6)+HEX2DEC(H6)+HEX2DEC(I6)+HEX2DEC(J6)+HEX2DEC(K6)+HEX2DEC(L6)+HEX2DEC(M6)+HEX2DEC(N6)+HEX2DEC(O6)+HEX2DEC(P6)+HEX2DEC(Q6),256),2)</f>
        <v>38</v>
      </c>
      <c r="S6" s="10" t="s">
        <v>5</v>
      </c>
      <c r="T6" s="55" t="str">
        <f t="shared" ref="T6:T13" si="4">IF(ISBLANK(B6),,B6&amp;" ")&amp;IF(ISBLANK(C6),,C6&amp;" ")&amp;IF(ISBLANK(D6),,D6&amp;" ")&amp;IF(ISBLANK(E6),,E6&amp;" ")&amp;IF(ISBLANK(F6),,F6&amp;" ")&amp;IF(ISBLANK(G6),,G6&amp;" ")&amp;IF(ISBLANK(H6),,H6&amp;" ")&amp;IF(ISBLANK(I6),,I6&amp;" ")&amp;IF(ISBLANK(J6),,J6&amp;" ")&amp;IF(ISBLANK(K6),,K6&amp;" ")&amp;IF(ISBLANK(L6),,L6&amp;" ")&amp;IF(ISBLANK(M6),,M6&amp;" ")&amp;IF(ISBLANK(N6),,N6&amp;" ")&amp;IF(ISBLANK(O6),,O6&amp;" ")&amp;IF(ISBLANK(P6),,P6&amp;" ")&amp;IF(ISBLANK(Q6),,Q6&amp;" ")&amp;IF(ISBLANK(R6),,R6&amp;" ")&amp;IF(ISBLANK(S6),,S6)</f>
        <v>aa 00 08 23 02 10 10 03 E8 00 00 38 55</v>
      </c>
      <c r="U6" s="41">
        <v>1000</v>
      </c>
      <c r="V6" s="354" t="s">
        <v>549</v>
      </c>
      <c r="W6" s="355"/>
      <c r="Y6" s="84" t="s">
        <v>0</v>
      </c>
      <c r="Z6" s="75" t="s">
        <v>1</v>
      </c>
      <c r="AA6" s="75" t="s">
        <v>8</v>
      </c>
      <c r="AB6" s="76" t="s">
        <v>420</v>
      </c>
      <c r="AC6" s="76" t="s">
        <v>1</v>
      </c>
      <c r="AD6" s="76" t="s">
        <v>70</v>
      </c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84" t="str">
        <f>DEC2HEX(MOD(HEX2DEC(Z6)+HEX2DEC(AA6)+HEX2DEC(AB6)+HEX2DEC(AC6)+HEX2DEC(AD6)+HEX2DEC(AE6)+HEX2DEC(AF6)+HEX2DEC(AG6)+HEX2DEC(AH6)+HEX2DEC(AI6)+HEX2DEC(AJ6)+HEX2DEC(AK6)+HEX2DEC(AN6),256),2)</f>
        <v>83</v>
      </c>
      <c r="AP6" s="84" t="s">
        <v>5</v>
      </c>
      <c r="AQ6" s="55" t="str">
        <f>IF(ISBLANK(Y6),,Y6&amp;" ")&amp;IF(ISBLANK(Z6),,Z6&amp;" ")&amp;IF(ISBLANK(AA6),,AA6&amp;" ")&amp;IF(ISBLANK(AB6),,AB6&amp;" ")&amp;IF(ISBLANK(AC6),,AC6&amp;" ")&amp;IF(ISBLANK(AD6),,AD6&amp;" ")&amp;IF(ISBLANK(AE6),,AE6&amp;" ")&amp;IF(ISBLANK(AF6),,AF6&amp;" ")&amp;IF(ISBLANK(AG6),,AG6&amp;" ")&amp;IF(ISBLANK(AH6),,AH6&amp;" ")&amp;IF(ISBLANK(AI6),,AI6&amp;" ")&amp;IF(ISBLANK(AJ6),,AJ6&amp;" ")&amp;IF(ISBLANK(AK6),,AK6&amp;" ")&amp;IF(ISBLANK(AN6),,AN6&amp;" ")&amp;IF(ISBLANK(AO6),,AO6&amp;" ")&amp;IF(ISBLANK(AP6),,AP6)</f>
        <v>aa 00 03 70 00 10 83 55</v>
      </c>
      <c r="AR6" s="492" t="s">
        <v>415</v>
      </c>
      <c r="AS6" s="492"/>
      <c r="AT6" s="492"/>
      <c r="AU6" s="492"/>
      <c r="AV6" s="492"/>
      <c r="AW6" s="492"/>
      <c r="AX6" s="492"/>
      <c r="AY6" s="492"/>
    </row>
    <row r="7" spans="2:51" ht="14.1" customHeight="1" x14ac:dyDescent="0.25">
      <c r="B7" s="10" t="s">
        <v>0</v>
      </c>
      <c r="C7" s="1" t="s">
        <v>1</v>
      </c>
      <c r="D7" s="75" t="str">
        <f t="shared" si="2"/>
        <v>08</v>
      </c>
      <c r="E7" s="2" t="s">
        <v>71</v>
      </c>
      <c r="F7" s="2" t="s">
        <v>13</v>
      </c>
      <c r="G7" s="2" t="s">
        <v>70</v>
      </c>
      <c r="H7" s="3" t="s">
        <v>550</v>
      </c>
      <c r="I7" s="3" t="str">
        <f t="shared" si="0"/>
        <v>03</v>
      </c>
      <c r="J7" s="3" t="str">
        <f t="shared" si="1"/>
        <v>E8</v>
      </c>
      <c r="K7" s="3"/>
      <c r="L7" s="3" t="s">
        <v>1</v>
      </c>
      <c r="M7" s="3" t="s">
        <v>1</v>
      </c>
      <c r="N7" s="236"/>
      <c r="O7" s="229"/>
      <c r="P7" s="229"/>
      <c r="Q7" s="229"/>
      <c r="R7" s="84" t="str">
        <f t="shared" si="3"/>
        <v>39</v>
      </c>
      <c r="S7" s="10" t="s">
        <v>5</v>
      </c>
      <c r="T7" s="55" t="str">
        <f t="shared" si="4"/>
        <v>aa 00 08 23 03 10 10 03 E8 00 00 39 55</v>
      </c>
      <c r="U7" s="41">
        <v>1000</v>
      </c>
      <c r="V7" s="354" t="s">
        <v>519</v>
      </c>
      <c r="W7" s="355"/>
      <c r="Y7" s="84" t="s">
        <v>0</v>
      </c>
      <c r="Z7" s="75" t="s">
        <v>1</v>
      </c>
      <c r="AA7" s="75" t="s">
        <v>431</v>
      </c>
      <c r="AB7" s="76" t="s">
        <v>420</v>
      </c>
      <c r="AC7" s="76" t="s">
        <v>1</v>
      </c>
      <c r="AD7" s="76" t="s">
        <v>28</v>
      </c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84" t="str">
        <f>DEC2HEX(MOD(HEX2DEC(Z7)+HEX2DEC(AA7)+HEX2DEC(AB7)+HEX2DEC(AC7)+HEX2DEC(AD7)+HEX2DEC(AE7)+HEX2DEC(AF7)+HEX2DEC(AG7)+HEX2DEC(AH7)+HEX2DEC(AI7)+HEX2DEC(AJ7)+HEX2DEC(AK7)+HEX2DEC(AN7),256),2)</f>
        <v>84</v>
      </c>
      <c r="AP7" s="84" t="s">
        <v>5</v>
      </c>
      <c r="AQ7" s="55" t="str">
        <f>IF(ISBLANK(Y7),,Y7&amp;" ")&amp;IF(ISBLANK(Z7),,Z7&amp;" ")&amp;IF(ISBLANK(AA7),,AA7&amp;" ")&amp;IF(ISBLANK(AB7),,AB7&amp;" ")&amp;IF(ISBLANK(AC7),,AC7&amp;" ")&amp;IF(ISBLANK(AD7),,AD7&amp;" ")&amp;IF(ISBLANK(AE7),,AE7&amp;" ")&amp;IF(ISBLANK(AF7),,AF7&amp;" ")&amp;IF(ISBLANK(AG7),,AG7&amp;" ")&amp;IF(ISBLANK(AH7),,AH7&amp;" ")&amp;IF(ISBLANK(AI7),,AI7&amp;" ")&amp;IF(ISBLANK(AJ7),,AJ7&amp;" ")&amp;IF(ISBLANK(AK7),,AK7&amp;" ")&amp;IF(ISBLANK(AN7),,AN7&amp;" ")&amp;IF(ISBLANK(AO7),,AO7&amp;" ")&amp;IF(ISBLANK(AP7),,AP7)</f>
        <v>aa 00 03 70 00 11 84 55</v>
      </c>
      <c r="AR7" s="492" t="s">
        <v>417</v>
      </c>
      <c r="AS7" s="492"/>
      <c r="AT7" s="492"/>
      <c r="AU7" s="492"/>
      <c r="AV7" s="492"/>
      <c r="AW7" s="492"/>
      <c r="AX7" s="492"/>
      <c r="AY7" s="492"/>
    </row>
    <row r="8" spans="2:51" ht="14.1" customHeight="1" x14ac:dyDescent="0.25">
      <c r="B8" s="10" t="s">
        <v>0</v>
      </c>
      <c r="C8" s="1" t="s">
        <v>1</v>
      </c>
      <c r="D8" s="75" t="str">
        <f t="shared" si="2"/>
        <v>08</v>
      </c>
      <c r="E8" s="2" t="s">
        <v>71</v>
      </c>
      <c r="F8" s="2" t="s">
        <v>18</v>
      </c>
      <c r="G8" s="2" t="s">
        <v>70</v>
      </c>
      <c r="H8" s="3" t="s">
        <v>550</v>
      </c>
      <c r="I8" s="3" t="str">
        <f>LEFT(RIGHT(DEC2HEX(U8,4),4),2)</f>
        <v>03</v>
      </c>
      <c r="J8" s="3" t="str">
        <f>LEFT(RIGHT(DEC2HEX(U8,4),2),2)</f>
        <v>E8</v>
      </c>
      <c r="K8" s="3"/>
      <c r="L8" s="3" t="s">
        <v>1</v>
      </c>
      <c r="M8" s="3" t="s">
        <v>1</v>
      </c>
      <c r="N8" s="236"/>
      <c r="O8" s="229"/>
      <c r="P8" s="229"/>
      <c r="Q8" s="229"/>
      <c r="R8" s="84" t="str">
        <f t="shared" si="3"/>
        <v>3A</v>
      </c>
      <c r="S8" s="10" t="s">
        <v>5</v>
      </c>
      <c r="T8" s="55" t="str">
        <f t="shared" si="4"/>
        <v>aa 00 08 23 04 10 10 03 E8 00 00 3A 55</v>
      </c>
      <c r="U8" s="41">
        <v>1000</v>
      </c>
      <c r="V8" s="354" t="s">
        <v>518</v>
      </c>
      <c r="W8" s="355"/>
    </row>
    <row r="9" spans="2:51" ht="14.1" customHeight="1" thickBot="1" x14ac:dyDescent="0.3">
      <c r="B9" s="10" t="s">
        <v>0</v>
      </c>
      <c r="C9" s="1" t="s">
        <v>1</v>
      </c>
      <c r="D9" s="75" t="str">
        <f t="shared" si="2"/>
        <v>08</v>
      </c>
      <c r="E9" s="2" t="s">
        <v>71</v>
      </c>
      <c r="F9" s="2" t="s">
        <v>122</v>
      </c>
      <c r="G9" s="2" t="s">
        <v>70</v>
      </c>
      <c r="H9" s="3" t="s">
        <v>550</v>
      </c>
      <c r="I9" s="3" t="str">
        <f>LEFT(RIGHT(DEC2HEX(U9,4),4),2)</f>
        <v>03</v>
      </c>
      <c r="J9" s="3" t="str">
        <f>LEFT(RIGHT(DEC2HEX(U9,4),2),2)</f>
        <v>E8</v>
      </c>
      <c r="K9" s="3"/>
      <c r="L9" s="3" t="s">
        <v>1</v>
      </c>
      <c r="M9" s="3" t="s">
        <v>1</v>
      </c>
      <c r="N9" s="236"/>
      <c r="O9" s="229"/>
      <c r="P9" s="229"/>
      <c r="Q9" s="229"/>
      <c r="R9" s="84" t="str">
        <f t="shared" si="3"/>
        <v>3B</v>
      </c>
      <c r="S9" s="10" t="s">
        <v>5</v>
      </c>
      <c r="T9" s="248" t="str">
        <f t="shared" si="4"/>
        <v>aa 00 08 23 05 10 10 03 E8 00 00 3B 55</v>
      </c>
      <c r="U9" s="41">
        <v>1000</v>
      </c>
      <c r="V9" s="354" t="s">
        <v>658</v>
      </c>
      <c r="W9" s="355"/>
      <c r="Y9" s="431" t="s">
        <v>421</v>
      </c>
      <c r="Z9" s="431"/>
      <c r="AA9" s="431"/>
      <c r="AB9" s="431"/>
      <c r="AC9" s="431"/>
      <c r="AD9" s="431"/>
      <c r="AE9" s="431"/>
      <c r="AF9" s="431"/>
      <c r="AG9" s="431"/>
      <c r="AH9" s="431"/>
      <c r="AI9" s="431"/>
      <c r="AJ9" s="431"/>
      <c r="AK9" s="431"/>
      <c r="AL9" s="431"/>
      <c r="AM9" s="431"/>
      <c r="AN9" s="431"/>
      <c r="AO9" s="431"/>
      <c r="AP9" s="431"/>
      <c r="AQ9" s="431"/>
      <c r="AR9" s="431"/>
      <c r="AS9" s="431"/>
      <c r="AT9" s="431"/>
      <c r="AU9" s="431"/>
      <c r="AV9" s="431"/>
      <c r="AW9" s="431"/>
      <c r="AX9" s="431"/>
      <c r="AY9" s="431"/>
    </row>
    <row r="10" spans="2:51" ht="14.1" customHeight="1" x14ac:dyDescent="0.25">
      <c r="B10" s="10" t="s">
        <v>0</v>
      </c>
      <c r="C10" s="1" t="s">
        <v>1</v>
      </c>
      <c r="D10" s="75" t="str">
        <f t="shared" si="2"/>
        <v>08</v>
      </c>
      <c r="E10" s="2" t="s">
        <v>71</v>
      </c>
      <c r="F10" s="2" t="s">
        <v>432</v>
      </c>
      <c r="G10" s="2" t="s">
        <v>70</v>
      </c>
      <c r="H10" s="3" t="s">
        <v>550</v>
      </c>
      <c r="I10" s="3" t="str">
        <f>LEFT(RIGHT(DEC2HEX(U10,4),4),2)</f>
        <v>03</v>
      </c>
      <c r="J10" s="3" t="str">
        <f>LEFT(RIGHT(DEC2HEX(U10,4),2),2)</f>
        <v>E8</v>
      </c>
      <c r="K10" s="3"/>
      <c r="L10" s="3" t="s">
        <v>1</v>
      </c>
      <c r="M10" s="3" t="s">
        <v>1</v>
      </c>
      <c r="N10" s="236"/>
      <c r="O10" s="229"/>
      <c r="P10" s="229"/>
      <c r="Q10" s="229"/>
      <c r="R10" s="84" t="str">
        <f t="shared" si="3"/>
        <v>3C</v>
      </c>
      <c r="S10" s="250" t="s">
        <v>5</v>
      </c>
      <c r="T10" s="252" t="str">
        <f t="shared" si="4"/>
        <v>aa 00 08 23 06 10 10 03 E8 00 00 3C 55</v>
      </c>
      <c r="U10" s="41">
        <v>1000</v>
      </c>
      <c r="V10" s="354" t="s">
        <v>659</v>
      </c>
      <c r="W10" s="355"/>
      <c r="Y10" s="431"/>
      <c r="Z10" s="431"/>
      <c r="AA10" s="431"/>
      <c r="AB10" s="431"/>
      <c r="AC10" s="431"/>
      <c r="AD10" s="431"/>
      <c r="AE10" s="431"/>
      <c r="AF10" s="431"/>
      <c r="AG10" s="431"/>
      <c r="AH10" s="431"/>
      <c r="AI10" s="431"/>
      <c r="AJ10" s="431"/>
      <c r="AK10" s="431"/>
      <c r="AL10" s="431"/>
      <c r="AM10" s="431"/>
      <c r="AN10" s="431"/>
      <c r="AO10" s="431"/>
      <c r="AP10" s="431"/>
      <c r="AQ10" s="431"/>
      <c r="AR10" s="431"/>
      <c r="AS10" s="431"/>
      <c r="AT10" s="431"/>
      <c r="AU10" s="431"/>
      <c r="AV10" s="431"/>
      <c r="AW10" s="431"/>
      <c r="AX10" s="431"/>
      <c r="AY10" s="431"/>
    </row>
    <row r="11" spans="2:51" ht="14.1" customHeight="1" x14ac:dyDescent="0.25">
      <c r="B11" s="10" t="s">
        <v>0</v>
      </c>
      <c r="C11" s="1" t="s">
        <v>1</v>
      </c>
      <c r="D11" s="75" t="str">
        <f t="shared" si="2"/>
        <v>08</v>
      </c>
      <c r="E11" s="2" t="s">
        <v>71</v>
      </c>
      <c r="F11" s="2" t="s">
        <v>514</v>
      </c>
      <c r="G11" s="2" t="s">
        <v>70</v>
      </c>
      <c r="H11" s="3" t="s">
        <v>550</v>
      </c>
      <c r="I11" s="3" t="str">
        <f t="shared" si="0"/>
        <v>03</v>
      </c>
      <c r="J11" s="3" t="str">
        <f t="shared" si="1"/>
        <v>E8</v>
      </c>
      <c r="K11" s="3"/>
      <c r="L11" s="3" t="s">
        <v>1</v>
      </c>
      <c r="M11" s="3" t="s">
        <v>1</v>
      </c>
      <c r="N11" s="236"/>
      <c r="O11" s="229"/>
      <c r="P11" s="229"/>
      <c r="Q11" s="229"/>
      <c r="R11" s="84" t="str">
        <f t="shared" si="3"/>
        <v>3D</v>
      </c>
      <c r="S11" s="250" t="s">
        <v>5</v>
      </c>
      <c r="T11" s="253" t="str">
        <f t="shared" si="4"/>
        <v>aa 00 08 23 07 10 10 03 E8 00 00 3D 55</v>
      </c>
      <c r="U11" s="41">
        <v>1000</v>
      </c>
      <c r="V11" s="354" t="s">
        <v>660</v>
      </c>
      <c r="W11" s="355"/>
    </row>
    <row r="12" spans="2:51" ht="14.1" customHeight="1" thickBot="1" x14ac:dyDescent="0.3">
      <c r="B12" s="10" t="s">
        <v>0</v>
      </c>
      <c r="C12" s="1" t="s">
        <v>1</v>
      </c>
      <c r="D12" s="75" t="str">
        <f t="shared" si="2"/>
        <v>08</v>
      </c>
      <c r="E12" s="2" t="s">
        <v>71</v>
      </c>
      <c r="F12" s="2" t="s">
        <v>125</v>
      </c>
      <c r="G12" s="2" t="s">
        <v>70</v>
      </c>
      <c r="H12" s="3" t="s">
        <v>550</v>
      </c>
      <c r="I12" s="3" t="str">
        <f t="shared" si="0"/>
        <v>03</v>
      </c>
      <c r="J12" s="3" t="str">
        <f t="shared" si="1"/>
        <v>E8</v>
      </c>
      <c r="K12" s="3"/>
      <c r="L12" s="3" t="s">
        <v>1</v>
      </c>
      <c r="M12" s="3" t="s">
        <v>1</v>
      </c>
      <c r="N12" s="236"/>
      <c r="O12" s="229"/>
      <c r="P12" s="229"/>
      <c r="Q12" s="229"/>
      <c r="R12" s="84" t="str">
        <f t="shared" si="3"/>
        <v>3E</v>
      </c>
      <c r="S12" s="250" t="s">
        <v>5</v>
      </c>
      <c r="T12" s="251" t="str">
        <f t="shared" si="4"/>
        <v>aa 00 08 23 08 10 10 03 E8 00 00 3E 55</v>
      </c>
      <c r="U12" s="41">
        <v>1000</v>
      </c>
      <c r="V12" s="354" t="s">
        <v>661</v>
      </c>
      <c r="W12" s="355"/>
      <c r="Y12" s="431" t="s">
        <v>421</v>
      </c>
      <c r="Z12" s="431"/>
      <c r="AA12" s="431"/>
      <c r="AB12" s="431"/>
      <c r="AC12" s="431"/>
      <c r="AD12" s="431"/>
      <c r="AE12" s="431"/>
      <c r="AF12" s="431"/>
      <c r="AG12" s="431"/>
      <c r="AH12" s="431"/>
      <c r="AI12" s="431"/>
      <c r="AJ12" s="431"/>
      <c r="AK12" s="431"/>
      <c r="AL12" s="431"/>
      <c r="AM12" s="431"/>
      <c r="AN12" s="431"/>
      <c r="AO12" s="431"/>
      <c r="AP12" s="431"/>
      <c r="AQ12" s="431"/>
      <c r="AR12" s="431"/>
      <c r="AS12" s="431"/>
      <c r="AT12" s="431"/>
      <c r="AU12" s="431"/>
      <c r="AV12" s="431"/>
      <c r="AW12" s="431"/>
      <c r="AX12" s="431"/>
      <c r="AY12" s="431"/>
    </row>
    <row r="13" spans="2:51" ht="14.1" customHeight="1" x14ac:dyDescent="0.25">
      <c r="B13" s="10" t="s">
        <v>0</v>
      </c>
      <c r="C13" s="1" t="s">
        <v>1</v>
      </c>
      <c r="D13" s="75" t="str">
        <f t="shared" si="2"/>
        <v>08</v>
      </c>
      <c r="E13" s="2" t="s">
        <v>71</v>
      </c>
      <c r="F13" s="2" t="s">
        <v>126</v>
      </c>
      <c r="G13" s="2" t="s">
        <v>70</v>
      </c>
      <c r="H13" s="3" t="s">
        <v>550</v>
      </c>
      <c r="I13" s="3" t="str">
        <f t="shared" si="0"/>
        <v>03</v>
      </c>
      <c r="J13" s="3" t="str">
        <f t="shared" si="1"/>
        <v>E8</v>
      </c>
      <c r="K13" s="3"/>
      <c r="L13" s="3" t="s">
        <v>1</v>
      </c>
      <c r="M13" s="3" t="s">
        <v>1</v>
      </c>
      <c r="N13" s="236"/>
      <c r="O13" s="229"/>
      <c r="P13" s="229"/>
      <c r="Q13" s="229"/>
      <c r="R13" s="84" t="str">
        <f t="shared" si="3"/>
        <v>3F</v>
      </c>
      <c r="S13" s="10" t="s">
        <v>5</v>
      </c>
      <c r="T13" s="249" t="str">
        <f t="shared" si="4"/>
        <v>aa 00 08 23 09 10 10 03 E8 00 00 3F 55</v>
      </c>
      <c r="U13" s="41">
        <v>1000</v>
      </c>
      <c r="V13" s="354" t="s">
        <v>662</v>
      </c>
      <c r="W13" s="355"/>
      <c r="Y13" s="431"/>
      <c r="Z13" s="431"/>
      <c r="AA13" s="431"/>
      <c r="AB13" s="431"/>
      <c r="AC13" s="431"/>
      <c r="AD13" s="431"/>
      <c r="AE13" s="431"/>
      <c r="AF13" s="431"/>
      <c r="AG13" s="431"/>
      <c r="AH13" s="431"/>
      <c r="AI13" s="431"/>
      <c r="AJ13" s="431"/>
      <c r="AK13" s="431"/>
      <c r="AL13" s="431"/>
      <c r="AM13" s="431"/>
      <c r="AN13" s="431"/>
      <c r="AO13" s="431"/>
      <c r="AP13" s="431"/>
      <c r="AQ13" s="431"/>
      <c r="AR13" s="431"/>
      <c r="AS13" s="431"/>
      <c r="AT13" s="431"/>
      <c r="AU13" s="431"/>
      <c r="AV13" s="431"/>
      <c r="AW13" s="431"/>
      <c r="AX13" s="431"/>
      <c r="AY13" s="431"/>
    </row>
    <row r="14" spans="2:51" ht="14.1" customHeight="1" x14ac:dyDescent="0.25">
      <c r="B14" s="586" t="s">
        <v>239</v>
      </c>
      <c r="C14" s="586"/>
      <c r="D14" s="586"/>
      <c r="E14" s="586"/>
      <c r="F14" s="586"/>
      <c r="G14" s="586"/>
      <c r="H14" s="586"/>
      <c r="I14" s="586"/>
      <c r="J14" s="586"/>
      <c r="K14" s="586"/>
      <c r="L14" s="586"/>
      <c r="M14" s="586"/>
      <c r="N14" s="586"/>
      <c r="O14" s="586"/>
      <c r="P14" s="586"/>
      <c r="Q14" s="586"/>
      <c r="R14" s="586"/>
      <c r="S14" s="586"/>
      <c r="T14" s="586"/>
      <c r="U14" s="586"/>
      <c r="V14" s="586"/>
      <c r="W14" s="586"/>
      <c r="Y14" s="388" t="s">
        <v>275</v>
      </c>
      <c r="Z14" s="388"/>
      <c r="AA14" s="388"/>
      <c r="AB14" s="388"/>
      <c r="AC14" s="388"/>
      <c r="AD14" s="388"/>
      <c r="AE14" s="388"/>
      <c r="AF14" s="388"/>
      <c r="AG14" s="388"/>
      <c r="AH14" s="388"/>
      <c r="AI14" s="388"/>
      <c r="AJ14" s="388"/>
      <c r="AK14" s="388"/>
      <c r="AL14" s="388"/>
      <c r="AM14" s="388"/>
      <c r="AN14" s="388"/>
      <c r="AO14" s="388"/>
      <c r="AP14" s="388"/>
      <c r="AQ14" s="119" t="s">
        <v>266</v>
      </c>
      <c r="AR14" s="388" t="s">
        <v>267</v>
      </c>
      <c r="AS14" s="388"/>
      <c r="AT14" s="388"/>
      <c r="AU14" s="388"/>
      <c r="AV14" s="388" t="s">
        <v>268</v>
      </c>
      <c r="AW14" s="388"/>
      <c r="AX14" s="388"/>
      <c r="AY14" s="388"/>
    </row>
    <row r="15" spans="2:51" ht="14.1" customHeight="1" x14ac:dyDescent="0.25">
      <c r="B15" s="216"/>
      <c r="C15" s="9"/>
      <c r="D15" s="9"/>
      <c r="E15" s="8"/>
      <c r="F15" s="7" t="s">
        <v>86</v>
      </c>
      <c r="G15" s="8"/>
      <c r="H15" s="400" t="s">
        <v>72</v>
      </c>
      <c r="I15" s="401"/>
      <c r="J15" s="7" t="s">
        <v>73</v>
      </c>
      <c r="K15" s="7"/>
      <c r="L15" s="400" t="s">
        <v>74</v>
      </c>
      <c r="M15" s="401"/>
      <c r="N15" s="7" t="s">
        <v>75</v>
      </c>
      <c r="O15" s="230"/>
      <c r="P15" s="231"/>
      <c r="Q15" s="232"/>
      <c r="R15" s="237" t="s">
        <v>81</v>
      </c>
      <c r="S15" s="9"/>
      <c r="T15" s="9"/>
      <c r="U15" s="149" t="s">
        <v>72</v>
      </c>
      <c r="V15" s="149" t="s">
        <v>76</v>
      </c>
      <c r="W15" s="349"/>
      <c r="Y15" s="86" t="s">
        <v>77</v>
      </c>
      <c r="Z15" s="120" t="s">
        <v>78</v>
      </c>
      <c r="AA15" s="120" t="s">
        <v>10</v>
      </c>
      <c r="AB15" s="120" t="s">
        <v>79</v>
      </c>
      <c r="AC15" s="120" t="s">
        <v>80</v>
      </c>
      <c r="AD15" s="120" t="s">
        <v>11</v>
      </c>
      <c r="AE15" s="424" t="s">
        <v>83</v>
      </c>
      <c r="AF15" s="424"/>
      <c r="AG15" s="424"/>
      <c r="AH15" s="424"/>
      <c r="AI15" s="424"/>
      <c r="AJ15" s="424"/>
      <c r="AK15" s="424"/>
      <c r="AL15" s="424"/>
      <c r="AM15" s="424"/>
      <c r="AN15" s="424"/>
      <c r="AO15" s="83" t="s">
        <v>81</v>
      </c>
      <c r="AP15" s="83" t="s">
        <v>82</v>
      </c>
      <c r="AQ15" s="51" t="s">
        <v>276</v>
      </c>
      <c r="AR15" s="45" t="s">
        <v>418</v>
      </c>
      <c r="AS15" s="45" t="s">
        <v>419</v>
      </c>
      <c r="AT15" s="435" t="s">
        <v>6</v>
      </c>
      <c r="AU15" s="435"/>
      <c r="AV15" s="435"/>
      <c r="AW15" s="435"/>
      <c r="AX15" s="435"/>
      <c r="AY15" s="435"/>
    </row>
    <row r="16" spans="2:51" ht="14.1" customHeight="1" thickBot="1" x14ac:dyDescent="0.3">
      <c r="B16" s="10" t="s">
        <v>0</v>
      </c>
      <c r="C16" s="1" t="s">
        <v>1</v>
      </c>
      <c r="D16" s="46" t="str">
        <f>DEC2HEX( COUNTA(E16:Q16),2)</f>
        <v>09</v>
      </c>
      <c r="E16" s="2" t="s">
        <v>71</v>
      </c>
      <c r="F16" s="2" t="s">
        <v>9</v>
      </c>
      <c r="G16" s="2" t="s">
        <v>17</v>
      </c>
      <c r="H16" s="3" t="str">
        <f t="shared" ref="H16:H21" si="5">LEFT(RIGHT(DEC2HEX(U16,4),4),2)</f>
        <v>01</v>
      </c>
      <c r="I16" s="3" t="str">
        <f t="shared" ref="I16:I21" si="6">LEFT(RIGHT(DEC2HEX(U16,4),2),2)</f>
        <v>40</v>
      </c>
      <c r="J16" s="3" t="s">
        <v>227</v>
      </c>
      <c r="K16" s="3"/>
      <c r="L16" s="3" t="str">
        <f t="shared" ref="L16:L21" si="7">LEFT(RIGHT(DEC2HEX(V16,4),4),2)</f>
        <v>03</v>
      </c>
      <c r="M16" s="3" t="str">
        <f t="shared" ref="M16:M21" si="8">LEFT(RIGHT(DEC2HEX(V16,4),2),2)</f>
        <v>E8</v>
      </c>
      <c r="N16" s="3" t="s">
        <v>23</v>
      </c>
      <c r="O16" s="233"/>
      <c r="P16" s="233"/>
      <c r="Q16" s="234"/>
      <c r="R16" s="85" t="str">
        <f>DEC2HEX(MOD(HEX2DEC(C16)+HEX2DEC(D16)+HEX2DEC(E16)+HEX2DEC(F16)+HEX2DEC(G16)+HEX2DEC(H16)+HEX2DEC(I16)+HEX2DEC(J16)+HEX2DEC(K16)+HEX2DEC(L16)+HEX2DEC(M16)+HEX2DEC(N16)+HEX2DEC(O16)+HEX2DEC(P16)+HEX2DEC(Q16),256),2)</f>
        <v>7D</v>
      </c>
      <c r="S16" s="10" t="s">
        <v>5</v>
      </c>
      <c r="T16" s="49" t="str">
        <f t="shared" ref="T16:T21" si="9">IF(ISBLANK(B16),,B16&amp;" ")&amp;IF(ISBLANK(C16),,C16&amp;" ")&amp;IF(ISBLANK(D16),,D16&amp;" ")&amp;IF(ISBLANK(E16),,E16&amp;" ")&amp;IF(ISBLANK(F16),,F16&amp;" ")&amp;IF(ISBLANK(G16),,G16&amp;" ")&amp;IF(ISBLANK(H16),,H16&amp;" ")&amp;IF(ISBLANK(I16),,I16&amp;" ")&amp;IF(ISBLANK(J16),,J16&amp;" ")&amp;IF(ISBLANK(K16),,K16&amp;" ")&amp;IF(ISBLANK(L16),,L16&amp;" ")&amp;IF(ISBLANK(M16),,M16&amp;" ")&amp;IF(ISBLANK(N16),,N16&amp;" ")&amp;IF(ISBLANK(O16),,O16&amp;" ")&amp;IF(ISBLANK(P16),,P16&amp;" ")&amp;IF(ISBLANK(Q16),,Q16&amp;" ")&amp;IF(ISBLANK(R16),,R16&amp;" ")&amp;IF(ISBLANK(S16),,S16)</f>
        <v>aa 00 09 23 05 12 01 40 0E 03 E8 00 7D 55</v>
      </c>
      <c r="U16" s="41">
        <v>320</v>
      </c>
      <c r="V16" s="41">
        <v>1000</v>
      </c>
      <c r="W16" s="349" t="s">
        <v>594</v>
      </c>
      <c r="Y16" s="84" t="s">
        <v>0</v>
      </c>
      <c r="Z16" s="75" t="s">
        <v>1</v>
      </c>
      <c r="AA16" s="75" t="s">
        <v>9</v>
      </c>
      <c r="AB16" s="76" t="s">
        <v>429</v>
      </c>
      <c r="AC16" s="76" t="s">
        <v>1</v>
      </c>
      <c r="AD16" s="76" t="s">
        <v>1</v>
      </c>
      <c r="AE16" s="54" t="str">
        <f>DEC2HEX(AR16,2)</f>
        <v>02</v>
      </c>
      <c r="AF16" s="54" t="str">
        <f>DEC2HEX(AS16,2)</f>
        <v>0A</v>
      </c>
      <c r="AG16" s="57"/>
      <c r="AH16" s="57"/>
      <c r="AI16" s="57"/>
      <c r="AJ16" s="57"/>
      <c r="AK16" s="57"/>
      <c r="AL16" s="57"/>
      <c r="AM16" s="57"/>
      <c r="AN16" s="57"/>
      <c r="AO16" s="84" t="str">
        <f>DEC2HEX(MOD(HEX2DEC(Z16)+HEX2DEC(AA16)+HEX2DEC(AB16)+HEX2DEC(AC16)+HEX2DEC(AD16)+HEX2DEC(AE16)+HEX2DEC(AF16)+HEX2DEC(AG16)+HEX2DEC(AH16)+HEX2DEC(AI16)+HEX2DEC(AJ16)+HEX2DEC(AK16)+HEX2DEC(AN16),256),2)</f>
        <v>82</v>
      </c>
      <c r="AP16" s="84" t="s">
        <v>5</v>
      </c>
      <c r="AQ16" s="55" t="str">
        <f>IF(ISBLANK(Y16),,Y16&amp;" ")&amp;IF(ISBLANK(Z16),,Z16&amp;" ")&amp;IF(ISBLANK(AA16),,AA16&amp;" ")&amp;IF(ISBLANK(AB16),,AB16&amp;" ")&amp;IF(ISBLANK(AC16),,AC16&amp;" ")&amp;IF(ISBLANK(AD16),,AD16&amp;" ")&amp;IF(ISBLANK(AE16),,AE16&amp;" ")&amp;IF(ISBLANK(AF16),,AF16&amp;" ")&amp;IF(ISBLANK(AG16),,AG16&amp;" ")&amp;IF(ISBLANK(AH16),,AH16&amp;" ")&amp;IF(ISBLANK(AI16),,AI16&amp;" ")&amp;IF(ISBLANK(AJ16),,AJ16&amp;" ")&amp;IF(ISBLANK(AK16),,AK16&amp;" ")&amp;IF(ISBLANK(AN16),,AN16&amp;" ")&amp;IF(ISBLANK(AO16),,AO16&amp;" ")&amp;IF(ISBLANK(AP16),,AP16)</f>
        <v>aa 00 05 71 00 00 02 0A 82 55</v>
      </c>
      <c r="AR16" s="116">
        <v>2</v>
      </c>
      <c r="AS16" s="116">
        <v>10</v>
      </c>
      <c r="AT16" s="492" t="s">
        <v>422</v>
      </c>
      <c r="AU16" s="492"/>
      <c r="AV16" s="492"/>
      <c r="AW16" s="492"/>
      <c r="AX16" s="492"/>
      <c r="AY16" s="492"/>
    </row>
    <row r="17" spans="2:51" ht="14.1" customHeight="1" thickBot="1" x14ac:dyDescent="0.3">
      <c r="B17" s="10" t="s">
        <v>0</v>
      </c>
      <c r="C17" s="1" t="s">
        <v>1</v>
      </c>
      <c r="D17" s="46" t="str">
        <f t="shared" ref="D17:D21" si="10">DEC2HEX( COUNTA(E17:Q17),2)</f>
        <v>09</v>
      </c>
      <c r="E17" s="2" t="s">
        <v>71</v>
      </c>
      <c r="F17" s="2" t="s">
        <v>15</v>
      </c>
      <c r="G17" s="2" t="s">
        <v>17</v>
      </c>
      <c r="H17" s="3" t="str">
        <f t="shared" si="5"/>
        <v>00</v>
      </c>
      <c r="I17" s="3" t="str">
        <f t="shared" si="6"/>
        <v>C8</v>
      </c>
      <c r="J17" s="3" t="s">
        <v>605</v>
      </c>
      <c r="K17" s="3"/>
      <c r="L17" s="3" t="str">
        <f t="shared" si="7"/>
        <v>01</v>
      </c>
      <c r="M17" s="3" t="str">
        <f t="shared" si="8"/>
        <v>F4</v>
      </c>
      <c r="N17" s="3" t="s">
        <v>69</v>
      </c>
      <c r="O17" s="233"/>
      <c r="P17" s="233"/>
      <c r="Q17" s="234"/>
      <c r="R17" s="85" t="str">
        <f t="shared" ref="R17:R21" si="11">DEC2HEX(MOD(HEX2DEC(C17)+HEX2DEC(D17)+HEX2DEC(E17)+HEX2DEC(F17)+HEX2DEC(G17)+HEX2DEC(H17)+HEX2DEC(I17)+HEX2DEC(J17)+HEX2DEC(K17)+HEX2DEC(L17)+HEX2DEC(M17)+HEX2DEC(N17)+HEX2DEC(O17)+HEX2DEC(P17)+HEX2DEC(Q17),256),2)</f>
        <v>00</v>
      </c>
      <c r="S17" s="10" t="s">
        <v>5</v>
      </c>
      <c r="T17" s="49" t="str">
        <f t="shared" si="9"/>
        <v>aa 00 09 23 02 12 00 C8 02 01 F4 01 00 55</v>
      </c>
      <c r="U17" s="41">
        <v>200</v>
      </c>
      <c r="V17" s="41">
        <v>500</v>
      </c>
      <c r="W17" s="349"/>
      <c r="Y17" s="84" t="s">
        <v>0</v>
      </c>
      <c r="Z17" s="75" t="s">
        <v>1</v>
      </c>
      <c r="AA17" s="75" t="s">
        <v>8</v>
      </c>
      <c r="AB17" s="76" t="s">
        <v>429</v>
      </c>
      <c r="AC17" s="76" t="s">
        <v>1</v>
      </c>
      <c r="AD17" s="76" t="s">
        <v>70</v>
      </c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84" t="str">
        <f>DEC2HEX(MOD(HEX2DEC(Z17)+HEX2DEC(AA17)+HEX2DEC(AB17)+HEX2DEC(AC17)+HEX2DEC(AD17)+HEX2DEC(AE17)+HEX2DEC(AF17)+HEX2DEC(AG17)+HEX2DEC(AH17)+HEX2DEC(AI17)+HEX2DEC(AJ17)+HEX2DEC(AK17)+HEX2DEC(AN17),256),2)</f>
        <v>84</v>
      </c>
      <c r="AP17" s="84" t="s">
        <v>5</v>
      </c>
      <c r="AQ17" s="55" t="str">
        <f>IF(ISBLANK(Y17),,Y17&amp;" ")&amp;IF(ISBLANK(Z17),,Z17&amp;" ")&amp;IF(ISBLANK(AA17),,AA17&amp;" ")&amp;IF(ISBLANK(AB17),,AB17&amp;" ")&amp;IF(ISBLANK(AC17),,AC17&amp;" ")&amp;IF(ISBLANK(AD17),,AD17&amp;" ")&amp;IF(ISBLANK(AE17),,AE17&amp;" ")&amp;IF(ISBLANK(AF17),,AF17&amp;" ")&amp;IF(ISBLANK(AG17),,AG17&amp;" ")&amp;IF(ISBLANK(AH17),,AH17&amp;" ")&amp;IF(ISBLANK(AI17),,AI17&amp;" ")&amp;IF(ISBLANK(AJ17),,AJ17&amp;" ")&amp;IF(ISBLANK(AK17),,AK17&amp;" ")&amp;IF(ISBLANK(AN17),,AN17&amp;" ")&amp;IF(ISBLANK(AO17),,AO17&amp;" ")&amp;IF(ISBLANK(AP17),,AP17)</f>
        <v>aa 00 03 71 00 10 84 55</v>
      </c>
      <c r="AR17" s="492" t="s">
        <v>423</v>
      </c>
      <c r="AS17" s="492"/>
      <c r="AT17" s="492"/>
      <c r="AU17" s="492"/>
      <c r="AV17" s="492"/>
      <c r="AW17" s="492"/>
      <c r="AX17" s="492"/>
      <c r="AY17" s="492"/>
    </row>
    <row r="18" spans="2:51" ht="14.1" customHeight="1" thickBot="1" x14ac:dyDescent="0.3">
      <c r="B18" s="10" t="s">
        <v>0</v>
      </c>
      <c r="C18" s="1" t="s">
        <v>1</v>
      </c>
      <c r="D18" s="46" t="str">
        <f t="shared" si="10"/>
        <v>09</v>
      </c>
      <c r="E18" s="2" t="s">
        <v>71</v>
      </c>
      <c r="F18" s="2" t="s">
        <v>13</v>
      </c>
      <c r="G18" s="2" t="s">
        <v>17</v>
      </c>
      <c r="H18" s="3" t="str">
        <f t="shared" si="5"/>
        <v>00</v>
      </c>
      <c r="I18" s="3" t="str">
        <f t="shared" si="6"/>
        <v>C8</v>
      </c>
      <c r="J18" s="3" t="s">
        <v>70</v>
      </c>
      <c r="K18" s="3"/>
      <c r="L18" s="3" t="str">
        <f t="shared" si="7"/>
        <v>01</v>
      </c>
      <c r="M18" s="3" t="str">
        <f t="shared" si="8"/>
        <v>F4</v>
      </c>
      <c r="N18" s="3" t="s">
        <v>604</v>
      </c>
      <c r="O18" s="233"/>
      <c r="P18" s="233"/>
      <c r="Q18" s="234"/>
      <c r="R18" s="85" t="str">
        <f t="shared" si="11"/>
        <v>0E</v>
      </c>
      <c r="S18" s="10" t="s">
        <v>5</v>
      </c>
      <c r="T18" s="49" t="str">
        <f t="shared" si="9"/>
        <v>aa 00 09 23 03 12 00 C8 10 01 F4 00 0E 55</v>
      </c>
      <c r="U18" s="41">
        <v>200</v>
      </c>
      <c r="V18" s="41">
        <v>500</v>
      </c>
      <c r="W18" s="349"/>
      <c r="Y18" s="84" t="s">
        <v>0</v>
      </c>
      <c r="Z18" s="75" t="s">
        <v>1</v>
      </c>
      <c r="AA18" s="75" t="s">
        <v>431</v>
      </c>
      <c r="AB18" s="76" t="s">
        <v>429</v>
      </c>
      <c r="AC18" s="76" t="s">
        <v>1</v>
      </c>
      <c r="AD18" s="76" t="s">
        <v>28</v>
      </c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84" t="str">
        <f>DEC2HEX(MOD(HEX2DEC(Z18)+HEX2DEC(AA18)+HEX2DEC(AB18)+HEX2DEC(AC18)+HEX2DEC(AD18)+HEX2DEC(AE18)+HEX2DEC(AF18)+HEX2DEC(AG18)+HEX2DEC(AH18)+HEX2DEC(AI18)+HEX2DEC(AJ18)+HEX2DEC(AK18)+HEX2DEC(AN18),256),2)</f>
        <v>85</v>
      </c>
      <c r="AP18" s="84" t="s">
        <v>5</v>
      </c>
      <c r="AQ18" s="55" t="str">
        <f>IF(ISBLANK(Y18),,Y18&amp;" ")&amp;IF(ISBLANK(Z18),,Z18&amp;" ")&amp;IF(ISBLANK(AA18),,AA18&amp;" ")&amp;IF(ISBLANK(AB18),,AB18&amp;" ")&amp;IF(ISBLANK(AC18),,AC18&amp;" ")&amp;IF(ISBLANK(AD18),,AD18&amp;" ")&amp;IF(ISBLANK(AE18),,AE18&amp;" ")&amp;IF(ISBLANK(AF18),,AF18&amp;" ")&amp;IF(ISBLANK(AG18),,AG18&amp;" ")&amp;IF(ISBLANK(AH18),,AH18&amp;" ")&amp;IF(ISBLANK(AI18),,AI18&amp;" ")&amp;IF(ISBLANK(AJ18),,AJ18&amp;" ")&amp;IF(ISBLANK(AK18),,AK18&amp;" ")&amp;IF(ISBLANK(AN18),,AN18&amp;" ")&amp;IF(ISBLANK(AO18),,AO18&amp;" ")&amp;IF(ISBLANK(AP18),,AP18)</f>
        <v>aa 00 03 71 00 11 85 55</v>
      </c>
      <c r="AR18" s="492" t="s">
        <v>424</v>
      </c>
      <c r="AS18" s="492"/>
      <c r="AT18" s="492"/>
      <c r="AU18" s="492"/>
      <c r="AV18" s="492"/>
      <c r="AW18" s="492"/>
      <c r="AX18" s="492"/>
      <c r="AY18" s="492"/>
    </row>
    <row r="19" spans="2:51" ht="14.1" customHeight="1" thickBot="1" x14ac:dyDescent="0.3">
      <c r="B19" s="10" t="s">
        <v>0</v>
      </c>
      <c r="C19" s="1" t="s">
        <v>1</v>
      </c>
      <c r="D19" s="46" t="str">
        <f t="shared" si="10"/>
        <v>09</v>
      </c>
      <c r="E19" s="2" t="s">
        <v>71</v>
      </c>
      <c r="F19" s="2" t="s">
        <v>18</v>
      </c>
      <c r="G19" s="2" t="s">
        <v>17</v>
      </c>
      <c r="H19" s="3" t="str">
        <f t="shared" si="5"/>
        <v>00</v>
      </c>
      <c r="I19" s="3" t="str">
        <f t="shared" si="6"/>
        <v>81</v>
      </c>
      <c r="J19" s="3" t="s">
        <v>9</v>
      </c>
      <c r="K19" s="3"/>
      <c r="L19" s="3" t="str">
        <f t="shared" si="7"/>
        <v>01</v>
      </c>
      <c r="M19" s="3" t="str">
        <f t="shared" si="8"/>
        <v>F4</v>
      </c>
      <c r="N19" s="3" t="s">
        <v>4</v>
      </c>
      <c r="O19" s="233"/>
      <c r="P19" s="233"/>
      <c r="Q19" s="234"/>
      <c r="R19" s="85" t="str">
        <f t="shared" si="11"/>
        <v>BE</v>
      </c>
      <c r="S19" s="10" t="s">
        <v>5</v>
      </c>
      <c r="T19" s="49" t="str">
        <f t="shared" si="9"/>
        <v>aa 00 09 23 04 12 00 81 05 01 F4 01 BE 55</v>
      </c>
      <c r="U19" s="41">
        <v>129</v>
      </c>
      <c r="V19" s="41">
        <v>500</v>
      </c>
      <c r="W19" s="349"/>
    </row>
    <row r="20" spans="2:51" ht="14.1" customHeight="1" thickBot="1" x14ac:dyDescent="0.3">
      <c r="B20" s="10" t="s">
        <v>0</v>
      </c>
      <c r="C20" s="1" t="s">
        <v>1</v>
      </c>
      <c r="D20" s="46" t="str">
        <f t="shared" si="10"/>
        <v>09</v>
      </c>
      <c r="E20" s="2" t="s">
        <v>71</v>
      </c>
      <c r="F20" s="2" t="s">
        <v>122</v>
      </c>
      <c r="G20" s="2" t="s">
        <v>17</v>
      </c>
      <c r="H20" s="3" t="str">
        <f t="shared" si="5"/>
        <v>00</v>
      </c>
      <c r="I20" s="3" t="str">
        <f t="shared" si="6"/>
        <v>C8</v>
      </c>
      <c r="J20" s="3" t="s">
        <v>596</v>
      </c>
      <c r="K20" s="3"/>
      <c r="L20" s="3" t="str">
        <f t="shared" si="7"/>
        <v>01</v>
      </c>
      <c r="M20" s="3" t="str">
        <f t="shared" si="8"/>
        <v>F4</v>
      </c>
      <c r="N20" s="3" t="s">
        <v>69</v>
      </c>
      <c r="O20" s="233"/>
      <c r="P20" s="233"/>
      <c r="Q20" s="234"/>
      <c r="R20" s="85" t="str">
        <f t="shared" si="11"/>
        <v>15</v>
      </c>
      <c r="S20" s="10" t="s">
        <v>5</v>
      </c>
      <c r="T20" s="49" t="str">
        <f t="shared" si="9"/>
        <v>aa 00 09 23 05 12 00 C8 14 01 F4 01 15 55</v>
      </c>
      <c r="U20" s="41">
        <v>200</v>
      </c>
      <c r="V20" s="41">
        <v>500</v>
      </c>
      <c r="W20" s="349"/>
      <c r="Y20" s="431" t="s">
        <v>425</v>
      </c>
      <c r="Z20" s="431"/>
      <c r="AA20" s="431"/>
      <c r="AB20" s="431"/>
      <c r="AC20" s="431"/>
      <c r="AD20" s="431"/>
      <c r="AE20" s="431"/>
      <c r="AF20" s="431"/>
      <c r="AG20" s="431"/>
      <c r="AH20" s="431"/>
      <c r="AI20" s="431"/>
      <c r="AJ20" s="431"/>
      <c r="AK20" s="431"/>
      <c r="AL20" s="431"/>
      <c r="AM20" s="431"/>
      <c r="AN20" s="431"/>
      <c r="AO20" s="431"/>
      <c r="AP20" s="431"/>
      <c r="AQ20" s="431"/>
      <c r="AR20" s="431"/>
      <c r="AS20" s="431"/>
      <c r="AT20" s="431"/>
      <c r="AU20" s="431"/>
      <c r="AV20" s="431"/>
      <c r="AW20" s="431"/>
      <c r="AX20" s="431"/>
      <c r="AY20" s="431"/>
    </row>
    <row r="21" spans="2:51" ht="14.1" customHeight="1" thickBot="1" x14ac:dyDescent="0.3">
      <c r="B21" s="10" t="s">
        <v>0</v>
      </c>
      <c r="C21" s="1" t="s">
        <v>1</v>
      </c>
      <c r="D21" s="46" t="str">
        <f t="shared" si="10"/>
        <v>09</v>
      </c>
      <c r="E21" s="2" t="s">
        <v>71</v>
      </c>
      <c r="F21" s="2" t="s">
        <v>123</v>
      </c>
      <c r="G21" s="2" t="s">
        <v>17</v>
      </c>
      <c r="H21" s="3" t="str">
        <f t="shared" si="5"/>
        <v>00</v>
      </c>
      <c r="I21" s="3" t="str">
        <f t="shared" si="6"/>
        <v>C8</v>
      </c>
      <c r="J21" s="3" t="s">
        <v>238</v>
      </c>
      <c r="K21" s="3"/>
      <c r="L21" s="3" t="str">
        <f t="shared" si="7"/>
        <v>01</v>
      </c>
      <c r="M21" s="3" t="str">
        <f t="shared" si="8"/>
        <v>F4</v>
      </c>
      <c r="N21" s="3" t="s">
        <v>69</v>
      </c>
      <c r="O21" s="233"/>
      <c r="P21" s="233"/>
      <c r="Q21" s="234"/>
      <c r="R21" s="85" t="str">
        <f t="shared" si="11"/>
        <v>0C</v>
      </c>
      <c r="S21" s="10" t="s">
        <v>5</v>
      </c>
      <c r="T21" s="49" t="str">
        <f t="shared" si="9"/>
        <v>aa 00 09 23 06 12 00 C8 0a 01 F4 01 0C 55</v>
      </c>
      <c r="U21" s="41">
        <v>200</v>
      </c>
      <c r="V21" s="41">
        <v>500</v>
      </c>
      <c r="W21" s="349"/>
      <c r="Y21" s="431"/>
      <c r="Z21" s="431"/>
      <c r="AA21" s="431"/>
      <c r="AB21" s="431"/>
      <c r="AC21" s="431"/>
      <c r="AD21" s="431"/>
      <c r="AE21" s="431"/>
      <c r="AF21" s="431"/>
      <c r="AG21" s="431"/>
      <c r="AH21" s="431"/>
      <c r="AI21" s="431"/>
      <c r="AJ21" s="431"/>
      <c r="AK21" s="431"/>
      <c r="AL21" s="431"/>
      <c r="AM21" s="431"/>
      <c r="AN21" s="431"/>
      <c r="AO21" s="431"/>
      <c r="AP21" s="431"/>
      <c r="AQ21" s="431"/>
      <c r="AR21" s="431"/>
      <c r="AS21" s="431"/>
      <c r="AT21" s="431"/>
      <c r="AU21" s="431"/>
      <c r="AV21" s="431"/>
      <c r="AW21" s="431"/>
      <c r="AX21" s="431"/>
      <c r="AY21" s="431"/>
    </row>
    <row r="22" spans="2:51" ht="14.1" customHeight="1" x14ac:dyDescent="0.25">
      <c r="B22" s="559" t="s">
        <v>240</v>
      </c>
      <c r="C22" s="559"/>
      <c r="D22" s="559"/>
      <c r="E22" s="559"/>
      <c r="F22" s="559"/>
      <c r="G22" s="559"/>
      <c r="H22" s="559"/>
      <c r="I22" s="559"/>
      <c r="J22" s="559"/>
      <c r="K22" s="559"/>
      <c r="L22" s="559"/>
      <c r="M22" s="559"/>
      <c r="N22" s="559"/>
      <c r="O22" s="559"/>
      <c r="P22" s="559"/>
      <c r="Q22" s="559"/>
      <c r="R22" s="559"/>
      <c r="S22" s="559"/>
      <c r="T22" s="559"/>
      <c r="U22" s="559"/>
      <c r="V22" s="559"/>
      <c r="W22" s="559"/>
      <c r="Y22" s="388" t="s">
        <v>275</v>
      </c>
      <c r="Z22" s="388"/>
      <c r="AA22" s="388"/>
      <c r="AB22" s="388"/>
      <c r="AC22" s="388"/>
      <c r="AD22" s="388"/>
      <c r="AE22" s="388"/>
      <c r="AF22" s="388"/>
      <c r="AG22" s="388"/>
      <c r="AH22" s="388"/>
      <c r="AI22" s="388"/>
      <c r="AJ22" s="388"/>
      <c r="AK22" s="388"/>
      <c r="AL22" s="388"/>
      <c r="AM22" s="388"/>
      <c r="AN22" s="388"/>
      <c r="AO22" s="388"/>
      <c r="AP22" s="388"/>
      <c r="AQ22" s="119" t="s">
        <v>266</v>
      </c>
      <c r="AR22" s="388" t="s">
        <v>267</v>
      </c>
      <c r="AS22" s="388"/>
      <c r="AT22" s="388"/>
      <c r="AU22" s="388"/>
      <c r="AV22" s="388" t="s">
        <v>268</v>
      </c>
      <c r="AW22" s="388"/>
      <c r="AX22" s="388"/>
      <c r="AY22" s="388"/>
    </row>
    <row r="23" spans="2:51" ht="14.1" customHeight="1" thickBot="1" x14ac:dyDescent="0.3">
      <c r="B23" s="10" t="s">
        <v>0</v>
      </c>
      <c r="C23" s="1" t="s">
        <v>1</v>
      </c>
      <c r="D23" s="46" t="str">
        <f>DEC2HEX( COUNTA(E23:Q23),2)</f>
        <v>09</v>
      </c>
      <c r="E23" s="2" t="s">
        <v>71</v>
      </c>
      <c r="F23" s="2" t="s">
        <v>4</v>
      </c>
      <c r="G23" s="2" t="s">
        <v>17</v>
      </c>
      <c r="H23" s="3" t="str">
        <f t="shared" ref="H23:H28" si="12">LEFT(RIGHT(DEC2HEX(U23,4),4),2)</f>
        <v>FD</v>
      </c>
      <c r="I23" s="3" t="str">
        <f t="shared" ref="I23:I28" si="13">LEFT(RIGHT(DEC2HEX(U23,4),2),2)</f>
        <v>A8</v>
      </c>
      <c r="J23" s="3" t="s">
        <v>674</v>
      </c>
      <c r="K23" s="3"/>
      <c r="L23" s="3" t="str">
        <f t="shared" ref="L23:L28" si="14">LEFT(RIGHT(DEC2HEX(V23,4),4),2)</f>
        <v>01</v>
      </c>
      <c r="M23" s="3" t="str">
        <f t="shared" ref="M23:M28" si="15">LEFT(RIGHT(DEC2HEX(V23,4),2),2)</f>
        <v>F4</v>
      </c>
      <c r="N23" s="3" t="s">
        <v>1</v>
      </c>
      <c r="O23" s="233"/>
      <c r="P23" s="233"/>
      <c r="Q23" s="234"/>
      <c r="R23" s="85" t="str">
        <f>DEC2HEX(MOD(HEX2DEC(C23)+HEX2DEC(D23)+HEX2DEC(E23)+HEX2DEC(F23)+HEX2DEC(G23)+HEX2DEC(H23)+HEX2DEC(I23)+HEX2DEC(J23)+HEX2DEC(K23)+HEX2DEC(L23)+HEX2DEC(M23)+HEX2DEC(N23)+HEX2DEC(O23)+HEX2DEC(P23)+HEX2DEC(Q23),256),2)</f>
        <v>ED</v>
      </c>
      <c r="S23" s="11" t="s">
        <v>5</v>
      </c>
      <c r="T23" s="49" t="str">
        <f t="shared" ref="T23:T28" si="16">IF(ISBLANK(B23),,B23&amp;" ")&amp;IF(ISBLANK(C23),,C23&amp;" ")&amp;IF(ISBLANK(D23),,D23&amp;" ")&amp;IF(ISBLANK(E23),,E23&amp;" ")&amp;IF(ISBLANK(F23),,F23&amp;" ")&amp;IF(ISBLANK(G23),,G23&amp;" ")&amp;IF(ISBLANK(H23),,H23&amp;" ")&amp;IF(ISBLANK(I23),,I23&amp;" ")&amp;IF(ISBLANK(J23),,J23&amp;" ")&amp;IF(ISBLANK(K23),,K23&amp;" ")&amp;IF(ISBLANK(L23),,L23&amp;" ")&amp;IF(ISBLANK(M23),,M23&amp;" ")&amp;IF(ISBLANK(N23),,N23&amp;" ")&amp;IF(ISBLANK(O23),,O23&amp;" ")&amp;IF(ISBLANK(P23),,P23&amp;" ")&amp;IF(ISBLANK(Q23),,Q23&amp;" ")&amp;IF(ISBLANK(R23),,R23&amp;" ")&amp;IF(ISBLANK(S23),,S23)</f>
        <v>aa 00 09 23 01 12 FD A8 14 01 F4 00 ED 55</v>
      </c>
      <c r="U23" s="41">
        <v>-600</v>
      </c>
      <c r="V23" s="41">
        <v>500</v>
      </c>
      <c r="W23" s="349" t="s">
        <v>240</v>
      </c>
      <c r="Y23" s="86" t="s">
        <v>77</v>
      </c>
      <c r="Z23" s="120" t="s">
        <v>78</v>
      </c>
      <c r="AA23" s="120" t="s">
        <v>10</v>
      </c>
      <c r="AB23" s="120" t="s">
        <v>79</v>
      </c>
      <c r="AC23" s="120" t="s">
        <v>80</v>
      </c>
      <c r="AD23" s="120" t="s">
        <v>11</v>
      </c>
      <c r="AE23" s="424" t="s">
        <v>83</v>
      </c>
      <c r="AF23" s="424"/>
      <c r="AG23" s="424"/>
      <c r="AH23" s="424"/>
      <c r="AI23" s="424"/>
      <c r="AJ23" s="424"/>
      <c r="AK23" s="424"/>
      <c r="AL23" s="424"/>
      <c r="AM23" s="424"/>
      <c r="AN23" s="424"/>
      <c r="AO23" s="83" t="s">
        <v>81</v>
      </c>
      <c r="AP23" s="83" t="s">
        <v>82</v>
      </c>
      <c r="AQ23" s="51" t="s">
        <v>276</v>
      </c>
      <c r="AR23" s="45" t="s">
        <v>418</v>
      </c>
      <c r="AS23" s="45" t="s">
        <v>419</v>
      </c>
      <c r="AT23" s="435" t="s">
        <v>6</v>
      </c>
      <c r="AU23" s="435"/>
      <c r="AV23" s="435"/>
      <c r="AW23" s="435"/>
      <c r="AX23" s="435"/>
      <c r="AY23" s="435"/>
    </row>
    <row r="24" spans="2:51" ht="14.1" customHeight="1" thickBot="1" x14ac:dyDescent="0.3">
      <c r="B24" s="10" t="s">
        <v>0</v>
      </c>
      <c r="C24" s="1" t="s">
        <v>1</v>
      </c>
      <c r="D24" s="46" t="str">
        <f t="shared" ref="D24:D28" si="17">DEC2HEX( COUNTA(E24:Q24),2)</f>
        <v>09</v>
      </c>
      <c r="E24" s="2" t="s">
        <v>71</v>
      </c>
      <c r="F24" s="2" t="s">
        <v>15</v>
      </c>
      <c r="G24" s="2" t="s">
        <v>17</v>
      </c>
      <c r="H24" s="3" t="str">
        <f t="shared" si="12"/>
        <v>FF</v>
      </c>
      <c r="I24" s="3" t="str">
        <f t="shared" si="13"/>
        <v>9C</v>
      </c>
      <c r="J24" s="3" t="s">
        <v>238</v>
      </c>
      <c r="K24" s="3"/>
      <c r="L24" s="3" t="str">
        <f t="shared" si="14"/>
        <v>01</v>
      </c>
      <c r="M24" s="3" t="str">
        <f t="shared" si="15"/>
        <v>F4</v>
      </c>
      <c r="N24" s="3" t="s">
        <v>1</v>
      </c>
      <c r="O24" s="233"/>
      <c r="P24" s="233"/>
      <c r="Q24" s="234"/>
      <c r="R24" s="85" t="str">
        <f t="shared" ref="R24:R28" si="18">DEC2HEX(MOD(HEX2DEC(C24)+HEX2DEC(D24)+HEX2DEC(E24)+HEX2DEC(F24)+HEX2DEC(G24)+HEX2DEC(H24)+HEX2DEC(I24)+HEX2DEC(J24)+HEX2DEC(K24)+HEX2DEC(L24)+HEX2DEC(M24)+HEX2DEC(N24)+HEX2DEC(O24)+HEX2DEC(P24)+HEX2DEC(Q24),256),2)</f>
        <v>DA</v>
      </c>
      <c r="S24" s="11" t="s">
        <v>5</v>
      </c>
      <c r="T24" s="49" t="str">
        <f t="shared" si="16"/>
        <v>aa 00 09 23 02 12 FF 9C 0a 01 F4 00 DA 55</v>
      </c>
      <c r="U24" s="41">
        <v>-100</v>
      </c>
      <c r="V24" s="41">
        <v>500</v>
      </c>
      <c r="W24" s="349"/>
      <c r="Y24" s="84" t="s">
        <v>0</v>
      </c>
      <c r="Z24" s="75" t="s">
        <v>1</v>
      </c>
      <c r="AA24" s="75" t="s">
        <v>9</v>
      </c>
      <c r="AB24" s="76" t="s">
        <v>430</v>
      </c>
      <c r="AC24" s="76" t="s">
        <v>1</v>
      </c>
      <c r="AD24" s="76" t="s">
        <v>1</v>
      </c>
      <c r="AE24" s="54" t="str">
        <f>DEC2HEX(AR24,2)</f>
        <v>03</v>
      </c>
      <c r="AF24" s="54" t="str">
        <f>DEC2HEX(AS24,2)</f>
        <v>0A</v>
      </c>
      <c r="AG24" s="57"/>
      <c r="AH24" s="57"/>
      <c r="AI24" s="57"/>
      <c r="AJ24" s="57"/>
      <c r="AK24" s="57"/>
      <c r="AL24" s="57"/>
      <c r="AM24" s="57"/>
      <c r="AN24" s="57"/>
      <c r="AO24" s="84" t="str">
        <f>DEC2HEX(MOD(HEX2DEC(Z24)+HEX2DEC(AA24)+HEX2DEC(AB24)+HEX2DEC(AC24)+HEX2DEC(AD24)+HEX2DEC(AE24)+HEX2DEC(AF24)+HEX2DEC(AG24)+HEX2DEC(AH24)+HEX2DEC(AI24)+HEX2DEC(AJ24)+HEX2DEC(AK24)+HEX2DEC(AN24),256),2)</f>
        <v>84</v>
      </c>
      <c r="AP24" s="84" t="s">
        <v>5</v>
      </c>
      <c r="AQ24" s="55" t="str">
        <f>IF(ISBLANK(Y24),,Y24&amp;" ")&amp;IF(ISBLANK(Z24),,Z24&amp;" ")&amp;IF(ISBLANK(AA24),,AA24&amp;" ")&amp;IF(ISBLANK(AB24),,AB24&amp;" ")&amp;IF(ISBLANK(AC24),,AC24&amp;" ")&amp;IF(ISBLANK(AD24),,AD24&amp;" ")&amp;IF(ISBLANK(AE24),,AE24&amp;" ")&amp;IF(ISBLANK(AF24),,AF24&amp;" ")&amp;IF(ISBLANK(AG24),,AG24&amp;" ")&amp;IF(ISBLANK(AH24),,AH24&amp;" ")&amp;IF(ISBLANK(AI24),,AI24&amp;" ")&amp;IF(ISBLANK(AJ24),,AJ24&amp;" ")&amp;IF(ISBLANK(AK24),,AK24&amp;" ")&amp;IF(ISBLANK(AN24),,AN24&amp;" ")&amp;IF(ISBLANK(AO24),,AO24&amp;" ")&amp;IF(ISBLANK(AP24),,AP24)</f>
        <v>aa 00 05 72 00 00 03 0A 84 55</v>
      </c>
      <c r="AR24" s="116">
        <v>3</v>
      </c>
      <c r="AS24" s="116">
        <v>10</v>
      </c>
      <c r="AT24" s="492" t="s">
        <v>426</v>
      </c>
      <c r="AU24" s="492"/>
      <c r="AV24" s="492"/>
      <c r="AW24" s="492"/>
      <c r="AX24" s="492"/>
      <c r="AY24" s="492"/>
    </row>
    <row r="25" spans="2:51" ht="14.1" customHeight="1" thickBot="1" x14ac:dyDescent="0.3">
      <c r="B25" s="10" t="s">
        <v>0</v>
      </c>
      <c r="C25" s="1" t="s">
        <v>1</v>
      </c>
      <c r="D25" s="46" t="str">
        <f t="shared" si="17"/>
        <v>09</v>
      </c>
      <c r="E25" s="2" t="s">
        <v>71</v>
      </c>
      <c r="F25" s="2" t="s">
        <v>13</v>
      </c>
      <c r="G25" s="2" t="s">
        <v>17</v>
      </c>
      <c r="H25" s="3" t="str">
        <f t="shared" si="12"/>
        <v>FF</v>
      </c>
      <c r="I25" s="3" t="str">
        <f t="shared" si="13"/>
        <v>9C</v>
      </c>
      <c r="J25" s="3" t="s">
        <v>238</v>
      </c>
      <c r="K25" s="3"/>
      <c r="L25" s="3" t="str">
        <f t="shared" si="14"/>
        <v>01</v>
      </c>
      <c r="M25" s="3" t="str">
        <f t="shared" si="15"/>
        <v>F4</v>
      </c>
      <c r="N25" s="3" t="s">
        <v>1</v>
      </c>
      <c r="O25" s="233"/>
      <c r="P25" s="233"/>
      <c r="Q25" s="234"/>
      <c r="R25" s="85" t="str">
        <f t="shared" si="18"/>
        <v>DB</v>
      </c>
      <c r="S25" s="11" t="s">
        <v>5</v>
      </c>
      <c r="T25" s="49" t="str">
        <f t="shared" si="16"/>
        <v>aa 00 09 23 03 12 FF 9C 0a 01 F4 00 DB 55</v>
      </c>
      <c r="U25" s="41">
        <v>-100</v>
      </c>
      <c r="V25" s="41">
        <v>500</v>
      </c>
      <c r="W25" s="349"/>
      <c r="Y25" s="84" t="s">
        <v>0</v>
      </c>
      <c r="Z25" s="75" t="s">
        <v>1</v>
      </c>
      <c r="AA25" s="75" t="s">
        <v>8</v>
      </c>
      <c r="AB25" s="76" t="s">
        <v>430</v>
      </c>
      <c r="AC25" s="76" t="s">
        <v>1</v>
      </c>
      <c r="AD25" s="76" t="s">
        <v>70</v>
      </c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84" t="str">
        <f>DEC2HEX(MOD(HEX2DEC(Z25)+HEX2DEC(AA25)+HEX2DEC(AB25)+HEX2DEC(AC25)+HEX2DEC(AD25)+HEX2DEC(AE25)+HEX2DEC(AF25)+HEX2DEC(AG25)+HEX2DEC(AH25)+HEX2DEC(AI25)+HEX2DEC(AJ25)+HEX2DEC(AK25)+HEX2DEC(AN25),256),2)</f>
        <v>85</v>
      </c>
      <c r="AP25" s="84" t="s">
        <v>5</v>
      </c>
      <c r="AQ25" s="55" t="str">
        <f>IF(ISBLANK(Y25),,Y25&amp;" ")&amp;IF(ISBLANK(Z25),,Z25&amp;" ")&amp;IF(ISBLANK(AA25),,AA25&amp;" ")&amp;IF(ISBLANK(AB25),,AB25&amp;" ")&amp;IF(ISBLANK(AC25),,AC25&amp;" ")&amp;IF(ISBLANK(AD25),,AD25&amp;" ")&amp;IF(ISBLANK(AE25),,AE25&amp;" ")&amp;IF(ISBLANK(AF25),,AF25&amp;" ")&amp;IF(ISBLANK(AG25),,AG25&amp;" ")&amp;IF(ISBLANK(AH25),,AH25&amp;" ")&amp;IF(ISBLANK(AI25),,AI25&amp;" ")&amp;IF(ISBLANK(AJ25),,AJ25&amp;" ")&amp;IF(ISBLANK(AK25),,AK25&amp;" ")&amp;IF(ISBLANK(AN25),,AN25&amp;" ")&amp;IF(ISBLANK(AO25),,AO25&amp;" ")&amp;IF(ISBLANK(AP25),,AP25)</f>
        <v>aa 00 03 72 00 10 85 55</v>
      </c>
      <c r="AR25" s="492" t="s">
        <v>427</v>
      </c>
      <c r="AS25" s="492"/>
      <c r="AT25" s="492"/>
      <c r="AU25" s="492"/>
      <c r="AV25" s="492"/>
      <c r="AW25" s="492"/>
      <c r="AX25" s="492"/>
      <c r="AY25" s="492"/>
    </row>
    <row r="26" spans="2:51" ht="14.1" customHeight="1" thickBot="1" x14ac:dyDescent="0.3">
      <c r="B26" s="10" t="s">
        <v>0</v>
      </c>
      <c r="C26" s="1" t="s">
        <v>1</v>
      </c>
      <c r="D26" s="46" t="str">
        <f t="shared" si="17"/>
        <v>09</v>
      </c>
      <c r="E26" s="2" t="s">
        <v>71</v>
      </c>
      <c r="F26" s="2" t="s">
        <v>18</v>
      </c>
      <c r="G26" s="2" t="s">
        <v>17</v>
      </c>
      <c r="H26" s="3" t="str">
        <f t="shared" si="12"/>
        <v>FD</v>
      </c>
      <c r="I26" s="3" t="str">
        <f t="shared" si="13"/>
        <v>A8</v>
      </c>
      <c r="J26" s="3" t="s">
        <v>238</v>
      </c>
      <c r="K26" s="3"/>
      <c r="L26" s="3" t="str">
        <f t="shared" si="14"/>
        <v>01</v>
      </c>
      <c r="M26" s="3" t="str">
        <f t="shared" si="15"/>
        <v>F4</v>
      </c>
      <c r="N26" s="3" t="s">
        <v>1</v>
      </c>
      <c r="O26" s="233"/>
      <c r="P26" s="233"/>
      <c r="Q26" s="234"/>
      <c r="R26" s="85" t="str">
        <f t="shared" si="18"/>
        <v>E6</v>
      </c>
      <c r="S26" s="11" t="s">
        <v>5</v>
      </c>
      <c r="T26" s="49" t="str">
        <f t="shared" si="16"/>
        <v>aa 00 09 23 04 12 FD A8 0a 01 F4 00 E6 55</v>
      </c>
      <c r="U26" s="41">
        <v>-600</v>
      </c>
      <c r="V26" s="41">
        <v>500</v>
      </c>
      <c r="W26" s="349"/>
      <c r="Y26" s="84" t="s">
        <v>0</v>
      </c>
      <c r="Z26" s="75" t="s">
        <v>1</v>
      </c>
      <c r="AA26" s="75" t="s">
        <v>431</v>
      </c>
      <c r="AB26" s="76" t="s">
        <v>430</v>
      </c>
      <c r="AC26" s="76" t="s">
        <v>1</v>
      </c>
      <c r="AD26" s="76" t="s">
        <v>28</v>
      </c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84" t="str">
        <f>DEC2HEX(MOD(HEX2DEC(Z26)+HEX2DEC(AA26)+HEX2DEC(AB26)+HEX2DEC(AC26)+HEX2DEC(AD26)+HEX2DEC(AE26)+HEX2DEC(AF26)+HEX2DEC(AG26)+HEX2DEC(AH26)+HEX2DEC(AI26)+HEX2DEC(AJ26)+HEX2DEC(AK26)+HEX2DEC(AN26),256),2)</f>
        <v>86</v>
      </c>
      <c r="AP26" s="84" t="s">
        <v>5</v>
      </c>
      <c r="AQ26" s="55" t="str">
        <f>IF(ISBLANK(Y26),,Y26&amp;" ")&amp;IF(ISBLANK(Z26),,Z26&amp;" ")&amp;IF(ISBLANK(AA26),,AA26&amp;" ")&amp;IF(ISBLANK(AB26),,AB26&amp;" ")&amp;IF(ISBLANK(AC26),,AC26&amp;" ")&amp;IF(ISBLANK(AD26),,AD26&amp;" ")&amp;IF(ISBLANK(AE26),,AE26&amp;" ")&amp;IF(ISBLANK(AF26),,AF26&amp;" ")&amp;IF(ISBLANK(AG26),,AG26&amp;" ")&amp;IF(ISBLANK(AH26),,AH26&amp;" ")&amp;IF(ISBLANK(AI26),,AI26&amp;" ")&amp;IF(ISBLANK(AJ26),,AJ26&amp;" ")&amp;IF(ISBLANK(AK26),,AK26&amp;" ")&amp;IF(ISBLANK(AN26),,AN26&amp;" ")&amp;IF(ISBLANK(AO26),,AO26&amp;" ")&amp;IF(ISBLANK(AP26),,AP26)</f>
        <v>aa 00 03 72 00 11 86 55</v>
      </c>
      <c r="AR26" s="492" t="s">
        <v>428</v>
      </c>
      <c r="AS26" s="492"/>
      <c r="AT26" s="492"/>
      <c r="AU26" s="492"/>
      <c r="AV26" s="492"/>
      <c r="AW26" s="492"/>
      <c r="AX26" s="492"/>
      <c r="AY26" s="492"/>
    </row>
    <row r="27" spans="2:51" ht="14.1" customHeight="1" thickBot="1" x14ac:dyDescent="0.3">
      <c r="B27" s="10" t="s">
        <v>0</v>
      </c>
      <c r="C27" s="1" t="s">
        <v>1</v>
      </c>
      <c r="D27" s="46" t="str">
        <f t="shared" si="17"/>
        <v>09</v>
      </c>
      <c r="E27" s="2" t="s">
        <v>71</v>
      </c>
      <c r="F27" s="2" t="s">
        <v>122</v>
      </c>
      <c r="G27" s="2" t="s">
        <v>17</v>
      </c>
      <c r="H27" s="3" t="str">
        <f t="shared" si="12"/>
        <v>FF</v>
      </c>
      <c r="I27" s="3" t="str">
        <f t="shared" si="13"/>
        <v>B0</v>
      </c>
      <c r="J27" s="3" t="s">
        <v>238</v>
      </c>
      <c r="K27" s="3"/>
      <c r="L27" s="3" t="str">
        <f t="shared" si="14"/>
        <v>01</v>
      </c>
      <c r="M27" s="3" t="str">
        <f t="shared" si="15"/>
        <v>F4</v>
      </c>
      <c r="N27" s="3" t="s">
        <v>4</v>
      </c>
      <c r="O27" s="233"/>
      <c r="P27" s="233"/>
      <c r="Q27" s="234"/>
      <c r="R27" s="85" t="str">
        <f t="shared" si="18"/>
        <v>F2</v>
      </c>
      <c r="S27" s="11" t="s">
        <v>5</v>
      </c>
      <c r="T27" s="49" t="str">
        <f t="shared" si="16"/>
        <v>aa 00 09 23 05 12 FF B0 0a 01 F4 01 F2 55</v>
      </c>
      <c r="U27" s="41">
        <v>-80</v>
      </c>
      <c r="V27" s="41">
        <v>500</v>
      </c>
      <c r="W27" s="349"/>
    </row>
    <row r="28" spans="2:51" ht="14.1" customHeight="1" x14ac:dyDescent="0.25">
      <c r="B28" s="254" t="s">
        <v>0</v>
      </c>
      <c r="C28" s="255" t="s">
        <v>1</v>
      </c>
      <c r="D28" s="247" t="str">
        <f t="shared" si="17"/>
        <v>09</v>
      </c>
      <c r="E28" s="256" t="s">
        <v>71</v>
      </c>
      <c r="F28" s="256" t="s">
        <v>123</v>
      </c>
      <c r="G28" s="256" t="s">
        <v>17</v>
      </c>
      <c r="H28" s="257" t="str">
        <f t="shared" si="12"/>
        <v>FF</v>
      </c>
      <c r="I28" s="257" t="str">
        <f t="shared" si="13"/>
        <v>9C</v>
      </c>
      <c r="J28" s="257" t="s">
        <v>238</v>
      </c>
      <c r="K28" s="257"/>
      <c r="L28" s="257" t="str">
        <f t="shared" si="14"/>
        <v>01</v>
      </c>
      <c r="M28" s="257" t="str">
        <f t="shared" si="15"/>
        <v>F4</v>
      </c>
      <c r="N28" s="257" t="s">
        <v>1</v>
      </c>
      <c r="O28" s="258"/>
      <c r="P28" s="258"/>
      <c r="Q28" s="259"/>
      <c r="R28" s="246" t="str">
        <f t="shared" si="18"/>
        <v>DE</v>
      </c>
      <c r="S28" s="260" t="s">
        <v>5</v>
      </c>
      <c r="T28" s="248" t="str">
        <f t="shared" si="16"/>
        <v>aa 00 09 23 06 12 FF 9C 0a 01 F4 00 DE 55</v>
      </c>
      <c r="U28" s="261">
        <v>-100</v>
      </c>
      <c r="V28" s="261">
        <v>500</v>
      </c>
      <c r="W28" s="350"/>
    </row>
    <row r="29" spans="2:51" ht="14.1" customHeight="1" x14ac:dyDescent="0.25">
      <c r="B29" s="559" t="s">
        <v>296</v>
      </c>
      <c r="C29" s="559"/>
      <c r="D29" s="559"/>
      <c r="E29" s="559"/>
      <c r="F29" s="559"/>
      <c r="G29" s="559"/>
      <c r="H29" s="559"/>
      <c r="I29" s="559"/>
      <c r="J29" s="559"/>
      <c r="K29" s="559"/>
      <c r="L29" s="559"/>
      <c r="M29" s="559"/>
      <c r="N29" s="559"/>
      <c r="O29" s="559"/>
      <c r="P29" s="559"/>
      <c r="Q29" s="559"/>
      <c r="R29" s="559"/>
      <c r="S29" s="559"/>
      <c r="T29" s="559"/>
      <c r="U29" s="559"/>
      <c r="V29" s="559"/>
      <c r="W29" s="559"/>
      <c r="Y29" s="431" t="s">
        <v>478</v>
      </c>
      <c r="Z29" s="431"/>
      <c r="AA29" s="431"/>
      <c r="AB29" s="431"/>
      <c r="AC29" s="431"/>
      <c r="AD29" s="431"/>
      <c r="AE29" s="431"/>
      <c r="AF29" s="431"/>
      <c r="AG29" s="431"/>
      <c r="AH29" s="431"/>
      <c r="AI29" s="431"/>
      <c r="AJ29" s="431"/>
      <c r="AK29" s="431"/>
      <c r="AL29" s="431"/>
      <c r="AM29" s="431"/>
      <c r="AN29" s="431"/>
      <c r="AO29" s="431"/>
      <c r="AP29" s="431"/>
      <c r="AQ29" s="431"/>
      <c r="AR29" s="431"/>
      <c r="AS29" s="431"/>
      <c r="AT29" s="431"/>
      <c r="AU29" s="431"/>
      <c r="AV29" s="431"/>
      <c r="AW29" s="431"/>
      <c r="AX29" s="431"/>
      <c r="AY29" s="431"/>
    </row>
    <row r="30" spans="2:51" ht="14.1" customHeight="1" x14ac:dyDescent="0.25">
      <c r="B30" s="216"/>
      <c r="C30" s="9"/>
      <c r="D30" s="9"/>
      <c r="E30" s="8"/>
      <c r="F30" s="101" t="s">
        <v>354</v>
      </c>
      <c r="G30" s="8"/>
      <c r="H30" s="400" t="s">
        <v>242</v>
      </c>
      <c r="I30" s="403"/>
      <c r="J30" s="7" t="s">
        <v>73</v>
      </c>
      <c r="K30" s="7"/>
      <c r="L30" s="400" t="s">
        <v>74</v>
      </c>
      <c r="M30" s="401"/>
      <c r="N30" s="7" t="s">
        <v>75</v>
      </c>
      <c r="O30" s="230"/>
      <c r="P30" s="231"/>
      <c r="Q30" s="232"/>
      <c r="R30" s="232" t="s">
        <v>601</v>
      </c>
      <c r="S30" s="9"/>
      <c r="T30" s="9"/>
      <c r="U30" s="149" t="s">
        <v>76</v>
      </c>
      <c r="V30" s="387"/>
      <c r="W30" s="387"/>
      <c r="Y30" s="431"/>
      <c r="Z30" s="431"/>
      <c r="AA30" s="431"/>
      <c r="AB30" s="431"/>
      <c r="AC30" s="431"/>
      <c r="AD30" s="431"/>
      <c r="AE30" s="431"/>
      <c r="AF30" s="431"/>
      <c r="AG30" s="431"/>
      <c r="AH30" s="431"/>
      <c r="AI30" s="431"/>
      <c r="AJ30" s="431"/>
      <c r="AK30" s="431"/>
      <c r="AL30" s="431"/>
      <c r="AM30" s="431"/>
      <c r="AN30" s="431"/>
      <c r="AO30" s="431"/>
      <c r="AP30" s="431"/>
      <c r="AQ30" s="431"/>
      <c r="AR30" s="431"/>
      <c r="AS30" s="431"/>
      <c r="AT30" s="431"/>
      <c r="AU30" s="431"/>
      <c r="AV30" s="431"/>
      <c r="AW30" s="431"/>
      <c r="AX30" s="431"/>
      <c r="AY30" s="431"/>
    </row>
    <row r="31" spans="2:51" ht="14.1" customHeight="1" x14ac:dyDescent="0.25">
      <c r="B31" s="10" t="s">
        <v>0</v>
      </c>
      <c r="C31" s="1" t="s">
        <v>1</v>
      </c>
      <c r="D31" s="75" t="str">
        <f t="shared" ref="D31:D42" si="19">DEC2HEX( COUNTA(E31:Q31),2)</f>
        <v>08</v>
      </c>
      <c r="E31" s="2" t="s">
        <v>71</v>
      </c>
      <c r="F31" s="2" t="s">
        <v>7</v>
      </c>
      <c r="G31" s="2" t="s">
        <v>28</v>
      </c>
      <c r="H31" s="398" t="s">
        <v>628</v>
      </c>
      <c r="I31" s="399"/>
      <c r="J31" s="3" t="s">
        <v>625</v>
      </c>
      <c r="K31" s="3"/>
      <c r="L31" s="3" t="str">
        <f t="shared" ref="L31:L37" si="20">LEFT(RIGHT(DEC2HEX(U31,4),4),2)</f>
        <v>03</v>
      </c>
      <c r="M31" s="3" t="str">
        <f t="shared" ref="M31:M37" si="21">LEFT(RIGHT(DEC2HEX(U31,4),2),2)</f>
        <v>E8</v>
      </c>
      <c r="N31" s="3" t="s">
        <v>1</v>
      </c>
      <c r="O31" s="233"/>
      <c r="P31" s="233"/>
      <c r="Q31" s="234"/>
      <c r="R31" s="84" t="str">
        <f>DEC2HEX(MOD(HEX2DEC(C31)+HEX2DEC(D31)+HEX2DEC(E31)+HEX2DEC(F31)+HEX2DEC(G31)+HEX2DEC(H31)+HEX2DEC(I31)+HEX2DEC(J31)+HEX2DEC(K31)+HEX2DEC(L31)+HEX2DEC(M31)+HEX2DEC(N31)+HEX2DEC(O31)+HEX2DEC(P31)+HEX2DEC(Q31),256),2)</f>
        <v>3A</v>
      </c>
      <c r="S31" s="11" t="s">
        <v>5</v>
      </c>
      <c r="T31" s="55" t="str">
        <f t="shared" ref="T31:T42" si="22">IF(ISBLANK(B31),,B31&amp;" ")&amp;IF(ISBLANK(C31),,C31&amp;" ")&amp;IF(ISBLANK(D31),,D31&amp;" ")&amp;IF(ISBLANK(E31),,E31&amp;" ")&amp;IF(ISBLANK(F31),,F31&amp;" ")&amp;IF(ISBLANK(G31),,G31&amp;" ")&amp;IF(ISBLANK(H31),,H31&amp;" ")&amp;IF(ISBLANK(I31),,I31&amp;" ")&amp;IF(ISBLANK(J31),,J31&amp;" ")&amp;IF(ISBLANK(K31),,K31&amp;" ")&amp;IF(ISBLANK(L31),,L31&amp;" ")&amp;IF(ISBLANK(M31),,M31&amp;" ")&amp;IF(ISBLANK(N31),,N31&amp;" ")&amp;IF(ISBLANK(O31),,O31&amp;" ")&amp;IF(ISBLANK(P31),,P31&amp;" ")&amp;IF(ISBLANK(Q31),,Q31&amp;" ")&amp;IF(ISBLANK(R31),,R31&amp;" ")&amp;IF(ISBLANK(S31),,S31)</f>
        <v>aa 00 08 23 02 11 01 10 03 E8 00 3A 55</v>
      </c>
      <c r="U31" s="41">
        <v>1000</v>
      </c>
      <c r="V31" s="587" t="s">
        <v>538</v>
      </c>
      <c r="W31" s="587"/>
      <c r="Y31" s="388" t="s">
        <v>275</v>
      </c>
      <c r="Z31" s="388"/>
      <c r="AA31" s="388"/>
      <c r="AB31" s="388"/>
      <c r="AC31" s="388"/>
      <c r="AD31" s="388"/>
      <c r="AE31" s="388"/>
      <c r="AF31" s="388"/>
      <c r="AG31" s="388"/>
      <c r="AH31" s="388"/>
      <c r="AI31" s="388"/>
      <c r="AJ31" s="388"/>
      <c r="AK31" s="388"/>
      <c r="AL31" s="388"/>
      <c r="AM31" s="388"/>
      <c r="AN31" s="388"/>
      <c r="AO31" s="388"/>
      <c r="AP31" s="388"/>
      <c r="AQ31" s="142" t="s">
        <v>266</v>
      </c>
      <c r="AR31" s="389" t="s">
        <v>268</v>
      </c>
      <c r="AS31" s="390"/>
      <c r="AT31" s="390"/>
      <c r="AU31" s="390"/>
      <c r="AV31" s="390"/>
      <c r="AW31" s="390"/>
      <c r="AX31" s="390"/>
      <c r="AY31" s="391"/>
    </row>
    <row r="32" spans="2:51" ht="14.1" customHeight="1" x14ac:dyDescent="0.25">
      <c r="B32" s="10" t="s">
        <v>0</v>
      </c>
      <c r="C32" s="1" t="s">
        <v>1</v>
      </c>
      <c r="D32" s="75" t="str">
        <f t="shared" si="19"/>
        <v>08</v>
      </c>
      <c r="E32" s="2" t="s">
        <v>71</v>
      </c>
      <c r="F32" s="2" t="s">
        <v>573</v>
      </c>
      <c r="G32" s="2" t="s">
        <v>28</v>
      </c>
      <c r="H32" s="398" t="s">
        <v>15</v>
      </c>
      <c r="I32" s="399"/>
      <c r="J32" s="3" t="s">
        <v>625</v>
      </c>
      <c r="K32" s="3"/>
      <c r="L32" s="3" t="str">
        <f t="shared" si="20"/>
        <v>03</v>
      </c>
      <c r="M32" s="3" t="str">
        <f t="shared" si="21"/>
        <v>E8</v>
      </c>
      <c r="N32" s="3" t="s">
        <v>629</v>
      </c>
      <c r="O32" s="233"/>
      <c r="P32" s="233"/>
      <c r="Q32" s="234"/>
      <c r="R32" s="84" t="str">
        <f t="shared" ref="R32:R42" si="23">DEC2HEX(MOD(HEX2DEC(C32)+HEX2DEC(D32)+HEX2DEC(E32)+HEX2DEC(F32)+HEX2DEC(G32)+HEX2DEC(H32)+HEX2DEC(I32)+HEX2DEC(J32)+HEX2DEC(K32)+HEX2DEC(L32)+HEX2DEC(M32)+HEX2DEC(N32)+HEX2DEC(O32)+HEX2DEC(P32)+HEX2DEC(Q32),256),2)</f>
        <v>3B</v>
      </c>
      <c r="S32" s="11" t="s">
        <v>5</v>
      </c>
      <c r="T32" s="55" t="str">
        <f t="shared" si="22"/>
        <v>aa 00 08 23 02 11 02 10 03 E8 00 3B 55</v>
      </c>
      <c r="U32" s="41">
        <v>1000</v>
      </c>
      <c r="V32" s="587" t="s">
        <v>539</v>
      </c>
      <c r="W32" s="587"/>
      <c r="Y32" s="86" t="s">
        <v>77</v>
      </c>
      <c r="Z32" s="143" t="s">
        <v>78</v>
      </c>
      <c r="AA32" s="143" t="s">
        <v>10</v>
      </c>
      <c r="AB32" s="143" t="s">
        <v>79</v>
      </c>
      <c r="AC32" s="143" t="s">
        <v>80</v>
      </c>
      <c r="AD32" s="143" t="s">
        <v>11</v>
      </c>
      <c r="AE32" s="424" t="s">
        <v>83</v>
      </c>
      <c r="AF32" s="424"/>
      <c r="AG32" s="424"/>
      <c r="AH32" s="424"/>
      <c r="AI32" s="424"/>
      <c r="AJ32" s="424"/>
      <c r="AK32" s="424"/>
      <c r="AL32" s="424"/>
      <c r="AM32" s="424"/>
      <c r="AN32" s="424"/>
      <c r="AO32" s="83" t="s">
        <v>81</v>
      </c>
      <c r="AP32" s="83" t="s">
        <v>82</v>
      </c>
      <c r="AQ32" s="51" t="s">
        <v>276</v>
      </c>
      <c r="AR32" s="474" t="s">
        <v>6</v>
      </c>
      <c r="AS32" s="475"/>
      <c r="AT32" s="475"/>
      <c r="AU32" s="475"/>
      <c r="AV32" s="475"/>
      <c r="AW32" s="475"/>
      <c r="AX32" s="475"/>
      <c r="AY32" s="476"/>
    </row>
    <row r="33" spans="2:51" ht="14.1" customHeight="1" x14ac:dyDescent="0.25">
      <c r="B33" s="10" t="s">
        <v>0</v>
      </c>
      <c r="C33" s="1" t="s">
        <v>1</v>
      </c>
      <c r="D33" s="75" t="str">
        <f t="shared" si="19"/>
        <v>08</v>
      </c>
      <c r="E33" s="2" t="s">
        <v>71</v>
      </c>
      <c r="F33" s="2" t="s">
        <v>7</v>
      </c>
      <c r="G33" s="2" t="s">
        <v>28</v>
      </c>
      <c r="H33" s="398" t="s">
        <v>13</v>
      </c>
      <c r="I33" s="399"/>
      <c r="J33" s="3" t="s">
        <v>625</v>
      </c>
      <c r="K33" s="3"/>
      <c r="L33" s="3" t="str">
        <f t="shared" si="20"/>
        <v>03</v>
      </c>
      <c r="M33" s="3" t="str">
        <f t="shared" si="21"/>
        <v>E8</v>
      </c>
      <c r="N33" s="3" t="s">
        <v>1</v>
      </c>
      <c r="O33" s="233"/>
      <c r="P33" s="233"/>
      <c r="Q33" s="234"/>
      <c r="R33" s="84" t="str">
        <f t="shared" si="23"/>
        <v>3C</v>
      </c>
      <c r="S33" s="11" t="s">
        <v>5</v>
      </c>
      <c r="T33" s="55" t="str">
        <f t="shared" si="22"/>
        <v>aa 00 08 23 02 11 03 10 03 E8 00 3C 55</v>
      </c>
      <c r="U33" s="41">
        <v>1000</v>
      </c>
      <c r="V33" s="587" t="s">
        <v>540</v>
      </c>
      <c r="W33" s="587"/>
      <c r="Y33" s="84" t="s">
        <v>0</v>
      </c>
      <c r="Z33" s="75" t="s">
        <v>1</v>
      </c>
      <c r="AA33" s="75" t="s">
        <v>8</v>
      </c>
      <c r="AB33" s="76" t="s">
        <v>479</v>
      </c>
      <c r="AC33" s="76" t="s">
        <v>1</v>
      </c>
      <c r="AD33" s="76" t="s">
        <v>70</v>
      </c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84" t="str">
        <f t="shared" ref="AO33:AO43" si="24">DEC2HEX(MOD(HEX2DEC(Z33)+HEX2DEC(AA33)+HEX2DEC(AB33)+HEX2DEC(AC33)+HEX2DEC(AD33)+HEX2DEC(AE33)+HEX2DEC(AF33)+HEX2DEC(AG33)+HEX2DEC(AH33)+HEX2DEC(AI33)+HEX2DEC(AJ33)+HEX2DEC(AK33)+HEX2DEC(AN33),256),2)</f>
        <v>86</v>
      </c>
      <c r="AP33" s="84" t="s">
        <v>5</v>
      </c>
      <c r="AQ33" s="55" t="str">
        <f t="shared" ref="AQ33:AQ43" si="25">IF(ISBLANK(Y33),,Y33&amp;" ")&amp;IF(ISBLANK(Z33),,Z33&amp;" ")&amp;IF(ISBLANK(AA33),,AA33&amp;" ")&amp;IF(ISBLANK(AB33),,AB33&amp;" ")&amp;IF(ISBLANK(AC33),,AC33&amp;" ")&amp;IF(ISBLANK(AD33),,AD33&amp;" ")&amp;IF(ISBLANK(AE33),,AE33&amp;" ")&amp;IF(ISBLANK(AF33),,AF33&amp;" ")&amp;IF(ISBLANK(AG33),,AG33&amp;" ")&amp;IF(ISBLANK(AH33),,AH33&amp;" ")&amp;IF(ISBLANK(AI33),,AI33&amp;" ")&amp;IF(ISBLANK(AJ33),,AJ33&amp;" ")&amp;IF(ISBLANK(AK33),,AK33&amp;" ")&amp;IF(ISBLANK(AN33),,AN33&amp;" ")&amp;IF(ISBLANK(AO33),,AO33&amp;" ")&amp;IF(ISBLANK(AP33),,AP33)</f>
        <v>aa 00 03 73 00 10 86 55</v>
      </c>
      <c r="AR33" s="489" t="s">
        <v>481</v>
      </c>
      <c r="AS33" s="490"/>
      <c r="AT33" s="490"/>
      <c r="AU33" s="490"/>
      <c r="AV33" s="490"/>
      <c r="AW33" s="490"/>
      <c r="AX33" s="490"/>
      <c r="AY33" s="491"/>
    </row>
    <row r="34" spans="2:51" ht="14.1" customHeight="1" x14ac:dyDescent="0.25">
      <c r="B34" s="10" t="s">
        <v>0</v>
      </c>
      <c r="C34" s="1" t="s">
        <v>1</v>
      </c>
      <c r="D34" s="75" t="str">
        <f t="shared" si="19"/>
        <v>08</v>
      </c>
      <c r="E34" s="2" t="s">
        <v>71</v>
      </c>
      <c r="F34" s="2" t="s">
        <v>520</v>
      </c>
      <c r="G34" s="2" t="s">
        <v>28</v>
      </c>
      <c r="H34" s="398" t="s">
        <v>18</v>
      </c>
      <c r="I34" s="399"/>
      <c r="J34" s="3" t="s">
        <v>625</v>
      </c>
      <c r="K34" s="3"/>
      <c r="L34" s="3" t="str">
        <f t="shared" si="20"/>
        <v>03</v>
      </c>
      <c r="M34" s="3" t="str">
        <f t="shared" si="21"/>
        <v>E8</v>
      </c>
      <c r="N34" s="3" t="s">
        <v>1</v>
      </c>
      <c r="O34" s="233"/>
      <c r="P34" s="233"/>
      <c r="Q34" s="234"/>
      <c r="R34" s="84" t="str">
        <f t="shared" si="23"/>
        <v>3D</v>
      </c>
      <c r="S34" s="11" t="s">
        <v>5</v>
      </c>
      <c r="T34" s="55" t="str">
        <f t="shared" si="22"/>
        <v>aa 00 08 23 02 11 04 10 03 E8 00 3D 55</v>
      </c>
      <c r="U34" s="41">
        <v>1000</v>
      </c>
      <c r="V34" s="587" t="s">
        <v>541</v>
      </c>
      <c r="W34" s="587"/>
      <c r="Y34" s="84" t="s">
        <v>0</v>
      </c>
      <c r="Z34" s="75" t="s">
        <v>1</v>
      </c>
      <c r="AA34" s="75" t="s">
        <v>8</v>
      </c>
      <c r="AB34" s="76" t="s">
        <v>479</v>
      </c>
      <c r="AC34" s="76" t="s">
        <v>1</v>
      </c>
      <c r="AD34" s="76" t="s">
        <v>158</v>
      </c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84" t="str">
        <f t="shared" si="24"/>
        <v>87</v>
      </c>
      <c r="AP34" s="84" t="s">
        <v>5</v>
      </c>
      <c r="AQ34" s="55" t="str">
        <f t="shared" si="25"/>
        <v>aa 00 03 73 00 11 87 55</v>
      </c>
      <c r="AR34" s="489" t="s">
        <v>482</v>
      </c>
      <c r="AS34" s="490"/>
      <c r="AT34" s="490"/>
      <c r="AU34" s="490"/>
      <c r="AV34" s="490"/>
      <c r="AW34" s="490"/>
      <c r="AX34" s="490"/>
      <c r="AY34" s="491"/>
    </row>
    <row r="35" spans="2:51" ht="14.1" customHeight="1" x14ac:dyDescent="0.25">
      <c r="B35" s="10" t="s">
        <v>0</v>
      </c>
      <c r="C35" s="1" t="s">
        <v>1</v>
      </c>
      <c r="D35" s="75" t="str">
        <f t="shared" si="19"/>
        <v>08</v>
      </c>
      <c r="E35" s="2" t="s">
        <v>71</v>
      </c>
      <c r="F35" s="2" t="s">
        <v>520</v>
      </c>
      <c r="G35" s="2" t="s">
        <v>28</v>
      </c>
      <c r="H35" s="398" t="s">
        <v>122</v>
      </c>
      <c r="I35" s="399"/>
      <c r="J35" s="3" t="s">
        <v>625</v>
      </c>
      <c r="K35" s="3"/>
      <c r="L35" s="3" t="str">
        <f t="shared" si="20"/>
        <v>03</v>
      </c>
      <c r="M35" s="3" t="str">
        <f t="shared" si="21"/>
        <v>E8</v>
      </c>
      <c r="N35" s="3" t="s">
        <v>1</v>
      </c>
      <c r="O35" s="233"/>
      <c r="P35" s="233"/>
      <c r="Q35" s="234"/>
      <c r="R35" s="84" t="str">
        <f t="shared" si="23"/>
        <v>3E</v>
      </c>
      <c r="S35" s="11" t="s">
        <v>5</v>
      </c>
      <c r="T35" s="55" t="str">
        <f t="shared" si="22"/>
        <v>aa 00 08 23 02 11 05 10 03 E8 00 3E 55</v>
      </c>
      <c r="U35" s="41">
        <v>1000</v>
      </c>
      <c r="V35" s="587" t="s">
        <v>542</v>
      </c>
      <c r="W35" s="587"/>
      <c r="Y35" s="84" t="s">
        <v>0</v>
      </c>
      <c r="Z35" s="75" t="s">
        <v>1</v>
      </c>
      <c r="AA35" s="75" t="s">
        <v>8</v>
      </c>
      <c r="AB35" s="76" t="s">
        <v>479</v>
      </c>
      <c r="AC35" s="76" t="s">
        <v>1</v>
      </c>
      <c r="AD35" s="76" t="s">
        <v>159</v>
      </c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84" t="str">
        <f t="shared" si="24"/>
        <v>88</v>
      </c>
      <c r="AP35" s="84" t="s">
        <v>5</v>
      </c>
      <c r="AQ35" s="55" t="str">
        <f t="shared" si="25"/>
        <v>aa 00 03 73 00 12 88 55</v>
      </c>
      <c r="AR35" s="489" t="s">
        <v>503</v>
      </c>
      <c r="AS35" s="490"/>
      <c r="AT35" s="490"/>
      <c r="AU35" s="490"/>
      <c r="AV35" s="490"/>
      <c r="AW35" s="490"/>
      <c r="AX35" s="490"/>
      <c r="AY35" s="491"/>
    </row>
    <row r="36" spans="2:51" ht="14.1" customHeight="1" x14ac:dyDescent="0.25">
      <c r="B36" s="10" t="s">
        <v>0</v>
      </c>
      <c r="C36" s="1" t="s">
        <v>1</v>
      </c>
      <c r="D36" s="75" t="str">
        <f t="shared" si="19"/>
        <v>08</v>
      </c>
      <c r="E36" s="2" t="s">
        <v>71</v>
      </c>
      <c r="F36" s="2" t="s">
        <v>520</v>
      </c>
      <c r="G36" s="2" t="s">
        <v>28</v>
      </c>
      <c r="H36" s="398" t="s">
        <v>123</v>
      </c>
      <c r="I36" s="399"/>
      <c r="J36" s="3" t="s">
        <v>625</v>
      </c>
      <c r="K36" s="3"/>
      <c r="L36" s="3" t="str">
        <f t="shared" si="20"/>
        <v>03</v>
      </c>
      <c r="M36" s="3" t="str">
        <f t="shared" si="21"/>
        <v>E8</v>
      </c>
      <c r="N36" s="3" t="s">
        <v>1</v>
      </c>
      <c r="O36" s="233"/>
      <c r="P36" s="233"/>
      <c r="Q36" s="234"/>
      <c r="R36" s="84" t="str">
        <f t="shared" si="23"/>
        <v>3F</v>
      </c>
      <c r="S36" s="11" t="s">
        <v>5</v>
      </c>
      <c r="T36" s="55" t="str">
        <f t="shared" si="22"/>
        <v>aa 00 08 23 02 11 06 10 03 E8 00 3F 55</v>
      </c>
      <c r="U36" s="41">
        <v>1000</v>
      </c>
      <c r="V36" s="587" t="s">
        <v>543</v>
      </c>
      <c r="W36" s="587"/>
      <c r="Y36" s="84" t="s">
        <v>0</v>
      </c>
      <c r="Z36" s="75" t="s">
        <v>1</v>
      </c>
      <c r="AA36" s="75" t="s">
        <v>8</v>
      </c>
      <c r="AB36" s="76" t="s">
        <v>479</v>
      </c>
      <c r="AC36" s="76" t="s">
        <v>1</v>
      </c>
      <c r="AD36" s="76" t="s">
        <v>160</v>
      </c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84" t="str">
        <f t="shared" si="24"/>
        <v>89</v>
      </c>
      <c r="AP36" s="84" t="s">
        <v>5</v>
      </c>
      <c r="AQ36" s="55" t="str">
        <f t="shared" si="25"/>
        <v>aa 00 03 73 00 13 89 55</v>
      </c>
      <c r="AR36" s="489" t="s">
        <v>489</v>
      </c>
      <c r="AS36" s="490"/>
      <c r="AT36" s="490"/>
      <c r="AU36" s="490"/>
      <c r="AV36" s="490"/>
      <c r="AW36" s="490"/>
      <c r="AX36" s="490"/>
      <c r="AY36" s="491"/>
    </row>
    <row r="37" spans="2:51" ht="14.1" customHeight="1" x14ac:dyDescent="0.25">
      <c r="B37" s="10" t="s">
        <v>0</v>
      </c>
      <c r="C37" s="1" t="s">
        <v>1</v>
      </c>
      <c r="D37" s="75" t="str">
        <f t="shared" ref="D37" si="26">DEC2HEX( COUNTA(E37:Q37),2)</f>
        <v>08</v>
      </c>
      <c r="E37" s="2" t="s">
        <v>71</v>
      </c>
      <c r="F37" s="2" t="s">
        <v>520</v>
      </c>
      <c r="G37" s="2" t="s">
        <v>28</v>
      </c>
      <c r="H37" s="398" t="s">
        <v>124</v>
      </c>
      <c r="I37" s="399"/>
      <c r="J37" s="3" t="s">
        <v>625</v>
      </c>
      <c r="K37" s="3"/>
      <c r="L37" s="3" t="str">
        <f t="shared" si="20"/>
        <v>03</v>
      </c>
      <c r="M37" s="3" t="str">
        <f t="shared" si="21"/>
        <v>E8</v>
      </c>
      <c r="N37" s="3" t="s">
        <v>1</v>
      </c>
      <c r="O37" s="233"/>
      <c r="P37" s="233"/>
      <c r="Q37" s="234"/>
      <c r="R37" s="84" t="str">
        <f t="shared" ref="R37" si="27">DEC2HEX(MOD(HEX2DEC(C37)+HEX2DEC(D37)+HEX2DEC(E37)+HEX2DEC(F37)+HEX2DEC(G37)+HEX2DEC(H37)+HEX2DEC(I37)+HEX2DEC(J37)+HEX2DEC(K37)+HEX2DEC(L37)+HEX2DEC(M37)+HEX2DEC(N37)+HEX2DEC(O37)+HEX2DEC(P37)+HEX2DEC(Q37),256),2)</f>
        <v>40</v>
      </c>
      <c r="S37" s="11" t="s">
        <v>5</v>
      </c>
      <c r="T37" s="55" t="str">
        <f t="shared" ref="T37" si="28">IF(ISBLANK(B37),,B37&amp;" ")&amp;IF(ISBLANK(C37),,C37&amp;" ")&amp;IF(ISBLANK(D37),,D37&amp;" ")&amp;IF(ISBLANK(E37),,E37&amp;" ")&amp;IF(ISBLANK(F37),,F37&amp;" ")&amp;IF(ISBLANK(G37),,G37&amp;" ")&amp;IF(ISBLANK(H37),,H37&amp;" ")&amp;IF(ISBLANK(I37),,I37&amp;" ")&amp;IF(ISBLANK(J37),,J37&amp;" ")&amp;IF(ISBLANK(K37),,K37&amp;" ")&amp;IF(ISBLANK(L37),,L37&amp;" ")&amp;IF(ISBLANK(M37),,M37&amp;" ")&amp;IF(ISBLANK(N37),,N37&amp;" ")&amp;IF(ISBLANK(O37),,O37&amp;" ")&amp;IF(ISBLANK(P37),,P37&amp;" ")&amp;IF(ISBLANK(Q37),,Q37&amp;" ")&amp;IF(ISBLANK(R37),,R37&amp;" ")&amp;IF(ISBLANK(S37),,S37)</f>
        <v>aa 00 08 23 02 11 07 10 03 E8 00 40 55</v>
      </c>
      <c r="U37" s="41">
        <v>1000</v>
      </c>
      <c r="V37" s="587" t="s">
        <v>713</v>
      </c>
      <c r="W37" s="587"/>
      <c r="Y37" s="84" t="s">
        <v>0</v>
      </c>
      <c r="Z37" s="75" t="s">
        <v>1</v>
      </c>
      <c r="AA37" s="75" t="s">
        <v>8</v>
      </c>
      <c r="AB37" s="76" t="s">
        <v>479</v>
      </c>
      <c r="AC37" s="76" t="s">
        <v>1</v>
      </c>
      <c r="AD37" s="76" t="s">
        <v>480</v>
      </c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84" t="str">
        <f t="shared" si="24"/>
        <v>96</v>
      </c>
      <c r="AP37" s="84" t="s">
        <v>5</v>
      </c>
      <c r="AQ37" s="55" t="str">
        <f t="shared" si="25"/>
        <v>aa 00 03 73 00 20 96 55</v>
      </c>
      <c r="AR37" s="489" t="s">
        <v>483</v>
      </c>
      <c r="AS37" s="490"/>
      <c r="AT37" s="490"/>
      <c r="AU37" s="490"/>
      <c r="AV37" s="490"/>
      <c r="AW37" s="490"/>
      <c r="AX37" s="490"/>
      <c r="AY37" s="491"/>
    </row>
    <row r="38" spans="2:51" ht="14.1" customHeight="1" x14ac:dyDescent="0.25">
      <c r="B38" s="10" t="s">
        <v>0</v>
      </c>
      <c r="C38" s="1" t="s">
        <v>1</v>
      </c>
      <c r="D38" s="75" t="str">
        <f t="shared" si="19"/>
        <v>08</v>
      </c>
      <c r="E38" s="2" t="s">
        <v>71</v>
      </c>
      <c r="F38" s="2" t="s">
        <v>520</v>
      </c>
      <c r="G38" s="2" t="s">
        <v>28</v>
      </c>
      <c r="H38" s="398" t="s">
        <v>125</v>
      </c>
      <c r="I38" s="399"/>
      <c r="J38" s="3" t="s">
        <v>625</v>
      </c>
      <c r="K38" s="3"/>
      <c r="L38" s="3" t="str">
        <f t="shared" ref="L38:L42" si="29">LEFT(RIGHT(DEC2HEX(U38,4),4),2)</f>
        <v>03</v>
      </c>
      <c r="M38" s="3" t="str">
        <f t="shared" ref="M38:M42" si="30">LEFT(RIGHT(DEC2HEX(U38,4),2),2)</f>
        <v>E8</v>
      </c>
      <c r="N38" s="3" t="s">
        <v>1</v>
      </c>
      <c r="O38" s="233"/>
      <c r="P38" s="233"/>
      <c r="Q38" s="234"/>
      <c r="R38" s="84" t="str">
        <f t="shared" si="23"/>
        <v>41</v>
      </c>
      <c r="S38" s="11" t="s">
        <v>5</v>
      </c>
      <c r="T38" s="55" t="str">
        <f t="shared" si="22"/>
        <v>aa 00 08 23 02 11 08 10 03 E8 00 41 55</v>
      </c>
      <c r="U38" s="41">
        <v>1000</v>
      </c>
      <c r="V38" s="587" t="s">
        <v>544</v>
      </c>
      <c r="W38" s="587"/>
      <c r="Y38" s="84" t="s">
        <v>0</v>
      </c>
      <c r="Z38" s="75" t="s">
        <v>1</v>
      </c>
      <c r="AA38" s="75" t="s">
        <v>8</v>
      </c>
      <c r="AB38" s="76" t="s">
        <v>479</v>
      </c>
      <c r="AC38" s="76" t="s">
        <v>1</v>
      </c>
      <c r="AD38" s="76" t="s">
        <v>168</v>
      </c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84" t="str">
        <f t="shared" si="24"/>
        <v>97</v>
      </c>
      <c r="AP38" s="84" t="s">
        <v>5</v>
      </c>
      <c r="AQ38" s="55" t="str">
        <f t="shared" si="25"/>
        <v>aa 00 03 73 00 21 97 55</v>
      </c>
      <c r="AR38" s="489" t="s">
        <v>484</v>
      </c>
      <c r="AS38" s="490"/>
      <c r="AT38" s="490"/>
      <c r="AU38" s="490"/>
      <c r="AV38" s="490"/>
      <c r="AW38" s="490"/>
      <c r="AX38" s="490"/>
      <c r="AY38" s="491"/>
    </row>
    <row r="39" spans="2:51" ht="14.1" customHeight="1" x14ac:dyDescent="0.25">
      <c r="B39" s="10" t="s">
        <v>0</v>
      </c>
      <c r="C39" s="1" t="s">
        <v>1</v>
      </c>
      <c r="D39" s="75" t="str">
        <f t="shared" si="19"/>
        <v>08</v>
      </c>
      <c r="E39" s="2" t="s">
        <v>71</v>
      </c>
      <c r="F39" s="2" t="s">
        <v>520</v>
      </c>
      <c r="G39" s="2" t="s">
        <v>28</v>
      </c>
      <c r="H39" s="398" t="s">
        <v>126</v>
      </c>
      <c r="I39" s="399"/>
      <c r="J39" s="3" t="s">
        <v>625</v>
      </c>
      <c r="K39" s="3"/>
      <c r="L39" s="3" t="str">
        <f t="shared" si="29"/>
        <v>03</v>
      </c>
      <c r="M39" s="3" t="str">
        <f t="shared" si="30"/>
        <v>E8</v>
      </c>
      <c r="N39" s="3" t="s">
        <v>1</v>
      </c>
      <c r="O39" s="233"/>
      <c r="P39" s="233"/>
      <c r="Q39" s="234"/>
      <c r="R39" s="84" t="str">
        <f t="shared" si="23"/>
        <v>42</v>
      </c>
      <c r="S39" s="11" t="s">
        <v>5</v>
      </c>
      <c r="T39" s="55" t="str">
        <f t="shared" si="22"/>
        <v>aa 00 08 23 02 11 09 10 03 E8 00 42 55</v>
      </c>
      <c r="U39" s="41">
        <v>1000</v>
      </c>
      <c r="V39" s="587" t="s">
        <v>545</v>
      </c>
      <c r="W39" s="587"/>
      <c r="Y39" s="84" t="s">
        <v>0</v>
      </c>
      <c r="Z39" s="75" t="s">
        <v>1</v>
      </c>
      <c r="AA39" s="75" t="s">
        <v>8</v>
      </c>
      <c r="AB39" s="76" t="s">
        <v>479</v>
      </c>
      <c r="AC39" s="76" t="s">
        <v>1</v>
      </c>
      <c r="AD39" s="76" t="s">
        <v>169</v>
      </c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84" t="str">
        <f t="shared" si="24"/>
        <v>98</v>
      </c>
      <c r="AP39" s="84" t="s">
        <v>5</v>
      </c>
      <c r="AQ39" s="55" t="str">
        <f t="shared" si="25"/>
        <v>aa 00 03 73 00 22 98 55</v>
      </c>
      <c r="AR39" s="489" t="s">
        <v>485</v>
      </c>
      <c r="AS39" s="490"/>
      <c r="AT39" s="490"/>
      <c r="AU39" s="490"/>
      <c r="AV39" s="490"/>
      <c r="AW39" s="490"/>
      <c r="AX39" s="490"/>
      <c r="AY39" s="491"/>
    </row>
    <row r="40" spans="2:51" ht="14.1" customHeight="1" x14ac:dyDescent="0.25">
      <c r="B40" s="10" t="s">
        <v>0</v>
      </c>
      <c r="C40" s="1" t="s">
        <v>1</v>
      </c>
      <c r="D40" s="75" t="str">
        <f t="shared" si="19"/>
        <v>08</v>
      </c>
      <c r="E40" s="2" t="s">
        <v>71</v>
      </c>
      <c r="F40" s="2" t="s">
        <v>520</v>
      </c>
      <c r="G40" s="2" t="s">
        <v>28</v>
      </c>
      <c r="H40" s="398" t="s">
        <v>714</v>
      </c>
      <c r="I40" s="399"/>
      <c r="J40" s="3" t="s">
        <v>625</v>
      </c>
      <c r="K40" s="3"/>
      <c r="L40" s="3" t="str">
        <f t="shared" si="29"/>
        <v>03</v>
      </c>
      <c r="M40" s="3" t="str">
        <f t="shared" si="30"/>
        <v>E8</v>
      </c>
      <c r="N40" s="3" t="s">
        <v>1</v>
      </c>
      <c r="O40" s="233"/>
      <c r="P40" s="233"/>
      <c r="Q40" s="234"/>
      <c r="R40" s="84" t="str">
        <f t="shared" si="23"/>
        <v>43</v>
      </c>
      <c r="S40" s="11" t="s">
        <v>5</v>
      </c>
      <c r="T40" s="55" t="str">
        <f t="shared" si="22"/>
        <v>aa 00 08 23 02 11 0A 10 03 E8 00 43 55</v>
      </c>
      <c r="U40" s="41">
        <v>1000</v>
      </c>
      <c r="V40" s="587" t="s">
        <v>546</v>
      </c>
      <c r="W40" s="587"/>
      <c r="Y40" s="84"/>
      <c r="Z40" s="75"/>
      <c r="AA40" s="75"/>
      <c r="AB40" s="76"/>
      <c r="AC40" s="76"/>
      <c r="AD40" s="76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84"/>
      <c r="AP40" s="84"/>
      <c r="AQ40" s="55"/>
      <c r="AR40" s="185"/>
      <c r="AS40" s="186"/>
      <c r="AT40" s="186"/>
      <c r="AU40" s="186"/>
      <c r="AV40" s="186"/>
      <c r="AW40" s="186"/>
      <c r="AX40" s="186"/>
      <c r="AY40" s="187"/>
    </row>
    <row r="41" spans="2:51" ht="14.1" customHeight="1" x14ac:dyDescent="0.25">
      <c r="B41" s="10" t="s">
        <v>0</v>
      </c>
      <c r="C41" s="1" t="s">
        <v>1</v>
      </c>
      <c r="D41" s="75" t="str">
        <f t="shared" si="19"/>
        <v>08</v>
      </c>
      <c r="E41" s="2" t="s">
        <v>71</v>
      </c>
      <c r="F41" s="2" t="s">
        <v>520</v>
      </c>
      <c r="G41" s="2" t="s">
        <v>28</v>
      </c>
      <c r="H41" s="398" t="s">
        <v>715</v>
      </c>
      <c r="I41" s="399"/>
      <c r="J41" s="3" t="s">
        <v>550</v>
      </c>
      <c r="K41" s="3"/>
      <c r="L41" s="3" t="str">
        <f t="shared" si="29"/>
        <v>03</v>
      </c>
      <c r="M41" s="3" t="str">
        <f t="shared" si="30"/>
        <v>E8</v>
      </c>
      <c r="N41" s="3" t="s">
        <v>1</v>
      </c>
      <c r="O41" s="233"/>
      <c r="P41" s="233"/>
      <c r="Q41" s="234"/>
      <c r="R41" s="84" t="str">
        <f t="shared" si="23"/>
        <v>44</v>
      </c>
      <c r="S41" s="11" t="s">
        <v>5</v>
      </c>
      <c r="T41" s="55" t="str">
        <f t="shared" si="22"/>
        <v>aa 00 08 23 02 11 0B 10 03 E8 00 44 55</v>
      </c>
      <c r="U41" s="41">
        <v>1000</v>
      </c>
      <c r="V41" s="587" t="s">
        <v>547</v>
      </c>
      <c r="W41" s="587"/>
      <c r="Y41" s="84" t="s">
        <v>0</v>
      </c>
      <c r="Z41" s="75" t="s">
        <v>1</v>
      </c>
      <c r="AA41" s="75" t="s">
        <v>8</v>
      </c>
      <c r="AB41" s="76" t="s">
        <v>479</v>
      </c>
      <c r="AC41" s="76" t="s">
        <v>1</v>
      </c>
      <c r="AD41" s="76" t="s">
        <v>170</v>
      </c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84" t="str">
        <f t="shared" si="24"/>
        <v>99</v>
      </c>
      <c r="AP41" s="84" t="s">
        <v>5</v>
      </c>
      <c r="AQ41" s="55" t="str">
        <f t="shared" si="25"/>
        <v>aa 00 03 73 00 23 99 55</v>
      </c>
      <c r="AR41" s="489" t="s">
        <v>486</v>
      </c>
      <c r="AS41" s="490"/>
      <c r="AT41" s="490"/>
      <c r="AU41" s="490"/>
      <c r="AV41" s="490"/>
      <c r="AW41" s="490"/>
      <c r="AX41" s="490"/>
      <c r="AY41" s="491"/>
    </row>
    <row r="42" spans="2:51" ht="14.1" customHeight="1" x14ac:dyDescent="0.25">
      <c r="B42" s="10" t="s">
        <v>0</v>
      </c>
      <c r="C42" s="1" t="s">
        <v>1</v>
      </c>
      <c r="D42" s="75" t="str">
        <f t="shared" si="19"/>
        <v>08</v>
      </c>
      <c r="E42" s="2" t="s">
        <v>71</v>
      </c>
      <c r="F42" s="2" t="s">
        <v>520</v>
      </c>
      <c r="G42" s="2" t="s">
        <v>28</v>
      </c>
      <c r="H42" s="398" t="s">
        <v>716</v>
      </c>
      <c r="I42" s="399"/>
      <c r="J42" s="3" t="s">
        <v>550</v>
      </c>
      <c r="K42" s="3"/>
      <c r="L42" s="3" t="str">
        <f t="shared" si="29"/>
        <v>05</v>
      </c>
      <c r="M42" s="3" t="str">
        <f t="shared" si="30"/>
        <v>DC</v>
      </c>
      <c r="N42" s="3" t="s">
        <v>1</v>
      </c>
      <c r="O42" s="233"/>
      <c r="P42" s="233"/>
      <c r="Q42" s="234"/>
      <c r="R42" s="84" t="str">
        <f t="shared" si="23"/>
        <v>3B</v>
      </c>
      <c r="S42" s="11" t="s">
        <v>5</v>
      </c>
      <c r="T42" s="55" t="str">
        <f t="shared" si="22"/>
        <v>aa 00 08 23 02 11 0C 10 05 DC 00 3B 55</v>
      </c>
      <c r="U42" s="41">
        <v>1500</v>
      </c>
      <c r="V42" s="587" t="s">
        <v>548</v>
      </c>
      <c r="W42" s="587"/>
      <c r="Y42" s="84" t="s">
        <v>0</v>
      </c>
      <c r="Z42" s="75" t="s">
        <v>1</v>
      </c>
      <c r="AA42" s="75" t="s">
        <v>8</v>
      </c>
      <c r="AB42" s="76" t="s">
        <v>479</v>
      </c>
      <c r="AC42" s="76" t="s">
        <v>1</v>
      </c>
      <c r="AD42" s="76" t="s">
        <v>171</v>
      </c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84" t="str">
        <f t="shared" si="24"/>
        <v>9A</v>
      </c>
      <c r="AP42" s="84" t="s">
        <v>5</v>
      </c>
      <c r="AQ42" s="55" t="str">
        <f t="shared" si="25"/>
        <v>aa 00 03 73 00 24 9A 55</v>
      </c>
      <c r="AR42" s="489" t="s">
        <v>487</v>
      </c>
      <c r="AS42" s="490"/>
      <c r="AT42" s="490"/>
      <c r="AU42" s="490"/>
      <c r="AV42" s="490"/>
      <c r="AW42" s="490"/>
      <c r="AX42" s="490"/>
      <c r="AY42" s="491"/>
    </row>
    <row r="43" spans="2:51" ht="14.1" customHeight="1" x14ac:dyDescent="0.25">
      <c r="B43" s="586" t="s">
        <v>245</v>
      </c>
      <c r="C43" s="586"/>
      <c r="D43" s="586"/>
      <c r="E43" s="586"/>
      <c r="F43" s="586"/>
      <c r="G43" s="586"/>
      <c r="H43" s="586"/>
      <c r="I43" s="586"/>
      <c r="J43" s="586"/>
      <c r="K43" s="586"/>
      <c r="L43" s="586"/>
      <c r="M43" s="586"/>
      <c r="N43" s="586"/>
      <c r="O43" s="586"/>
      <c r="P43" s="586"/>
      <c r="Q43" s="586"/>
      <c r="R43" s="586"/>
      <c r="S43" s="586"/>
      <c r="T43" s="586"/>
      <c r="U43" s="586"/>
      <c r="V43" s="586"/>
      <c r="W43" s="586"/>
      <c r="Y43" s="84" t="s">
        <v>0</v>
      </c>
      <c r="Z43" s="75" t="s">
        <v>1</v>
      </c>
      <c r="AA43" s="75" t="s">
        <v>8</v>
      </c>
      <c r="AB43" s="76" t="s">
        <v>479</v>
      </c>
      <c r="AC43" s="76" t="s">
        <v>1</v>
      </c>
      <c r="AD43" s="76" t="s">
        <v>172</v>
      </c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84" t="str">
        <f t="shared" si="24"/>
        <v>9B</v>
      </c>
      <c r="AP43" s="84" t="s">
        <v>5</v>
      </c>
      <c r="AQ43" s="55" t="str">
        <f t="shared" si="25"/>
        <v>aa 00 03 73 00 25 9B 55</v>
      </c>
      <c r="AR43" s="489" t="s">
        <v>488</v>
      </c>
      <c r="AS43" s="490"/>
      <c r="AT43" s="490"/>
      <c r="AU43" s="490"/>
      <c r="AV43" s="490"/>
      <c r="AW43" s="490"/>
      <c r="AX43" s="490"/>
      <c r="AY43" s="491"/>
    </row>
    <row r="44" spans="2:51" ht="14.1" customHeight="1" x14ac:dyDescent="0.25">
      <c r="B44" s="216"/>
      <c r="C44" s="9"/>
      <c r="D44" s="9"/>
      <c r="E44" s="8"/>
      <c r="F44" s="7" t="s">
        <v>86</v>
      </c>
      <c r="G44" s="8"/>
      <c r="H44" s="589" t="s">
        <v>242</v>
      </c>
      <c r="I44" s="590"/>
      <c r="J44" s="7" t="s">
        <v>73</v>
      </c>
      <c r="K44" s="7"/>
      <c r="L44" s="400" t="s">
        <v>74</v>
      </c>
      <c r="M44" s="401"/>
      <c r="N44" s="7" t="s">
        <v>75</v>
      </c>
      <c r="O44" s="230"/>
      <c r="P44" s="231"/>
      <c r="Q44" s="232"/>
      <c r="R44" s="232" t="s">
        <v>602</v>
      </c>
      <c r="S44" s="9"/>
      <c r="T44" s="9"/>
      <c r="U44" s="149" t="s">
        <v>76</v>
      </c>
      <c r="V44" s="387"/>
      <c r="W44" s="387"/>
    </row>
    <row r="45" spans="2:51" ht="12.9" customHeight="1" thickBot="1" x14ac:dyDescent="0.3">
      <c r="B45" s="10" t="s">
        <v>0</v>
      </c>
      <c r="C45" s="1" t="s">
        <v>1</v>
      </c>
      <c r="D45" s="46" t="str">
        <f t="shared" ref="D45:D51" si="31">DEC2HEX( COUNTA(E45:Q45),2)</f>
        <v>08</v>
      </c>
      <c r="E45" s="2" t="s">
        <v>71</v>
      </c>
      <c r="F45" s="2" t="s">
        <v>4</v>
      </c>
      <c r="G45" s="2" t="s">
        <v>28</v>
      </c>
      <c r="H45" s="576" t="s">
        <v>243</v>
      </c>
      <c r="I45" s="588"/>
      <c r="J45" s="3" t="s">
        <v>595</v>
      </c>
      <c r="K45" s="3"/>
      <c r="L45" s="3" t="str">
        <f t="shared" ref="L45:L48" si="32">LEFT(RIGHT(DEC2HEX(U45,4),4),2)</f>
        <v>01</v>
      </c>
      <c r="M45" s="3" t="str">
        <f t="shared" ref="M45:M48" si="33">LEFT(RIGHT(DEC2HEX(U45,4),2),2)</f>
        <v>F4</v>
      </c>
      <c r="N45" s="3" t="s">
        <v>1</v>
      </c>
      <c r="O45" s="233"/>
      <c r="P45" s="233"/>
      <c r="Q45" s="234"/>
      <c r="R45" s="85" t="str">
        <f t="shared" ref="R45:R55" si="34">DEC2HEX(MOD(HEX2DEC(C45)+HEX2DEC(D45)+HEX2DEC(E45)+HEX2DEC(F45)+HEX2DEC(G45)+HEX2DEC(H45)+HEX2DEC(I45)+HEX2DEC(J45)+HEX2DEC(K45)+HEX2DEC(L45)+HEX2DEC(M45)+HEX2DEC(N45)+HEX2DEC(O45)+HEX2DEC(P45)+HEX2DEC(Q45),256),2)</f>
        <v>43</v>
      </c>
      <c r="S45" s="11" t="s">
        <v>5</v>
      </c>
      <c r="T45" s="49" t="str">
        <f t="shared" ref="T45:T51" si="35">IF(ISBLANK(B45),,B45&amp;" ")&amp;IF(ISBLANK(C45),,C45&amp;" ")&amp;IF(ISBLANK(D45),,D45&amp;" ")&amp;IF(ISBLANK(E45),,E45&amp;" ")&amp;IF(ISBLANK(F45),,F45&amp;" ")&amp;IF(ISBLANK(G45),,G45&amp;" ")&amp;IF(ISBLANK(H45),,H45&amp;" ")&amp;IF(ISBLANK(I45),,I45&amp;" ")&amp;IF(ISBLANK(J45),,J45&amp;" ")&amp;IF(ISBLANK(K45),,K45&amp;" ")&amp;IF(ISBLANK(L45),,L45&amp;" ")&amp;IF(ISBLANK(M45),,M45&amp;" ")&amp;IF(ISBLANK(N45),,N45&amp;" ")&amp;IF(ISBLANK(O45),,O45&amp;" ")&amp;IF(ISBLANK(P45),,P45&amp;" ")&amp;IF(ISBLANK(Q45),,Q45&amp;" ")&amp;IF(ISBLANK(R45),,R45&amp;" ")&amp;IF(ISBLANK(S45),,S45)</f>
        <v>aa 00 08 23 01 11 01 10 01 F4 00 43 55</v>
      </c>
      <c r="U45" s="41">
        <v>500</v>
      </c>
      <c r="V45" s="587" t="s">
        <v>552</v>
      </c>
      <c r="W45" s="587"/>
    </row>
    <row r="46" spans="2:51" ht="12.9" customHeight="1" thickBot="1" x14ac:dyDescent="0.3">
      <c r="B46" s="10" t="s">
        <v>0</v>
      </c>
      <c r="C46" s="1" t="s">
        <v>1</v>
      </c>
      <c r="D46" s="46" t="str">
        <f t="shared" si="31"/>
        <v>08</v>
      </c>
      <c r="E46" s="2" t="s">
        <v>71</v>
      </c>
      <c r="F46" s="2" t="s">
        <v>4</v>
      </c>
      <c r="G46" s="2" t="s">
        <v>28</v>
      </c>
      <c r="H46" s="576" t="s">
        <v>15</v>
      </c>
      <c r="I46" s="588"/>
      <c r="J46" s="3" t="s">
        <v>606</v>
      </c>
      <c r="K46" s="3"/>
      <c r="L46" s="3" t="str">
        <f t="shared" si="32"/>
        <v>01</v>
      </c>
      <c r="M46" s="3" t="str">
        <f t="shared" si="33"/>
        <v>F4</v>
      </c>
      <c r="N46" s="3" t="s">
        <v>477</v>
      </c>
      <c r="O46" s="233"/>
      <c r="P46" s="233"/>
      <c r="Q46" s="234"/>
      <c r="R46" s="85" t="str">
        <f t="shared" si="34"/>
        <v>3D</v>
      </c>
      <c r="S46" s="11" t="s">
        <v>5</v>
      </c>
      <c r="T46" s="49" t="str">
        <f t="shared" si="35"/>
        <v>aa 00 08 23 01 11 02 08 01 F4 01 3D 55</v>
      </c>
      <c r="U46" s="41">
        <v>500</v>
      </c>
      <c r="V46" s="587" t="s">
        <v>717</v>
      </c>
      <c r="W46" s="587"/>
    </row>
    <row r="47" spans="2:51" ht="12.9" customHeight="1" thickBot="1" x14ac:dyDescent="0.3">
      <c r="B47" s="10" t="s">
        <v>0</v>
      </c>
      <c r="C47" s="1" t="s">
        <v>1</v>
      </c>
      <c r="D47" s="46" t="str">
        <f t="shared" si="31"/>
        <v>08</v>
      </c>
      <c r="E47" s="2" t="s">
        <v>71</v>
      </c>
      <c r="F47" s="2" t="s">
        <v>4</v>
      </c>
      <c r="G47" s="2" t="s">
        <v>28</v>
      </c>
      <c r="H47" s="576" t="s">
        <v>13</v>
      </c>
      <c r="I47" s="588"/>
      <c r="J47" s="3" t="s">
        <v>627</v>
      </c>
      <c r="K47" s="3"/>
      <c r="L47" s="3" t="str">
        <f t="shared" si="32"/>
        <v>01</v>
      </c>
      <c r="M47" s="3" t="str">
        <f t="shared" si="33"/>
        <v>F4</v>
      </c>
      <c r="N47" s="3" t="s">
        <v>1</v>
      </c>
      <c r="O47" s="233"/>
      <c r="P47" s="233"/>
      <c r="Q47" s="234"/>
      <c r="R47" s="85" t="str">
        <f t="shared" si="34"/>
        <v>42</v>
      </c>
      <c r="S47" s="11" t="s">
        <v>5</v>
      </c>
      <c r="T47" s="49" t="str">
        <f t="shared" si="35"/>
        <v>aa 00 08 23 01 11 03 0D 01 F4 00 42 55</v>
      </c>
      <c r="U47" s="41">
        <v>500</v>
      </c>
      <c r="V47" s="587" t="s">
        <v>718</v>
      </c>
      <c r="W47" s="587"/>
    </row>
    <row r="48" spans="2:51" ht="12.9" customHeight="1" thickBot="1" x14ac:dyDescent="0.3">
      <c r="B48" s="10" t="s">
        <v>0</v>
      </c>
      <c r="C48" s="1" t="s">
        <v>1</v>
      </c>
      <c r="D48" s="46" t="str">
        <f t="shared" si="31"/>
        <v>08</v>
      </c>
      <c r="E48" s="2" t="s">
        <v>71</v>
      </c>
      <c r="F48" s="2" t="s">
        <v>4</v>
      </c>
      <c r="G48" s="2" t="s">
        <v>28</v>
      </c>
      <c r="H48" s="576" t="s">
        <v>18</v>
      </c>
      <c r="I48" s="588"/>
      <c r="J48" s="3" t="s">
        <v>244</v>
      </c>
      <c r="K48" s="3"/>
      <c r="L48" s="3" t="str">
        <f t="shared" si="32"/>
        <v>01</v>
      </c>
      <c r="M48" s="3" t="str">
        <f t="shared" si="33"/>
        <v>F4</v>
      </c>
      <c r="N48" s="3" t="s">
        <v>1</v>
      </c>
      <c r="O48" s="233"/>
      <c r="P48" s="233"/>
      <c r="Q48" s="234"/>
      <c r="R48" s="85" t="str">
        <f t="shared" si="34"/>
        <v>4A</v>
      </c>
      <c r="S48" s="11" t="s">
        <v>5</v>
      </c>
      <c r="T48" s="49" t="str">
        <f t="shared" si="35"/>
        <v>aa 00 08 23 01 11 04 14 01 F4 00 4A 55</v>
      </c>
      <c r="U48" s="41">
        <v>500</v>
      </c>
      <c r="V48" s="578" t="s">
        <v>719</v>
      </c>
      <c r="W48" s="579"/>
    </row>
    <row r="49" spans="1:51" ht="12.9" customHeight="1" thickBot="1" x14ac:dyDescent="0.3">
      <c r="B49" s="10" t="s">
        <v>0</v>
      </c>
      <c r="C49" s="1" t="s">
        <v>1</v>
      </c>
      <c r="D49" s="46" t="str">
        <f t="shared" si="31"/>
        <v>08</v>
      </c>
      <c r="E49" s="2" t="s">
        <v>71</v>
      </c>
      <c r="F49" s="2" t="s">
        <v>4</v>
      </c>
      <c r="G49" s="2" t="s">
        <v>28</v>
      </c>
      <c r="H49" s="576" t="s">
        <v>122</v>
      </c>
      <c r="I49" s="577"/>
      <c r="J49" s="3" t="s">
        <v>673</v>
      </c>
      <c r="K49" s="3"/>
      <c r="L49" s="3" t="str">
        <f>LEFT(RIGHT(DEC2HEX(U49,4),4),2)</f>
        <v>01</v>
      </c>
      <c r="M49" s="3" t="str">
        <f>LEFT(RIGHT(DEC2HEX(U49,4),2),2)</f>
        <v>F4</v>
      </c>
      <c r="N49" s="3" t="s">
        <v>1</v>
      </c>
      <c r="O49" s="233"/>
      <c r="P49" s="233"/>
      <c r="Q49" s="233"/>
      <c r="R49" s="85" t="str">
        <f t="shared" si="34"/>
        <v>4B</v>
      </c>
      <c r="S49" s="11" t="s">
        <v>5</v>
      </c>
      <c r="T49" s="49" t="str">
        <f t="shared" si="35"/>
        <v>aa 00 08 23 01 11 05 14 01 F4 00 4B 55</v>
      </c>
      <c r="U49" s="41">
        <v>500</v>
      </c>
      <c r="V49" s="578" t="s">
        <v>720</v>
      </c>
      <c r="W49" s="579"/>
    </row>
    <row r="50" spans="1:51" ht="15" customHeight="1" thickBot="1" x14ac:dyDescent="0.3">
      <c r="B50" s="10" t="s">
        <v>0</v>
      </c>
      <c r="C50" s="1" t="s">
        <v>1</v>
      </c>
      <c r="D50" s="46" t="str">
        <f t="shared" ref="D50" si="36">DEC2HEX( COUNTA(E50:Q50),2)</f>
        <v>08</v>
      </c>
      <c r="E50" s="2" t="s">
        <v>71</v>
      </c>
      <c r="F50" s="2" t="s">
        <v>4</v>
      </c>
      <c r="G50" s="2" t="s">
        <v>28</v>
      </c>
      <c r="H50" s="576" t="s">
        <v>123</v>
      </c>
      <c r="I50" s="577"/>
      <c r="J50" s="3" t="s">
        <v>244</v>
      </c>
      <c r="K50" s="3"/>
      <c r="L50" s="3" t="str">
        <f>LEFT(RIGHT(DEC2HEX(U50,4),4),2)</f>
        <v>01</v>
      </c>
      <c r="M50" s="3" t="str">
        <f>LEFT(RIGHT(DEC2HEX(U50,4),2),2)</f>
        <v>F4</v>
      </c>
      <c r="N50" s="3" t="s">
        <v>1</v>
      </c>
      <c r="O50" s="233"/>
      <c r="P50" s="233"/>
      <c r="Q50" s="233"/>
      <c r="R50" s="85" t="str">
        <f t="shared" ref="R50" si="37">DEC2HEX(MOD(HEX2DEC(C50)+HEX2DEC(D50)+HEX2DEC(E50)+HEX2DEC(F50)+HEX2DEC(G50)+HEX2DEC(H50)+HEX2DEC(I50)+HEX2DEC(J50)+HEX2DEC(K50)+HEX2DEC(L50)+HEX2DEC(M50)+HEX2DEC(N50)+HEX2DEC(O50)+HEX2DEC(P50)+HEX2DEC(Q50),256),2)</f>
        <v>4C</v>
      </c>
      <c r="S50" s="11" t="s">
        <v>5</v>
      </c>
      <c r="T50" s="49" t="str">
        <f t="shared" ref="T50" si="38">IF(ISBLANK(B50),,B50&amp;" ")&amp;IF(ISBLANK(C50),,C50&amp;" ")&amp;IF(ISBLANK(D50),,D50&amp;" ")&amp;IF(ISBLANK(E50),,E50&amp;" ")&amp;IF(ISBLANK(F50),,F50&amp;" ")&amp;IF(ISBLANK(G50),,G50&amp;" ")&amp;IF(ISBLANK(H50),,H50&amp;" ")&amp;IF(ISBLANK(I50),,I50&amp;" ")&amp;IF(ISBLANK(J50),,J50&amp;" ")&amp;IF(ISBLANK(K50),,K50&amp;" ")&amp;IF(ISBLANK(L50),,L50&amp;" ")&amp;IF(ISBLANK(M50),,M50&amp;" ")&amp;IF(ISBLANK(N50),,N50&amp;" ")&amp;IF(ISBLANK(O50),,O50&amp;" ")&amp;IF(ISBLANK(P50),,P50&amp;" ")&amp;IF(ISBLANK(Q50),,Q50&amp;" ")&amp;IF(ISBLANK(R50),,R50&amp;" ")&amp;IF(ISBLANK(S50),,S50)</f>
        <v>aa 00 08 23 01 11 06 14 01 F4 00 4C 55</v>
      </c>
      <c r="U50" s="41">
        <v>500</v>
      </c>
      <c r="V50" s="578" t="s">
        <v>721</v>
      </c>
      <c r="W50" s="579"/>
    </row>
    <row r="51" spans="1:51" ht="15" customHeight="1" thickBot="1" x14ac:dyDescent="0.3">
      <c r="B51" s="10" t="s">
        <v>0</v>
      </c>
      <c r="C51" s="1" t="s">
        <v>1</v>
      </c>
      <c r="D51" s="46" t="str">
        <f t="shared" si="31"/>
        <v>08</v>
      </c>
      <c r="E51" s="2" t="s">
        <v>71</v>
      </c>
      <c r="F51" s="2" t="s">
        <v>4</v>
      </c>
      <c r="G51" s="2" t="s">
        <v>28</v>
      </c>
      <c r="H51" s="576" t="s">
        <v>123</v>
      </c>
      <c r="I51" s="577"/>
      <c r="J51" s="3" t="s">
        <v>244</v>
      </c>
      <c r="K51" s="3"/>
      <c r="L51" s="3" t="str">
        <f>LEFT(RIGHT(DEC2HEX(U51,4),4),2)</f>
        <v>01</v>
      </c>
      <c r="M51" s="3" t="str">
        <f>LEFT(RIGHT(DEC2HEX(U51,4),2),2)</f>
        <v>F4</v>
      </c>
      <c r="N51" s="3" t="s">
        <v>1</v>
      </c>
      <c r="O51" s="233"/>
      <c r="P51" s="233"/>
      <c r="Q51" s="233"/>
      <c r="R51" s="85" t="str">
        <f t="shared" si="34"/>
        <v>4C</v>
      </c>
      <c r="S51" s="11" t="s">
        <v>5</v>
      </c>
      <c r="T51" s="49" t="str">
        <f t="shared" si="35"/>
        <v>aa 00 08 23 01 11 06 14 01 F4 00 4C 55</v>
      </c>
      <c r="U51" s="41">
        <v>500</v>
      </c>
      <c r="V51" s="578" t="s">
        <v>722</v>
      </c>
      <c r="W51" s="579"/>
    </row>
    <row r="52" spans="1:51" ht="15" customHeight="1" x14ac:dyDescent="0.25"/>
    <row r="53" spans="1:51" ht="21.75" customHeight="1" thickBot="1" x14ac:dyDescent="0.3">
      <c r="B53" s="10" t="s">
        <v>0</v>
      </c>
      <c r="C53" s="1" t="s">
        <v>1</v>
      </c>
      <c r="D53" s="46" t="str">
        <f t="shared" ref="D53" si="39">DEC2HEX( COUNTA(E53:Q53),2)</f>
        <v>04</v>
      </c>
      <c r="E53" s="2" t="s">
        <v>71</v>
      </c>
      <c r="F53" s="2" t="s">
        <v>7</v>
      </c>
      <c r="G53" s="2" t="s">
        <v>36</v>
      </c>
      <c r="H53" s="576" t="s">
        <v>4</v>
      </c>
      <c r="I53" s="588"/>
      <c r="J53" s="3"/>
      <c r="K53" s="3"/>
      <c r="L53" s="3"/>
      <c r="M53" s="3"/>
      <c r="N53" s="3"/>
      <c r="O53" s="233"/>
      <c r="P53" s="233"/>
      <c r="Q53" s="234"/>
      <c r="R53" s="85" t="str">
        <f t="shared" si="34"/>
        <v>35</v>
      </c>
      <c r="S53" s="11" t="s">
        <v>5</v>
      </c>
      <c r="T53" s="49" t="str">
        <f t="shared" ref="T53" si="40">IF(ISBLANK(B53),,B53&amp;" ")&amp;IF(ISBLANK(C53),,C53&amp;" ")&amp;IF(ISBLANK(D53),,D53&amp;" ")&amp;IF(ISBLANK(E53),,E53&amp;" ")&amp;IF(ISBLANK(F53),,F53&amp;" ")&amp;IF(ISBLANK(G53),,G53&amp;" ")&amp;IF(ISBLANK(H53),,H53&amp;" ")&amp;IF(ISBLANK(I53),,I53&amp;" ")&amp;IF(ISBLANK(J53),,J53&amp;" ")&amp;IF(ISBLANK(K53),,K53&amp;" ")&amp;IF(ISBLANK(L53),,L53&amp;" ")&amp;IF(ISBLANK(M53),,M53&amp;" ")&amp;IF(ISBLANK(N53),,N53&amp;" ")&amp;IF(ISBLANK(O53),,O53&amp;" ")&amp;IF(ISBLANK(P53),,P53&amp;" ")&amp;IF(ISBLANK(Q53),,Q53&amp;" ")&amp;IF(ISBLANK(R53),,R53&amp;" ")&amp;IF(ISBLANK(S53),,S53)</f>
        <v>aa 00 04 23 02 0B 01 35 55</v>
      </c>
      <c r="U53" s="411" t="s">
        <v>476</v>
      </c>
      <c r="V53" s="556"/>
      <c r="W53" s="556"/>
    </row>
    <row r="54" spans="1:51" ht="24.75" customHeight="1" x14ac:dyDescent="0.25"/>
    <row r="55" spans="1:51" ht="14.1" customHeight="1" thickBot="1" x14ac:dyDescent="0.3">
      <c r="B55" s="10" t="s">
        <v>0</v>
      </c>
      <c r="C55" s="1" t="s">
        <v>1</v>
      </c>
      <c r="D55" s="46" t="str">
        <f t="shared" ref="D55" si="41">DEC2HEX( COUNTA(E55:Q55),2)</f>
        <v>07</v>
      </c>
      <c r="E55" s="2" t="s">
        <v>410</v>
      </c>
      <c r="F55" s="2" t="s">
        <v>1</v>
      </c>
      <c r="G55" s="2" t="s">
        <v>17</v>
      </c>
      <c r="H55" s="117" t="s">
        <v>70</v>
      </c>
      <c r="I55" s="117" t="s">
        <v>412</v>
      </c>
      <c r="J55" s="3" t="s">
        <v>411</v>
      </c>
      <c r="K55" s="3"/>
      <c r="L55" s="3" t="s">
        <v>4</v>
      </c>
      <c r="M55" s="3"/>
      <c r="N55" s="3"/>
      <c r="O55" s="233"/>
      <c r="P55" s="233"/>
      <c r="Q55" s="234"/>
      <c r="R55" s="85" t="str">
        <f t="shared" si="34"/>
        <v>43</v>
      </c>
      <c r="S55" s="11" t="s">
        <v>5</v>
      </c>
      <c r="T55" s="49" t="str">
        <f t="shared" ref="T55" si="42">IF(ISBLANK(B55),,B55&amp;" ")&amp;IF(ISBLANK(C55),,C55&amp;" ")&amp;IF(ISBLANK(D55),,D55&amp;" ")&amp;IF(ISBLANK(E55),,E55&amp;" ")&amp;IF(ISBLANK(F55),,F55&amp;" ")&amp;IF(ISBLANK(G55),,G55&amp;" ")&amp;IF(ISBLANK(H55),,H55&amp;" ")&amp;IF(ISBLANK(I55),,I55&amp;" ")&amp;IF(ISBLANK(J55),,J55&amp;" ")&amp;IF(ISBLANK(K55),,K55&amp;" ")&amp;IF(ISBLANK(L55),,L55&amp;" ")&amp;IF(ISBLANK(M55),,M55&amp;" ")&amp;IF(ISBLANK(N55),,N55&amp;" ")&amp;IF(ISBLANK(O55),,O55&amp;" ")&amp;IF(ISBLANK(P55),,P55&amp;" ")&amp;IF(ISBLANK(Q55),,Q55&amp;" ")&amp;IF(ISBLANK(R55),,R55&amp;" ")&amp;IF(ISBLANK(S55),,S55)</f>
        <v>aa 00 07 61 00 12 10 00 B8 01 43 55</v>
      </c>
      <c r="U55" s="411" t="s">
        <v>474</v>
      </c>
      <c r="V55" s="556"/>
      <c r="W55" s="556"/>
    </row>
    <row r="56" spans="1:51" s="39" customFormat="1" ht="14.1" customHeight="1" x14ac:dyDescent="0.25">
      <c r="A56"/>
      <c r="B56" s="146"/>
      <c r="C56" s="63"/>
      <c r="D56" s="63"/>
      <c r="E56" s="64"/>
      <c r="F56" s="64"/>
      <c r="G56" s="64"/>
      <c r="H56" s="144"/>
      <c r="I56" s="144"/>
      <c r="J56" s="145"/>
      <c r="K56" s="145"/>
      <c r="L56" s="145"/>
      <c r="M56" s="145"/>
      <c r="N56" s="145"/>
      <c r="O56" s="219"/>
      <c r="P56" s="219"/>
      <c r="Q56" s="220"/>
      <c r="R56" s="220"/>
      <c r="S56" s="146"/>
      <c r="T56" s="147"/>
      <c r="U56" s="148"/>
      <c r="V56" s="92"/>
      <c r="W56" s="92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ht="12" customHeight="1" x14ac:dyDescent="0.25">
      <c r="A57" s="39"/>
      <c r="B57" s="218"/>
      <c r="C57" s="141"/>
      <c r="D57" s="141"/>
      <c r="E57" s="141"/>
      <c r="F57" s="141"/>
      <c r="G57" s="141"/>
      <c r="H57" s="141"/>
      <c r="I57" s="141"/>
      <c r="J57" s="141"/>
      <c r="K57" s="141"/>
      <c r="L57" s="141"/>
      <c r="M57" s="141"/>
      <c r="N57" s="141"/>
      <c r="O57" s="218"/>
      <c r="P57" s="218"/>
      <c r="Q57" s="218"/>
      <c r="R57" s="218"/>
      <c r="S57" s="141"/>
      <c r="T57" s="141"/>
      <c r="U57" s="149" t="s">
        <v>475</v>
      </c>
      <c r="V57" s="184"/>
      <c r="W57" s="141"/>
    </row>
    <row r="58" spans="1:51" ht="60" customHeight="1" thickBot="1" x14ac:dyDescent="0.3">
      <c r="B58" s="10" t="s">
        <v>0</v>
      </c>
      <c r="C58" s="1" t="s">
        <v>1</v>
      </c>
      <c r="D58" s="46" t="str">
        <f t="shared" ref="D58:D74" si="43">DEC2HEX( COUNTA(E58:Q58),2)</f>
        <v>04</v>
      </c>
      <c r="E58" s="2" t="s">
        <v>405</v>
      </c>
      <c r="F58" s="2" t="s">
        <v>1</v>
      </c>
      <c r="G58" s="2" t="s">
        <v>597</v>
      </c>
      <c r="H58" s="398" t="str">
        <f>DEC2HEX(U58,2)</f>
        <v>10</v>
      </c>
      <c r="I58" s="398"/>
      <c r="J58" s="3"/>
      <c r="K58" s="3"/>
      <c r="L58" s="3"/>
      <c r="M58" s="3"/>
      <c r="N58" s="3"/>
      <c r="O58" s="233"/>
      <c r="P58" s="233"/>
      <c r="Q58" s="234"/>
      <c r="R58" s="85" t="str">
        <f t="shared" ref="R58:R74" si="44">DEC2HEX(MOD(HEX2DEC(C58)+HEX2DEC(D58)+HEX2DEC(E58)+HEX2DEC(F58)+HEX2DEC(G58)+HEX2DEC(H58)+HEX2DEC(I58)+HEX2DEC(J58)+HEX2DEC(K58)+HEX2DEC(L58)+HEX2DEC(M58)+HEX2DEC(N58)+HEX2DEC(O58)+HEX2DEC(P58)+HEX2DEC(Q58),256),2)</f>
        <v>F4</v>
      </c>
      <c r="S58" s="11" t="s">
        <v>598</v>
      </c>
      <c r="T58" s="49" t="str">
        <f t="shared" ref="T58:T74" si="45">IF(ISBLANK(B58),,B58&amp;" ")&amp;IF(ISBLANK(C58),,C58&amp;" ")&amp;IF(ISBLANK(D58),,D58&amp;" ")&amp;IF(ISBLANK(E58),,E58&amp;" ")&amp;IF(ISBLANK(F58),,F58&amp;" ")&amp;IF(ISBLANK(G58),,G58&amp;" ")&amp;IF(ISBLANK(H58),,H58&amp;" ")&amp;IF(ISBLANK(I58),,I58&amp;" ")&amp;IF(ISBLANK(J58),,J58&amp;" ")&amp;IF(ISBLANK(K58),,K58&amp;" ")&amp;IF(ISBLANK(L58),,L58&amp;" ")&amp;IF(ISBLANK(M58),,M58&amp;" ")&amp;IF(ISBLANK(N58),,N58&amp;" ")&amp;IF(ISBLANK(O58),,O58&amp;" ")&amp;IF(ISBLANK(P58),,P58&amp;" ")&amp;IF(ISBLANK(Q58),,Q58&amp;" ")&amp;IF(ISBLANK(R58),,R58&amp;" ")&amp;IF(ISBLANK(S58),,S58)</f>
        <v>aa 00 04 E0 00 00 10 F4 55</v>
      </c>
      <c r="U58" s="149">
        <v>16</v>
      </c>
      <c r="V58" s="582" t="s">
        <v>762</v>
      </c>
      <c r="W58" s="583"/>
    </row>
    <row r="59" spans="1:51" ht="14.25" customHeight="1" thickBot="1" x14ac:dyDescent="0.3">
      <c r="B59" s="10" t="s">
        <v>0</v>
      </c>
      <c r="C59" s="1" t="s">
        <v>1</v>
      </c>
      <c r="D59" s="46" t="str">
        <f t="shared" si="43"/>
        <v>04</v>
      </c>
      <c r="E59" s="2" t="s">
        <v>405</v>
      </c>
      <c r="F59" s="2" t="s">
        <v>1</v>
      </c>
      <c r="G59" s="2" t="s">
        <v>4</v>
      </c>
      <c r="H59" s="398" t="str">
        <f>DEC2HEX(U59,2)</f>
        <v>01</v>
      </c>
      <c r="I59" s="398"/>
      <c r="J59" s="3"/>
      <c r="K59" s="3"/>
      <c r="L59" s="3"/>
      <c r="M59" s="3"/>
      <c r="N59" s="3"/>
      <c r="O59" s="233"/>
      <c r="P59" s="233"/>
      <c r="Q59" s="234"/>
      <c r="R59" s="85" t="str">
        <f t="shared" si="44"/>
        <v>E6</v>
      </c>
      <c r="S59" s="11" t="s">
        <v>5</v>
      </c>
      <c r="T59" s="49" t="str">
        <f t="shared" si="45"/>
        <v>aa 00 04 E0 00 01 01 E6 55</v>
      </c>
      <c r="U59" s="41">
        <v>1</v>
      </c>
      <c r="V59" s="411" t="s">
        <v>409</v>
      </c>
      <c r="W59" s="556"/>
    </row>
    <row r="60" spans="1:51" ht="15" thickBot="1" x14ac:dyDescent="0.3">
      <c r="B60" s="10" t="s">
        <v>0</v>
      </c>
      <c r="C60" s="1" t="s">
        <v>1</v>
      </c>
      <c r="D60" s="46" t="str">
        <f t="shared" si="43"/>
        <v>04</v>
      </c>
      <c r="E60" s="2" t="s">
        <v>405</v>
      </c>
      <c r="F60" s="2" t="s">
        <v>1</v>
      </c>
      <c r="G60" s="2" t="s">
        <v>4</v>
      </c>
      <c r="H60" s="576" t="str">
        <f t="shared" ref="H60:H74" si="46">DEC2HEX(U60,2)</f>
        <v>02</v>
      </c>
      <c r="I60" s="577"/>
      <c r="J60" s="3"/>
      <c r="K60" s="3"/>
      <c r="L60" s="3"/>
      <c r="M60" s="3"/>
      <c r="N60" s="3"/>
      <c r="O60" s="233"/>
      <c r="P60" s="233"/>
      <c r="Q60" s="233"/>
      <c r="R60" s="85" t="str">
        <f t="shared" si="44"/>
        <v>E7</v>
      </c>
      <c r="S60" s="11" t="s">
        <v>5</v>
      </c>
      <c r="T60" s="49" t="str">
        <f t="shared" si="45"/>
        <v>aa 00 04 E0 00 01 02 E7 55</v>
      </c>
      <c r="U60" s="41">
        <v>2</v>
      </c>
      <c r="V60" s="411" t="s">
        <v>409</v>
      </c>
      <c r="W60" s="556"/>
    </row>
    <row r="61" spans="1:51" ht="14.1" customHeight="1" thickBot="1" x14ac:dyDescent="0.3">
      <c r="B61" s="10" t="s">
        <v>0</v>
      </c>
      <c r="C61" s="1" t="s">
        <v>1</v>
      </c>
      <c r="D61" s="46" t="str">
        <f t="shared" si="43"/>
        <v>04</v>
      </c>
      <c r="E61" s="2" t="s">
        <v>405</v>
      </c>
      <c r="F61" s="2" t="s">
        <v>1</v>
      </c>
      <c r="G61" s="2" t="s">
        <v>4</v>
      </c>
      <c r="H61" s="576" t="str">
        <f t="shared" si="46"/>
        <v>03</v>
      </c>
      <c r="I61" s="577"/>
      <c r="J61" s="3"/>
      <c r="K61" s="3"/>
      <c r="L61" s="3"/>
      <c r="M61" s="3"/>
      <c r="N61" s="3"/>
      <c r="O61" s="233"/>
      <c r="P61" s="233"/>
      <c r="Q61" s="233"/>
      <c r="R61" s="85" t="str">
        <f t="shared" si="44"/>
        <v>E8</v>
      </c>
      <c r="S61" s="11" t="s">
        <v>5</v>
      </c>
      <c r="T61" s="49" t="str">
        <f t="shared" si="45"/>
        <v>aa 00 04 E0 00 01 03 E8 55</v>
      </c>
      <c r="U61" s="41">
        <v>3</v>
      </c>
      <c r="V61" s="411" t="s">
        <v>409</v>
      </c>
      <c r="W61" s="556"/>
    </row>
    <row r="62" spans="1:51" ht="14.1" customHeight="1" thickBot="1" x14ac:dyDescent="0.3">
      <c r="B62" s="10" t="s">
        <v>0</v>
      </c>
      <c r="C62" s="1" t="s">
        <v>1</v>
      </c>
      <c r="D62" s="46" t="str">
        <f t="shared" si="43"/>
        <v>04</v>
      </c>
      <c r="E62" s="2" t="s">
        <v>405</v>
      </c>
      <c r="F62" s="2" t="s">
        <v>1</v>
      </c>
      <c r="G62" s="2" t="s">
        <v>4</v>
      </c>
      <c r="H62" s="576" t="str">
        <f t="shared" si="46"/>
        <v>04</v>
      </c>
      <c r="I62" s="577"/>
      <c r="J62" s="3"/>
      <c r="K62" s="3"/>
      <c r="L62" s="3"/>
      <c r="M62" s="3"/>
      <c r="N62" s="3"/>
      <c r="O62" s="233"/>
      <c r="P62" s="233"/>
      <c r="Q62" s="233"/>
      <c r="R62" s="85" t="str">
        <f t="shared" si="44"/>
        <v>E9</v>
      </c>
      <c r="S62" s="11" t="s">
        <v>5</v>
      </c>
      <c r="T62" s="49" t="str">
        <f t="shared" si="45"/>
        <v>aa 00 04 E0 00 01 04 E9 55</v>
      </c>
      <c r="U62" s="41">
        <v>4</v>
      </c>
      <c r="V62" s="411" t="s">
        <v>409</v>
      </c>
      <c r="W62" s="556"/>
    </row>
    <row r="63" spans="1:51" ht="14.1" customHeight="1" thickBot="1" x14ac:dyDescent="0.3">
      <c r="B63" s="10" t="s">
        <v>0</v>
      </c>
      <c r="C63" s="1" t="s">
        <v>1</v>
      </c>
      <c r="D63" s="46" t="str">
        <f t="shared" si="43"/>
        <v>04</v>
      </c>
      <c r="E63" s="2" t="s">
        <v>405</v>
      </c>
      <c r="F63" s="2" t="s">
        <v>1</v>
      </c>
      <c r="G63" s="2" t="s">
        <v>4</v>
      </c>
      <c r="H63" s="576" t="str">
        <f t="shared" si="46"/>
        <v>05</v>
      </c>
      <c r="I63" s="577"/>
      <c r="J63" s="3"/>
      <c r="K63" s="3"/>
      <c r="L63" s="3"/>
      <c r="M63" s="3"/>
      <c r="N63" s="3"/>
      <c r="O63" s="233"/>
      <c r="P63" s="233"/>
      <c r="Q63" s="233"/>
      <c r="R63" s="85" t="str">
        <f t="shared" si="44"/>
        <v>EA</v>
      </c>
      <c r="S63" s="11" t="s">
        <v>5</v>
      </c>
      <c r="T63" s="49" t="str">
        <f t="shared" si="45"/>
        <v>aa 00 04 E0 00 01 05 EA 55</v>
      </c>
      <c r="U63" s="41">
        <v>5</v>
      </c>
      <c r="V63" s="411" t="s">
        <v>409</v>
      </c>
      <c r="W63" s="556"/>
    </row>
    <row r="64" spans="1:51" ht="14.1" customHeight="1" thickBot="1" x14ac:dyDescent="0.3">
      <c r="B64" s="10" t="s">
        <v>0</v>
      </c>
      <c r="C64" s="1" t="s">
        <v>1</v>
      </c>
      <c r="D64" s="46" t="str">
        <f t="shared" si="43"/>
        <v>04</v>
      </c>
      <c r="E64" s="2" t="s">
        <v>405</v>
      </c>
      <c r="F64" s="2" t="s">
        <v>1</v>
      </c>
      <c r="G64" s="2" t="s">
        <v>4</v>
      </c>
      <c r="H64" s="576" t="str">
        <f t="shared" si="46"/>
        <v>06</v>
      </c>
      <c r="I64" s="577"/>
      <c r="J64" s="3"/>
      <c r="K64" s="3"/>
      <c r="L64" s="3"/>
      <c r="M64" s="3"/>
      <c r="N64" s="3"/>
      <c r="O64" s="233"/>
      <c r="P64" s="233"/>
      <c r="Q64" s="233"/>
      <c r="R64" s="85" t="str">
        <f t="shared" si="44"/>
        <v>EB</v>
      </c>
      <c r="S64" s="11" t="s">
        <v>5</v>
      </c>
      <c r="T64" s="49" t="str">
        <f t="shared" si="45"/>
        <v>aa 00 04 E0 00 01 06 EB 55</v>
      </c>
      <c r="U64" s="41">
        <v>6</v>
      </c>
      <c r="V64" s="411" t="s">
        <v>409</v>
      </c>
      <c r="W64" s="556"/>
    </row>
    <row r="65" spans="2:23" ht="14.1" customHeight="1" thickBot="1" x14ac:dyDescent="0.3">
      <c r="B65" s="10" t="s">
        <v>0</v>
      </c>
      <c r="C65" s="1" t="s">
        <v>1</v>
      </c>
      <c r="D65" s="46" t="str">
        <f t="shared" si="43"/>
        <v>04</v>
      </c>
      <c r="E65" s="2" t="s">
        <v>405</v>
      </c>
      <c r="F65" s="2" t="s">
        <v>1</v>
      </c>
      <c r="G65" s="2" t="s">
        <v>4</v>
      </c>
      <c r="H65" s="576" t="str">
        <f t="shared" si="46"/>
        <v>07</v>
      </c>
      <c r="I65" s="577"/>
      <c r="J65" s="3"/>
      <c r="K65" s="3"/>
      <c r="L65" s="3"/>
      <c r="M65" s="3"/>
      <c r="N65" s="3"/>
      <c r="O65" s="233"/>
      <c r="P65" s="233"/>
      <c r="Q65" s="233"/>
      <c r="R65" s="85" t="str">
        <f t="shared" si="44"/>
        <v>EC</v>
      </c>
      <c r="S65" s="11" t="s">
        <v>5</v>
      </c>
      <c r="T65" s="49" t="str">
        <f t="shared" si="45"/>
        <v>aa 00 04 E0 00 01 07 EC 55</v>
      </c>
      <c r="U65" s="41">
        <v>7</v>
      </c>
      <c r="V65" s="411" t="s">
        <v>409</v>
      </c>
      <c r="W65" s="556"/>
    </row>
    <row r="66" spans="2:23" ht="14.1" customHeight="1" thickBot="1" x14ac:dyDescent="0.3">
      <c r="B66" s="10" t="s">
        <v>0</v>
      </c>
      <c r="C66" s="1" t="s">
        <v>1</v>
      </c>
      <c r="D66" s="46" t="str">
        <f t="shared" si="43"/>
        <v>04</v>
      </c>
      <c r="E66" s="2" t="s">
        <v>405</v>
      </c>
      <c r="F66" s="2" t="s">
        <v>1</v>
      </c>
      <c r="G66" s="2" t="s">
        <v>4</v>
      </c>
      <c r="H66" s="576" t="str">
        <f t="shared" si="46"/>
        <v>08</v>
      </c>
      <c r="I66" s="577"/>
      <c r="J66" s="3"/>
      <c r="K66" s="3"/>
      <c r="L66" s="3"/>
      <c r="M66" s="3"/>
      <c r="N66" s="3"/>
      <c r="O66" s="233"/>
      <c r="P66" s="233"/>
      <c r="Q66" s="233"/>
      <c r="R66" s="85" t="str">
        <f t="shared" si="44"/>
        <v>ED</v>
      </c>
      <c r="S66" s="11" t="s">
        <v>5</v>
      </c>
      <c r="T66" s="49" t="str">
        <f t="shared" si="45"/>
        <v>aa 00 04 E0 00 01 08 ED 55</v>
      </c>
      <c r="U66" s="41">
        <v>8</v>
      </c>
      <c r="V66" s="411" t="s">
        <v>409</v>
      </c>
      <c r="W66" s="556"/>
    </row>
    <row r="67" spans="2:23" ht="14.1" customHeight="1" thickBot="1" x14ac:dyDescent="0.3">
      <c r="B67" s="10" t="s">
        <v>0</v>
      </c>
      <c r="C67" s="1" t="s">
        <v>1</v>
      </c>
      <c r="D67" s="46" t="str">
        <f t="shared" si="43"/>
        <v>04</v>
      </c>
      <c r="E67" s="2" t="s">
        <v>405</v>
      </c>
      <c r="F67" s="2" t="s">
        <v>1</v>
      </c>
      <c r="G67" s="2" t="s">
        <v>4</v>
      </c>
      <c r="H67" s="576" t="str">
        <f t="shared" si="46"/>
        <v>09</v>
      </c>
      <c r="I67" s="577"/>
      <c r="J67" s="3"/>
      <c r="K67" s="3"/>
      <c r="L67" s="3"/>
      <c r="M67" s="3"/>
      <c r="N67" s="3"/>
      <c r="O67" s="233"/>
      <c r="P67" s="233"/>
      <c r="Q67" s="233"/>
      <c r="R67" s="85" t="str">
        <f t="shared" si="44"/>
        <v>EE</v>
      </c>
      <c r="S67" s="11" t="s">
        <v>5</v>
      </c>
      <c r="T67" s="49" t="str">
        <f t="shared" si="45"/>
        <v>aa 00 04 E0 00 01 09 EE 55</v>
      </c>
      <c r="U67" s="41">
        <v>9</v>
      </c>
      <c r="V67" s="411" t="s">
        <v>409</v>
      </c>
      <c r="W67" s="556"/>
    </row>
    <row r="68" spans="2:23" ht="14.1" customHeight="1" thickBot="1" x14ac:dyDescent="0.3">
      <c r="B68" s="10" t="s">
        <v>0</v>
      </c>
      <c r="C68" s="1" t="s">
        <v>1</v>
      </c>
      <c r="D68" s="46" t="str">
        <f t="shared" si="43"/>
        <v>04</v>
      </c>
      <c r="E68" s="2" t="s">
        <v>405</v>
      </c>
      <c r="F68" s="2" t="s">
        <v>1</v>
      </c>
      <c r="G68" s="2" t="s">
        <v>408</v>
      </c>
      <c r="H68" s="576" t="str">
        <f t="shared" si="46"/>
        <v>0A</v>
      </c>
      <c r="I68" s="577"/>
      <c r="J68" s="3"/>
      <c r="K68" s="3"/>
      <c r="L68" s="3"/>
      <c r="M68" s="3"/>
      <c r="N68" s="3"/>
      <c r="O68" s="233"/>
      <c r="P68" s="233"/>
      <c r="Q68" s="233"/>
      <c r="R68" s="85" t="str">
        <f t="shared" si="44"/>
        <v>EF</v>
      </c>
      <c r="S68" s="11" t="s">
        <v>5</v>
      </c>
      <c r="T68" s="49" t="str">
        <f t="shared" si="45"/>
        <v>aa 00 04 E0 00 01 0A EF 55</v>
      </c>
      <c r="U68" s="41">
        <v>10</v>
      </c>
      <c r="V68" s="411" t="s">
        <v>409</v>
      </c>
      <c r="W68" s="556"/>
    </row>
    <row r="69" spans="2:23" ht="14.1" customHeight="1" thickBot="1" x14ac:dyDescent="0.3">
      <c r="B69" s="10" t="s">
        <v>0</v>
      </c>
      <c r="C69" s="1" t="s">
        <v>1</v>
      </c>
      <c r="D69" s="46" t="str">
        <f t="shared" si="43"/>
        <v>04</v>
      </c>
      <c r="E69" s="2" t="s">
        <v>405</v>
      </c>
      <c r="F69" s="2" t="s">
        <v>1</v>
      </c>
      <c r="G69" s="2" t="s">
        <v>4</v>
      </c>
      <c r="H69" s="576" t="str">
        <f t="shared" si="46"/>
        <v>0B</v>
      </c>
      <c r="I69" s="577"/>
      <c r="J69" s="3"/>
      <c r="K69" s="3"/>
      <c r="L69" s="3"/>
      <c r="M69" s="3"/>
      <c r="N69" s="3"/>
      <c r="O69" s="233"/>
      <c r="P69" s="233"/>
      <c r="Q69" s="233"/>
      <c r="R69" s="85" t="str">
        <f t="shared" si="44"/>
        <v>F0</v>
      </c>
      <c r="S69" s="11" t="s">
        <v>5</v>
      </c>
      <c r="T69" s="49" t="str">
        <f t="shared" si="45"/>
        <v>aa 00 04 E0 00 01 0B F0 55</v>
      </c>
      <c r="U69" s="41">
        <v>11</v>
      </c>
      <c r="V69" s="411" t="s">
        <v>409</v>
      </c>
      <c r="W69" s="556"/>
    </row>
    <row r="70" spans="2:23" ht="14.1" customHeight="1" thickBot="1" x14ac:dyDescent="0.3">
      <c r="B70" s="10" t="s">
        <v>0</v>
      </c>
      <c r="C70" s="1" t="s">
        <v>1</v>
      </c>
      <c r="D70" s="46" t="str">
        <f t="shared" si="43"/>
        <v>04</v>
      </c>
      <c r="E70" s="2" t="s">
        <v>405</v>
      </c>
      <c r="F70" s="2" t="s">
        <v>1</v>
      </c>
      <c r="G70" s="2" t="s">
        <v>4</v>
      </c>
      <c r="H70" s="576" t="str">
        <f t="shared" si="46"/>
        <v>0C</v>
      </c>
      <c r="I70" s="577"/>
      <c r="J70" s="3"/>
      <c r="K70" s="3"/>
      <c r="L70" s="3"/>
      <c r="M70" s="3"/>
      <c r="N70" s="3"/>
      <c r="O70" s="233"/>
      <c r="P70" s="233"/>
      <c r="Q70" s="233"/>
      <c r="R70" s="85" t="str">
        <f t="shared" si="44"/>
        <v>F1</v>
      </c>
      <c r="S70" s="11" t="s">
        <v>5</v>
      </c>
      <c r="T70" s="49" t="str">
        <f t="shared" si="45"/>
        <v>aa 00 04 E0 00 01 0C F1 55</v>
      </c>
      <c r="U70" s="41">
        <v>12</v>
      </c>
      <c r="V70" s="411" t="s">
        <v>409</v>
      </c>
      <c r="W70" s="556"/>
    </row>
    <row r="71" spans="2:23" ht="14.1" customHeight="1" thickBot="1" x14ac:dyDescent="0.3">
      <c r="B71" s="10" t="s">
        <v>0</v>
      </c>
      <c r="C71" s="1" t="s">
        <v>1</v>
      </c>
      <c r="D71" s="46" t="str">
        <f t="shared" si="43"/>
        <v>04</v>
      </c>
      <c r="E71" s="2" t="s">
        <v>405</v>
      </c>
      <c r="F71" s="2" t="s">
        <v>1</v>
      </c>
      <c r="G71" s="2" t="s">
        <v>4</v>
      </c>
      <c r="H71" s="576" t="str">
        <f t="shared" si="46"/>
        <v>0D</v>
      </c>
      <c r="I71" s="577"/>
      <c r="J71" s="3"/>
      <c r="K71" s="3"/>
      <c r="L71" s="3"/>
      <c r="M71" s="3"/>
      <c r="N71" s="3"/>
      <c r="O71" s="233"/>
      <c r="P71" s="233"/>
      <c r="Q71" s="233"/>
      <c r="R71" s="85" t="str">
        <f t="shared" si="44"/>
        <v>F2</v>
      </c>
      <c r="S71" s="11" t="s">
        <v>5</v>
      </c>
      <c r="T71" s="49" t="str">
        <f t="shared" si="45"/>
        <v>aa 00 04 E0 00 01 0D F2 55</v>
      </c>
      <c r="U71" s="41">
        <v>13</v>
      </c>
      <c r="V71" s="411" t="s">
        <v>409</v>
      </c>
      <c r="W71" s="556"/>
    </row>
    <row r="72" spans="2:23" ht="14.1" customHeight="1" thickBot="1" x14ac:dyDescent="0.3">
      <c r="B72" s="10" t="s">
        <v>0</v>
      </c>
      <c r="C72" s="1" t="s">
        <v>1</v>
      </c>
      <c r="D72" s="46" t="str">
        <f t="shared" si="43"/>
        <v>04</v>
      </c>
      <c r="E72" s="2" t="s">
        <v>405</v>
      </c>
      <c r="F72" s="2" t="s">
        <v>1</v>
      </c>
      <c r="G72" s="2" t="s">
        <v>4</v>
      </c>
      <c r="H72" s="576" t="str">
        <f t="shared" si="46"/>
        <v>0E</v>
      </c>
      <c r="I72" s="577"/>
      <c r="J72" s="3"/>
      <c r="K72" s="3"/>
      <c r="L72" s="3"/>
      <c r="M72" s="3"/>
      <c r="N72" s="3"/>
      <c r="O72" s="233"/>
      <c r="P72" s="233"/>
      <c r="Q72" s="233"/>
      <c r="R72" s="85" t="str">
        <f t="shared" si="44"/>
        <v>F3</v>
      </c>
      <c r="S72" s="11" t="s">
        <v>5</v>
      </c>
      <c r="T72" s="49" t="str">
        <f t="shared" si="45"/>
        <v>aa 00 04 E0 00 01 0E F3 55</v>
      </c>
      <c r="U72" s="41">
        <v>14</v>
      </c>
      <c r="V72" s="411" t="s">
        <v>409</v>
      </c>
      <c r="W72" s="556"/>
    </row>
    <row r="73" spans="2:23" ht="14.1" customHeight="1" thickBot="1" x14ac:dyDescent="0.3">
      <c r="B73" s="10" t="s">
        <v>0</v>
      </c>
      <c r="C73" s="1" t="s">
        <v>1</v>
      </c>
      <c r="D73" s="46" t="str">
        <f t="shared" si="43"/>
        <v>04</v>
      </c>
      <c r="E73" s="2" t="s">
        <v>405</v>
      </c>
      <c r="F73" s="2" t="s">
        <v>1</v>
      </c>
      <c r="G73" s="2" t="s">
        <v>4</v>
      </c>
      <c r="H73" s="576" t="str">
        <f t="shared" si="46"/>
        <v>0F</v>
      </c>
      <c r="I73" s="577"/>
      <c r="J73" s="3"/>
      <c r="K73" s="3"/>
      <c r="L73" s="3"/>
      <c r="M73" s="3"/>
      <c r="N73" s="3"/>
      <c r="O73" s="233"/>
      <c r="P73" s="233"/>
      <c r="Q73" s="233"/>
      <c r="R73" s="85" t="str">
        <f t="shared" si="44"/>
        <v>F4</v>
      </c>
      <c r="S73" s="11" t="s">
        <v>5</v>
      </c>
      <c r="T73" s="49" t="str">
        <f t="shared" si="45"/>
        <v>aa 00 04 E0 00 01 0F F4 55</v>
      </c>
      <c r="U73" s="41">
        <v>15</v>
      </c>
      <c r="V73" s="411" t="s">
        <v>409</v>
      </c>
      <c r="W73" s="556"/>
    </row>
    <row r="74" spans="2:23" ht="14.1" customHeight="1" thickBot="1" x14ac:dyDescent="0.3">
      <c r="B74" s="10" t="s">
        <v>0</v>
      </c>
      <c r="C74" s="1" t="s">
        <v>1</v>
      </c>
      <c r="D74" s="46" t="str">
        <f t="shared" si="43"/>
        <v>04</v>
      </c>
      <c r="E74" s="2" t="s">
        <v>405</v>
      </c>
      <c r="F74" s="2" t="s">
        <v>1</v>
      </c>
      <c r="G74" s="2" t="s">
        <v>4</v>
      </c>
      <c r="H74" s="576" t="str">
        <f t="shared" si="46"/>
        <v>10</v>
      </c>
      <c r="I74" s="577"/>
      <c r="J74" s="3"/>
      <c r="K74" s="3"/>
      <c r="L74" s="3"/>
      <c r="M74" s="3"/>
      <c r="N74" s="3"/>
      <c r="O74" s="233"/>
      <c r="P74" s="233"/>
      <c r="Q74" s="233"/>
      <c r="R74" s="85" t="str">
        <f t="shared" si="44"/>
        <v>F5</v>
      </c>
      <c r="S74" s="11" t="s">
        <v>5</v>
      </c>
      <c r="T74" s="49" t="str">
        <f t="shared" si="45"/>
        <v>aa 00 04 E0 00 01 10 F5 55</v>
      </c>
      <c r="U74" s="41">
        <v>16</v>
      </c>
      <c r="V74" s="411" t="s">
        <v>409</v>
      </c>
      <c r="W74" s="556"/>
    </row>
    <row r="76" spans="2:23" ht="14.1" customHeight="1" x14ac:dyDescent="0.25">
      <c r="B76" s="215"/>
      <c r="C76" s="32"/>
      <c r="D76" s="32" t="s">
        <v>10</v>
      </c>
      <c r="E76" s="33" t="s">
        <v>79</v>
      </c>
      <c r="F76" s="33" t="s">
        <v>86</v>
      </c>
      <c r="G76" s="33" t="s">
        <v>96</v>
      </c>
      <c r="H76" s="33" t="s">
        <v>73</v>
      </c>
      <c r="I76" s="584" t="s">
        <v>74</v>
      </c>
      <c r="J76" s="585"/>
      <c r="K76" s="214"/>
      <c r="L76" s="33" t="s">
        <v>234</v>
      </c>
      <c r="M76" s="122" t="s">
        <v>235</v>
      </c>
      <c r="N76" s="235"/>
      <c r="O76" s="235"/>
      <c r="P76" s="235"/>
      <c r="Q76" s="235"/>
      <c r="R76" s="235" t="s">
        <v>602</v>
      </c>
      <c r="S76" s="32"/>
      <c r="T76" s="14" t="s">
        <v>84</v>
      </c>
      <c r="U76" s="23" t="s">
        <v>76</v>
      </c>
      <c r="V76" s="551"/>
      <c r="W76" s="552"/>
    </row>
    <row r="77" spans="2:23" ht="14.1" customHeight="1" thickBot="1" x14ac:dyDescent="0.3">
      <c r="B77" s="10" t="s">
        <v>0</v>
      </c>
      <c r="C77" s="1" t="s">
        <v>1</v>
      </c>
      <c r="D77" s="46" t="str">
        <f t="shared" ref="D77:D79" si="47">DEC2HEX( COUNTA(E77:Q77),2)</f>
        <v>08</v>
      </c>
      <c r="E77" s="2" t="s">
        <v>71</v>
      </c>
      <c r="F77" s="2" t="s">
        <v>4</v>
      </c>
      <c r="G77" s="2" t="s">
        <v>70</v>
      </c>
      <c r="H77" s="3" t="s">
        <v>93</v>
      </c>
      <c r="I77" s="3" t="str">
        <f>LEFT(RIGHT(DEC2HEX(U77,4),4),2)</f>
        <v>01</v>
      </c>
      <c r="J77" s="3" t="str">
        <f>LEFT(RIGHT(DEC2HEX(U77,4),2),2)</f>
        <v>F4</v>
      </c>
      <c r="K77" s="3"/>
      <c r="L77" s="3" t="s">
        <v>4</v>
      </c>
      <c r="M77" s="3" t="s">
        <v>1</v>
      </c>
      <c r="N77" s="233"/>
      <c r="O77" s="233"/>
      <c r="P77" s="233"/>
      <c r="Q77" s="233"/>
      <c r="R77" s="85" t="str">
        <f t="shared" ref="R77:R79" si="48">DEC2HEX(MOD(HEX2DEC(C77)+HEX2DEC(D77)+HEX2DEC(E77)+HEX2DEC(F77)+HEX2DEC(G77)+HEX2DEC(H77)+HEX2DEC(I77)+HEX2DEC(J77)+HEX2DEC(K77)+HEX2DEC(L77)+HEX2DEC(M77)+HEX2DEC(N77)+HEX2DEC(O77)+HEX2DEC(P77)+HEX2DEC(Q77),256),2)</f>
        <v>3A</v>
      </c>
      <c r="S77" s="10" t="s">
        <v>5</v>
      </c>
      <c r="T77" s="49" t="str">
        <f t="shared" ref="T77:T79" si="49">IF(ISBLANK(B77),,B77&amp;" ")&amp;IF(ISBLANK(C77),,C77&amp;" ")&amp;IF(ISBLANK(D77),,D77&amp;" ")&amp;IF(ISBLANK(E77),,E77&amp;" ")&amp;IF(ISBLANK(F77),,F77&amp;" ")&amp;IF(ISBLANK(G77),,G77&amp;" ")&amp;IF(ISBLANK(H77),,H77&amp;" ")&amp;IF(ISBLANK(I77),,I77&amp;" ")&amp;IF(ISBLANK(J77),,J77&amp;" ")&amp;IF(ISBLANK(K77),,K77&amp;" ")&amp;IF(ISBLANK(L77),,L77&amp;" ")&amp;IF(ISBLANK(M77),,M77&amp;" ")&amp;IF(ISBLANK(N77),,N77&amp;" ")&amp;IF(ISBLANK(O77),,O77&amp;" ")&amp;IF(ISBLANK(P77),,P77&amp;" ")&amp;IF(ISBLANK(Q77),,Q77&amp;" ")&amp;IF(ISBLANK(R77),,R77&amp;" ")&amp;IF(ISBLANK(S77),,S77)</f>
        <v>aa 00 08 23 01 10 08 01 F4 01 00 3A 55</v>
      </c>
      <c r="U77" s="41">
        <v>500</v>
      </c>
      <c r="V77" s="411"/>
      <c r="W77" s="556"/>
    </row>
    <row r="78" spans="2:23" ht="14.1" customHeight="1" thickBot="1" x14ac:dyDescent="0.3">
      <c r="B78" s="10" t="s">
        <v>0</v>
      </c>
      <c r="C78" s="1" t="s">
        <v>1</v>
      </c>
      <c r="D78" s="46" t="str">
        <f t="shared" si="47"/>
        <v>08</v>
      </c>
      <c r="E78" s="2" t="s">
        <v>71</v>
      </c>
      <c r="F78" s="2" t="s">
        <v>15</v>
      </c>
      <c r="G78" s="2" t="s">
        <v>70</v>
      </c>
      <c r="H78" s="3" t="s">
        <v>93</v>
      </c>
      <c r="I78" s="3" t="str">
        <f>LEFT(RIGHT(DEC2HEX(U78,4),4),2)</f>
        <v>01</v>
      </c>
      <c r="J78" s="3" t="str">
        <f>LEFT(RIGHT(DEC2HEX(U78,4),2),2)</f>
        <v>F4</v>
      </c>
      <c r="K78" s="3"/>
      <c r="L78" s="3" t="s">
        <v>4</v>
      </c>
      <c r="M78" s="3" t="s">
        <v>1</v>
      </c>
      <c r="N78" s="233"/>
      <c r="O78" s="233"/>
      <c r="P78" s="233"/>
      <c r="Q78" s="233"/>
      <c r="R78" s="85" t="str">
        <f t="shared" si="48"/>
        <v>3B</v>
      </c>
      <c r="S78" s="10" t="s">
        <v>5</v>
      </c>
      <c r="T78" s="49" t="str">
        <f t="shared" si="49"/>
        <v>aa 00 08 23 02 10 08 01 F4 01 00 3B 55</v>
      </c>
      <c r="U78" s="41">
        <v>500</v>
      </c>
      <c r="V78" s="411"/>
      <c r="W78" s="556"/>
    </row>
    <row r="79" spans="2:23" ht="14.1" customHeight="1" thickBot="1" x14ac:dyDescent="0.3">
      <c r="B79" s="10" t="s">
        <v>0</v>
      </c>
      <c r="C79" s="1" t="s">
        <v>1</v>
      </c>
      <c r="D79" s="46" t="str">
        <f t="shared" si="47"/>
        <v>08</v>
      </c>
      <c r="E79" s="2" t="s">
        <v>71</v>
      </c>
      <c r="F79" s="2" t="s">
        <v>13</v>
      </c>
      <c r="G79" s="2" t="s">
        <v>70</v>
      </c>
      <c r="H79" s="3" t="s">
        <v>93</v>
      </c>
      <c r="I79" s="3" t="str">
        <f>LEFT(RIGHT(DEC2HEX(U79,4),4),2)</f>
        <v>01</v>
      </c>
      <c r="J79" s="3" t="str">
        <f>LEFT(RIGHT(DEC2HEX(U79,4),2),2)</f>
        <v>F4</v>
      </c>
      <c r="K79" s="3"/>
      <c r="L79" s="3" t="s">
        <v>4</v>
      </c>
      <c r="M79" s="3" t="s">
        <v>1</v>
      </c>
      <c r="N79" s="233"/>
      <c r="O79" s="233"/>
      <c r="P79" s="233"/>
      <c r="Q79" s="233"/>
      <c r="R79" s="85" t="str">
        <f t="shared" si="48"/>
        <v>3C</v>
      </c>
      <c r="S79" s="10" t="s">
        <v>5</v>
      </c>
      <c r="T79" s="49" t="str">
        <f t="shared" si="49"/>
        <v>aa 00 08 23 03 10 08 01 F4 01 00 3C 55</v>
      </c>
      <c r="U79" s="41">
        <v>500</v>
      </c>
      <c r="V79" s="411"/>
      <c r="W79" s="556"/>
    </row>
    <row r="80" spans="2:23" ht="14.1" customHeight="1" x14ac:dyDescent="0.25">
      <c r="N80" s="217"/>
    </row>
    <row r="81" spans="2:23" ht="14.1" customHeight="1" x14ac:dyDescent="0.25">
      <c r="B81" s="215"/>
      <c r="C81" s="32"/>
      <c r="D81" s="32" t="s">
        <v>10</v>
      </c>
      <c r="E81" s="33" t="s">
        <v>79</v>
      </c>
      <c r="F81" s="33" t="s">
        <v>86</v>
      </c>
      <c r="G81" s="33" t="s">
        <v>96</v>
      </c>
      <c r="H81" s="33"/>
      <c r="I81" s="584"/>
      <c r="J81" s="585"/>
      <c r="K81" s="214"/>
      <c r="L81" s="33"/>
      <c r="M81" s="122"/>
      <c r="N81" s="235"/>
      <c r="O81" s="235"/>
      <c r="P81" s="235"/>
      <c r="Q81" s="235"/>
      <c r="R81" s="235" t="s">
        <v>602</v>
      </c>
      <c r="S81" s="32"/>
      <c r="T81" s="14" t="s">
        <v>84</v>
      </c>
      <c r="U81" s="551"/>
      <c r="V81" s="552"/>
      <c r="W81" s="552"/>
    </row>
    <row r="82" spans="2:23" ht="14.1" customHeight="1" thickBot="1" x14ac:dyDescent="0.3">
      <c r="B82" s="10" t="s">
        <v>0</v>
      </c>
      <c r="C82" s="1" t="s">
        <v>1</v>
      </c>
      <c r="D82" s="46" t="str">
        <f t="shared" ref="D82" si="50">DEC2HEX( COUNTA(E82:Q82),2)</f>
        <v>03</v>
      </c>
      <c r="E82" s="2" t="s">
        <v>71</v>
      </c>
      <c r="F82" s="2" t="s">
        <v>4</v>
      </c>
      <c r="G82" s="2" t="s">
        <v>93</v>
      </c>
      <c r="H82" s="3"/>
      <c r="I82" s="3"/>
      <c r="J82" s="3"/>
      <c r="K82" s="3"/>
      <c r="L82" s="3"/>
      <c r="M82" s="3"/>
      <c r="N82" s="233"/>
      <c r="O82" s="233"/>
      <c r="P82" s="233"/>
      <c r="Q82" s="233"/>
      <c r="R82" s="85" t="str">
        <f t="shared" ref="R82" si="51">DEC2HEX(MOD(HEX2DEC(C82)+HEX2DEC(D82)+HEX2DEC(E82)+HEX2DEC(F82)+HEX2DEC(G82)+HEX2DEC(H82)+HEX2DEC(I82)+HEX2DEC(J82)+HEX2DEC(K82)+HEX2DEC(L82)+HEX2DEC(M82)+HEX2DEC(N82)+HEX2DEC(O82)+HEX2DEC(P82)+HEX2DEC(Q82),256),2)</f>
        <v>2F</v>
      </c>
      <c r="S82" s="10" t="s">
        <v>5</v>
      </c>
      <c r="T82" s="49" t="str">
        <f t="shared" ref="T82" si="52">IF(ISBLANK(B82),,B82&amp;" ")&amp;IF(ISBLANK(C82),,C82&amp;" ")&amp;IF(ISBLANK(D82),,D82&amp;" ")&amp;IF(ISBLANK(E82),,E82&amp;" ")&amp;IF(ISBLANK(F82),,F82&amp;" ")&amp;IF(ISBLANK(G82),,G82&amp;" ")&amp;IF(ISBLANK(H82),,H82&amp;" ")&amp;IF(ISBLANK(I82),,I82&amp;" ")&amp;IF(ISBLANK(J82),,J82&amp;" ")&amp;IF(ISBLANK(K82),,K82&amp;" ")&amp;IF(ISBLANK(L82),,L82&amp;" ")&amp;IF(ISBLANK(M82),,M82&amp;" ")&amp;IF(ISBLANK(N82),,N82&amp;" ")&amp;IF(ISBLANK(O82),,O82&amp;" ")&amp;IF(ISBLANK(P82),,P82&amp;" ")&amp;IF(ISBLANK(Q82),,Q82&amp;" ")&amp;IF(ISBLANK(R82),,R82&amp;" ")&amp;IF(ISBLANK(S82),,S82)</f>
        <v>aa 00 03 23 01 08 2F 55</v>
      </c>
      <c r="U82" s="593" t="s">
        <v>510</v>
      </c>
      <c r="V82" s="594"/>
      <c r="W82" s="594"/>
    </row>
    <row r="83" spans="2:23" ht="36" customHeight="1" x14ac:dyDescent="0.25">
      <c r="B83" s="215"/>
      <c r="C83" s="32"/>
      <c r="D83" s="32" t="s">
        <v>10</v>
      </c>
      <c r="E83" s="33" t="s">
        <v>79</v>
      </c>
      <c r="F83" s="33" t="s">
        <v>86</v>
      </c>
      <c r="G83" s="33" t="s">
        <v>96</v>
      </c>
      <c r="H83" s="33" t="s">
        <v>511</v>
      </c>
      <c r="I83" s="122"/>
      <c r="J83" s="122"/>
      <c r="K83" s="214"/>
      <c r="L83" s="33" t="s">
        <v>75</v>
      </c>
      <c r="M83" s="122" t="s">
        <v>512</v>
      </c>
      <c r="N83" s="235"/>
      <c r="O83" s="235"/>
      <c r="P83" s="235"/>
      <c r="Q83" s="235"/>
      <c r="R83" s="235" t="s">
        <v>602</v>
      </c>
      <c r="S83" s="32"/>
      <c r="T83" s="14" t="s">
        <v>84</v>
      </c>
      <c r="U83" s="551"/>
      <c r="V83" s="552"/>
      <c r="W83" s="552"/>
    </row>
    <row r="84" spans="2:23" ht="14.1" customHeight="1" thickBot="1" x14ac:dyDescent="0.3">
      <c r="B84" s="10" t="s">
        <v>0</v>
      </c>
      <c r="C84" s="1" t="s">
        <v>1</v>
      </c>
      <c r="D84" s="46" t="str">
        <f t="shared" ref="D84" si="53">DEC2HEX( COUNTA(E84:Q84),2)</f>
        <v>06</v>
      </c>
      <c r="E84" s="2" t="s">
        <v>71</v>
      </c>
      <c r="F84" s="2" t="s">
        <v>4</v>
      </c>
      <c r="G84" s="2" t="s">
        <v>513</v>
      </c>
      <c r="H84" s="3" t="s">
        <v>93</v>
      </c>
      <c r="I84" s="3"/>
      <c r="J84" s="3"/>
      <c r="K84" s="3"/>
      <c r="L84" s="3" t="s">
        <v>4</v>
      </c>
      <c r="M84" s="3" t="s">
        <v>4</v>
      </c>
      <c r="N84" s="233"/>
      <c r="O84" s="233"/>
      <c r="P84" s="233"/>
      <c r="Q84" s="233"/>
      <c r="R84" s="85" t="str">
        <f t="shared" ref="R84" si="54">DEC2HEX(MOD(HEX2DEC(C84)+HEX2DEC(D84)+HEX2DEC(E84)+HEX2DEC(F84)+HEX2DEC(G84)+HEX2DEC(H84)+HEX2DEC(I84)+HEX2DEC(J84)+HEX2DEC(K84)+HEX2DEC(L84)+HEX2DEC(M84)+HEX2DEC(N84)+HEX2DEC(O84)+HEX2DEC(P84)+HEX2DEC(Q84),256),2)</f>
        <v>34</v>
      </c>
      <c r="S84" s="10" t="s">
        <v>5</v>
      </c>
      <c r="T84" s="49" t="str">
        <f t="shared" ref="T84" si="55">IF(ISBLANK(B84),,B84&amp;" ")&amp;IF(ISBLANK(C84),,C84&amp;" ")&amp;IF(ISBLANK(D84),,D84&amp;" ")&amp;IF(ISBLANK(E84),,E84&amp;" ")&amp;IF(ISBLANK(F84),,F84&amp;" ")&amp;IF(ISBLANK(G84),,G84&amp;" ")&amp;IF(ISBLANK(H84),,H84&amp;" ")&amp;IF(ISBLANK(I84),,I84&amp;" ")&amp;IF(ISBLANK(J84),,J84&amp;" ")&amp;IF(ISBLANK(K84),,K84&amp;" ")&amp;IF(ISBLANK(L84),,L84&amp;" ")&amp;IF(ISBLANK(M84),,M84&amp;" ")&amp;IF(ISBLANK(N84),,N84&amp;" ")&amp;IF(ISBLANK(O84),,O84&amp;" ")&amp;IF(ISBLANK(P84),,P84&amp;" ")&amp;IF(ISBLANK(Q84),,Q84&amp;" ")&amp;IF(ISBLANK(R84),,R84&amp;" ")&amp;IF(ISBLANK(S84),,S84)</f>
        <v>aa 00 06 23 01 00 08 01 01 34 55</v>
      </c>
      <c r="U84" s="591" t="s">
        <v>551</v>
      </c>
      <c r="V84" s="592"/>
      <c r="W84" s="592"/>
    </row>
    <row r="85" spans="2:23" ht="36.75" customHeight="1" x14ac:dyDescent="0.25"/>
    <row r="87" spans="2:23" ht="26.25" customHeight="1" x14ac:dyDescent="0.25">
      <c r="B87" s="87" t="s">
        <v>77</v>
      </c>
      <c r="C87" s="224" t="s">
        <v>78</v>
      </c>
      <c r="D87" s="224" t="s">
        <v>10</v>
      </c>
      <c r="E87" s="224" t="s">
        <v>79</v>
      </c>
      <c r="F87" s="224" t="s">
        <v>80</v>
      </c>
      <c r="G87" s="224" t="s">
        <v>11</v>
      </c>
      <c r="H87" s="404" t="s">
        <v>607</v>
      </c>
      <c r="I87" s="405"/>
      <c r="J87" s="405"/>
      <c r="K87" s="405"/>
      <c r="L87" s="406"/>
      <c r="M87" s="404" t="s">
        <v>608</v>
      </c>
      <c r="N87" s="405"/>
      <c r="O87" s="405"/>
      <c r="P87" s="405"/>
      <c r="Q87" s="406"/>
      <c r="R87" s="83" t="s">
        <v>81</v>
      </c>
      <c r="S87" s="83" t="s">
        <v>82</v>
      </c>
      <c r="T87" s="51" t="s">
        <v>276</v>
      </c>
      <c r="U87" s="551" t="s">
        <v>609</v>
      </c>
      <c r="V87" s="552"/>
      <c r="W87" s="552"/>
    </row>
    <row r="88" spans="2:23" ht="14.1" customHeight="1" thickBot="1" x14ac:dyDescent="0.3">
      <c r="B88" s="88" t="s">
        <v>254</v>
      </c>
      <c r="C88" s="46" t="s">
        <v>1</v>
      </c>
      <c r="D88" s="46" t="str">
        <f>DEC2HEX( COUNTA(E88:Q88),2)</f>
        <v>05</v>
      </c>
      <c r="E88" s="47" t="s">
        <v>71</v>
      </c>
      <c r="F88" s="47" t="s">
        <v>4</v>
      </c>
      <c r="G88" s="47" t="s">
        <v>4</v>
      </c>
      <c r="H88" s="595" t="s">
        <v>93</v>
      </c>
      <c r="I88" s="596"/>
      <c r="J88" s="596"/>
      <c r="K88" s="596"/>
      <c r="L88" s="597"/>
      <c r="M88" s="595" t="s">
        <v>8</v>
      </c>
      <c r="N88" s="596"/>
      <c r="O88" s="596"/>
      <c r="P88" s="596"/>
      <c r="Q88" s="597"/>
      <c r="R88" s="85" t="str">
        <f>DEC2HEX(MOD(HEX2DEC(C88)+HEX2DEC(D88)+HEX2DEC(E88)+HEX2DEC(F88)+HEX2DEC(G88)+HEX2DEC(H88)+HEX2DEC(I88)+HEX2DEC(J88)+HEX2DEC(K88)+HEX2DEC(L88)+HEX2DEC(M88)+HEX2DEC(N88)+HEX2DEC(O88)+HEX2DEC(P88)+HEX2DEC(Q88),256),2)</f>
        <v>35</v>
      </c>
      <c r="S88" s="85" t="s">
        <v>5</v>
      </c>
      <c r="T88" s="49" t="str">
        <f>IF(ISBLANK(B88),,B88&amp;" ")&amp;IF(ISBLANK(C88),,C88&amp;" ")&amp;IF(ISBLANK(D88),,D88&amp;" ")&amp;IF(ISBLANK(E88),,E88&amp;" ")&amp;IF(ISBLANK(F88),,F88&amp;" ")&amp;IF(ISBLANK(G88),,G88&amp;" ")&amp;IF(ISBLANK(H88),,H88&amp;" ")&amp;IF(ISBLANK(I88),,I88&amp;" ")&amp;IF(ISBLANK(J88),,J88&amp;" ")&amp;IF(ISBLANK(K88),,K88&amp;" ")&amp;IF(ISBLANK(L88),,L88&amp;" ")&amp;IF(ISBLANK(M88),,M88&amp;" ")&amp;IF(ISBLANK(N88),,N88&amp;" ")&amp;IF(ISBLANK(O88),,O88&amp;" ")&amp;IF(ISBLANK(P88),,P88&amp;" ")&amp;IF(ISBLANK(Q88),,Q88&amp;" ")&amp;IF(ISBLANK(R88),,R88&amp;" ")&amp;IF(ISBLANK(S88),,S88)</f>
        <v>aa 00 05 23 01 01 08 03 35 55</v>
      </c>
      <c r="U88" s="580" t="s">
        <v>610</v>
      </c>
      <c r="V88" s="581"/>
      <c r="W88" s="581"/>
    </row>
    <row r="103" spans="2:23" ht="14.1" customHeight="1" thickBot="1" x14ac:dyDescent="0.3">
      <c r="B103" s="10" t="s">
        <v>0</v>
      </c>
      <c r="C103" s="1" t="s">
        <v>1</v>
      </c>
      <c r="D103" s="46" t="str">
        <f t="shared" ref="D103" si="56">DEC2HEX( COUNTA(E103:Q103),2)</f>
        <v>08</v>
      </c>
      <c r="E103" s="2" t="s">
        <v>71</v>
      </c>
      <c r="F103" s="2" t="s">
        <v>7</v>
      </c>
      <c r="G103" s="2" t="s">
        <v>28</v>
      </c>
      <c r="H103" s="576" t="s">
        <v>15</v>
      </c>
      <c r="I103" s="588"/>
      <c r="J103" s="3" t="s">
        <v>613</v>
      </c>
      <c r="K103" s="3"/>
      <c r="L103" s="3" t="str">
        <f t="shared" ref="L103" si="57">LEFT(RIGHT(DEC2HEX(U103,4),4),2)</f>
        <v>01</v>
      </c>
      <c r="M103" s="3" t="str">
        <f t="shared" ref="M103" si="58">LEFT(RIGHT(DEC2HEX(U103,4),2),2)</f>
        <v>2C</v>
      </c>
      <c r="N103" s="3" t="s">
        <v>1</v>
      </c>
      <c r="O103" s="233"/>
      <c r="P103" s="233"/>
      <c r="Q103" s="234"/>
      <c r="R103" s="85" t="str">
        <f t="shared" ref="R103" si="59">DEC2HEX(MOD(HEX2DEC(C103)+HEX2DEC(D103)+HEX2DEC(E103)+HEX2DEC(F103)+HEX2DEC(G103)+HEX2DEC(H103)+HEX2DEC(I103)+HEX2DEC(J103)+HEX2DEC(K103)+HEX2DEC(L103)+HEX2DEC(M103)+HEX2DEC(N103)+HEX2DEC(O103)+HEX2DEC(P103)+HEX2DEC(Q103),256),2)</f>
        <v>79</v>
      </c>
      <c r="S103" s="11" t="s">
        <v>5</v>
      </c>
      <c r="T103" s="49" t="str">
        <f t="shared" ref="T103" si="60">IF(ISBLANK(B103),,B103&amp;" ")&amp;IF(ISBLANK(C103),,C103&amp;" ")&amp;IF(ISBLANK(D103),,D103&amp;" ")&amp;IF(ISBLANK(E103),,E103&amp;" ")&amp;IF(ISBLANK(F103),,F103&amp;" ")&amp;IF(ISBLANK(G103),,G103&amp;" ")&amp;IF(ISBLANK(H103),,H103&amp;" ")&amp;IF(ISBLANK(I103),,I103&amp;" ")&amp;IF(ISBLANK(J103),,J103&amp;" ")&amp;IF(ISBLANK(K103),,K103&amp;" ")&amp;IF(ISBLANK(L103),,L103&amp;" ")&amp;IF(ISBLANK(M103),,M103&amp;" ")&amp;IF(ISBLANK(N103),,N103&amp;" ")&amp;IF(ISBLANK(O103),,O103&amp;" ")&amp;IF(ISBLANK(P103),,P103&amp;" ")&amp;IF(ISBLANK(Q103),,Q103&amp;" ")&amp;IF(ISBLANK(R103),,R103&amp;" ")&amp;IF(ISBLANK(S103),,S103)</f>
        <v>aa 00 08 23 02 11 02 0C 01 2C 00 79 55</v>
      </c>
      <c r="U103" s="41">
        <v>300</v>
      </c>
      <c r="V103" s="578" t="s">
        <v>539</v>
      </c>
      <c r="W103" s="579"/>
    </row>
    <row r="104" spans="2:23" ht="14.1" customHeight="1" thickBot="1" x14ac:dyDescent="0.3">
      <c r="B104" s="10" t="s">
        <v>0</v>
      </c>
      <c r="C104" s="1" t="s">
        <v>1</v>
      </c>
      <c r="D104" s="46" t="str">
        <f t="shared" ref="D104:D107" si="61">DEC2HEX( COUNTA(E104:Q104),2)</f>
        <v>08</v>
      </c>
      <c r="E104" s="2" t="s">
        <v>71</v>
      </c>
      <c r="F104" s="2" t="s">
        <v>13</v>
      </c>
      <c r="G104" s="2" t="s">
        <v>28</v>
      </c>
      <c r="H104" s="576" t="s">
        <v>15</v>
      </c>
      <c r="I104" s="588"/>
      <c r="J104" s="3" t="s">
        <v>613</v>
      </c>
      <c r="K104" s="3"/>
      <c r="L104" s="3" t="str">
        <f t="shared" ref="L104:L107" si="62">LEFT(RIGHT(DEC2HEX(U104,4),4),2)</f>
        <v>01</v>
      </c>
      <c r="M104" s="3" t="str">
        <f t="shared" ref="M104:M107" si="63">LEFT(RIGHT(DEC2HEX(U104,4),2),2)</f>
        <v>2C</v>
      </c>
      <c r="N104" s="3" t="s">
        <v>1</v>
      </c>
      <c r="O104" s="233"/>
      <c r="P104" s="233"/>
      <c r="Q104" s="234"/>
      <c r="R104" s="85" t="str">
        <f t="shared" ref="R104:R107" si="64">DEC2HEX(MOD(HEX2DEC(C104)+HEX2DEC(D104)+HEX2DEC(E104)+HEX2DEC(F104)+HEX2DEC(G104)+HEX2DEC(H104)+HEX2DEC(I104)+HEX2DEC(J104)+HEX2DEC(K104)+HEX2DEC(L104)+HEX2DEC(M104)+HEX2DEC(N104)+HEX2DEC(O104)+HEX2DEC(P104)+HEX2DEC(Q104),256),2)</f>
        <v>7A</v>
      </c>
      <c r="S104" s="11" t="s">
        <v>5</v>
      </c>
      <c r="T104" s="49" t="str">
        <f t="shared" ref="T104:T107" si="65">IF(ISBLANK(B104),,B104&amp;" ")&amp;IF(ISBLANK(C104),,C104&amp;" ")&amp;IF(ISBLANK(D104),,D104&amp;" ")&amp;IF(ISBLANK(E104),,E104&amp;" ")&amp;IF(ISBLANK(F104),,F104&amp;" ")&amp;IF(ISBLANK(G104),,G104&amp;" ")&amp;IF(ISBLANK(H104),,H104&amp;" ")&amp;IF(ISBLANK(I104),,I104&amp;" ")&amp;IF(ISBLANK(J104),,J104&amp;" ")&amp;IF(ISBLANK(K104),,K104&amp;" ")&amp;IF(ISBLANK(L104),,L104&amp;" ")&amp;IF(ISBLANK(M104),,M104&amp;" ")&amp;IF(ISBLANK(N104),,N104&amp;" ")&amp;IF(ISBLANK(O104),,O104&amp;" ")&amp;IF(ISBLANK(P104),,P104&amp;" ")&amp;IF(ISBLANK(Q104),,Q104&amp;" ")&amp;IF(ISBLANK(R104),,R104&amp;" ")&amp;IF(ISBLANK(S104),,S104)</f>
        <v>aa 00 08 23 03 11 02 0C 01 2C 00 7A 55</v>
      </c>
      <c r="U104" s="41">
        <v>300</v>
      </c>
    </row>
    <row r="105" spans="2:23" ht="14.1" customHeight="1" thickBot="1" x14ac:dyDescent="0.3">
      <c r="B105" s="10" t="s">
        <v>0</v>
      </c>
      <c r="C105" s="1" t="s">
        <v>1</v>
      </c>
      <c r="D105" s="46" t="str">
        <f t="shared" si="61"/>
        <v>08</v>
      </c>
      <c r="E105" s="2" t="s">
        <v>71</v>
      </c>
      <c r="F105" s="2" t="s">
        <v>18</v>
      </c>
      <c r="G105" s="2" t="s">
        <v>28</v>
      </c>
      <c r="H105" s="576" t="s">
        <v>15</v>
      </c>
      <c r="I105" s="588"/>
      <c r="J105" s="3" t="s">
        <v>613</v>
      </c>
      <c r="K105" s="3"/>
      <c r="L105" s="3" t="str">
        <f t="shared" si="62"/>
        <v>01</v>
      </c>
      <c r="M105" s="3" t="str">
        <f t="shared" si="63"/>
        <v>2C</v>
      </c>
      <c r="N105" s="3" t="s">
        <v>1</v>
      </c>
      <c r="O105" s="233"/>
      <c r="P105" s="233"/>
      <c r="Q105" s="234"/>
      <c r="R105" s="85" t="str">
        <f t="shared" si="64"/>
        <v>7B</v>
      </c>
      <c r="S105" s="11" t="s">
        <v>5</v>
      </c>
      <c r="T105" s="49" t="str">
        <f t="shared" si="65"/>
        <v>aa 00 08 23 04 11 02 0C 01 2C 00 7B 55</v>
      </c>
      <c r="U105" s="41">
        <v>300</v>
      </c>
    </row>
    <row r="106" spans="2:23" ht="14.1" customHeight="1" thickBot="1" x14ac:dyDescent="0.3">
      <c r="B106" s="10" t="s">
        <v>0</v>
      </c>
      <c r="C106" s="1" t="s">
        <v>1</v>
      </c>
      <c r="D106" s="46" t="str">
        <f t="shared" si="61"/>
        <v>08</v>
      </c>
      <c r="E106" s="2" t="s">
        <v>71</v>
      </c>
      <c r="F106" s="2" t="s">
        <v>122</v>
      </c>
      <c r="G106" s="2" t="s">
        <v>28</v>
      </c>
      <c r="H106" s="576" t="s">
        <v>15</v>
      </c>
      <c r="I106" s="588"/>
      <c r="J106" s="3" t="s">
        <v>613</v>
      </c>
      <c r="K106" s="3"/>
      <c r="L106" s="3" t="str">
        <f t="shared" si="62"/>
        <v>01</v>
      </c>
      <c r="M106" s="3" t="str">
        <f t="shared" si="63"/>
        <v>2C</v>
      </c>
      <c r="N106" s="3" t="s">
        <v>1</v>
      </c>
      <c r="O106" s="233"/>
      <c r="P106" s="233"/>
      <c r="Q106" s="234"/>
      <c r="R106" s="85" t="str">
        <f t="shared" si="64"/>
        <v>7C</v>
      </c>
      <c r="S106" s="11" t="s">
        <v>5</v>
      </c>
      <c r="T106" s="49" t="str">
        <f t="shared" si="65"/>
        <v>aa 00 08 23 05 11 02 0C 01 2C 00 7C 55</v>
      </c>
      <c r="U106" s="41">
        <v>300</v>
      </c>
    </row>
    <row r="107" spans="2:23" ht="14.1" customHeight="1" thickBot="1" x14ac:dyDescent="0.3">
      <c r="B107" s="10" t="s">
        <v>0</v>
      </c>
      <c r="C107" s="1" t="s">
        <v>1</v>
      </c>
      <c r="D107" s="46" t="str">
        <f t="shared" si="61"/>
        <v>08</v>
      </c>
      <c r="E107" s="2" t="s">
        <v>71</v>
      </c>
      <c r="F107" s="2" t="s">
        <v>123</v>
      </c>
      <c r="G107" s="2" t="s">
        <v>28</v>
      </c>
      <c r="H107" s="576" t="s">
        <v>15</v>
      </c>
      <c r="I107" s="588"/>
      <c r="J107" s="3" t="s">
        <v>613</v>
      </c>
      <c r="K107" s="3"/>
      <c r="L107" s="3" t="str">
        <f t="shared" si="62"/>
        <v>01</v>
      </c>
      <c r="M107" s="3" t="str">
        <f t="shared" si="63"/>
        <v>2C</v>
      </c>
      <c r="N107" s="3" t="s">
        <v>1</v>
      </c>
      <c r="O107" s="233"/>
      <c r="P107" s="233"/>
      <c r="Q107" s="234"/>
      <c r="R107" s="85" t="str">
        <f t="shared" si="64"/>
        <v>7D</v>
      </c>
      <c r="S107" s="11" t="s">
        <v>5</v>
      </c>
      <c r="T107" s="49" t="str">
        <f t="shared" si="65"/>
        <v>aa 00 08 23 06 11 02 0C 01 2C 00 7D 55</v>
      </c>
      <c r="U107" s="41">
        <v>300</v>
      </c>
    </row>
    <row r="108" spans="2:23" ht="14.1" customHeight="1" thickBot="1" x14ac:dyDescent="0.3">
      <c r="B108" s="10"/>
      <c r="C108" s="1"/>
      <c r="D108" s="46"/>
      <c r="E108" s="2"/>
      <c r="F108" s="2"/>
      <c r="G108" s="2"/>
      <c r="H108" s="576"/>
      <c r="I108" s="588"/>
      <c r="J108" s="3"/>
      <c r="K108" s="3"/>
      <c r="L108" s="3"/>
      <c r="M108" s="3"/>
      <c r="N108" s="3"/>
      <c r="O108" s="233"/>
      <c r="P108" s="233"/>
      <c r="Q108" s="234"/>
      <c r="R108" s="85"/>
      <c r="S108" s="11"/>
      <c r="T108" s="49"/>
    </row>
  </sheetData>
  <mergeCells count="156">
    <mergeCell ref="H47:I47"/>
    <mergeCell ref="V47:W47"/>
    <mergeCell ref="H48:I48"/>
    <mergeCell ref="V48:W48"/>
    <mergeCell ref="H103:I103"/>
    <mergeCell ref="H104:I104"/>
    <mergeCell ref="H105:I105"/>
    <mergeCell ref="H106:I106"/>
    <mergeCell ref="H107:I107"/>
    <mergeCell ref="H49:I49"/>
    <mergeCell ref="V49:W49"/>
    <mergeCell ref="V66:W66"/>
    <mergeCell ref="H58:I58"/>
    <mergeCell ref="H60:I60"/>
    <mergeCell ref="H59:I59"/>
    <mergeCell ref="V67:W67"/>
    <mergeCell ref="V76:W76"/>
    <mergeCell ref="V72:W72"/>
    <mergeCell ref="V73:W73"/>
    <mergeCell ref="V74:W74"/>
    <mergeCell ref="H88:L88"/>
    <mergeCell ref="M88:Q88"/>
    <mergeCell ref="H87:L87"/>
    <mergeCell ref="M87:Q87"/>
    <mergeCell ref="H108:I108"/>
    <mergeCell ref="V103:W103"/>
    <mergeCell ref="H51:I51"/>
    <mergeCell ref="V51:W51"/>
    <mergeCell ref="U55:W55"/>
    <mergeCell ref="U84:W84"/>
    <mergeCell ref="V65:W65"/>
    <mergeCell ref="V68:W68"/>
    <mergeCell ref="H53:I53"/>
    <mergeCell ref="V69:W69"/>
    <mergeCell ref="V70:W70"/>
    <mergeCell ref="V63:W63"/>
    <mergeCell ref="U53:W53"/>
    <mergeCell ref="U81:W81"/>
    <mergeCell ref="U82:W82"/>
    <mergeCell ref="I81:J81"/>
    <mergeCell ref="U83:W83"/>
    <mergeCell ref="V78:W78"/>
    <mergeCell ref="H63:I63"/>
    <mergeCell ref="H62:I62"/>
    <mergeCell ref="H61:I61"/>
    <mergeCell ref="H65:I65"/>
    <mergeCell ref="H64:I64"/>
    <mergeCell ref="V77:W77"/>
    <mergeCell ref="H46:I46"/>
    <mergeCell ref="AR38:AY38"/>
    <mergeCell ref="B43:W43"/>
    <mergeCell ref="AR42:AY42"/>
    <mergeCell ref="AR43:AY43"/>
    <mergeCell ref="AR41:AY41"/>
    <mergeCell ref="AR39:AY39"/>
    <mergeCell ref="AR36:AY36"/>
    <mergeCell ref="H41:I41"/>
    <mergeCell ref="V41:W41"/>
    <mergeCell ref="H44:I44"/>
    <mergeCell ref="L44:M44"/>
    <mergeCell ref="V44:W44"/>
    <mergeCell ref="V46:W46"/>
    <mergeCell ref="V37:W37"/>
    <mergeCell ref="AR37:AY37"/>
    <mergeCell ref="H36:I36"/>
    <mergeCell ref="V36:W36"/>
    <mergeCell ref="H45:I45"/>
    <mergeCell ref="H38:I38"/>
    <mergeCell ref="H39:I39"/>
    <mergeCell ref="H40:I40"/>
    <mergeCell ref="H42:I42"/>
    <mergeCell ref="V38:W38"/>
    <mergeCell ref="H34:I34"/>
    <mergeCell ref="H35:I35"/>
    <mergeCell ref="AR22:AU22"/>
    <mergeCell ref="AV22:AY22"/>
    <mergeCell ref="AE23:AN23"/>
    <mergeCell ref="AT23:AY23"/>
    <mergeCell ref="AT24:AY24"/>
    <mergeCell ref="AR25:AY25"/>
    <mergeCell ref="AR34:AY34"/>
    <mergeCell ref="AR31:AY31"/>
    <mergeCell ref="AR32:AY32"/>
    <mergeCell ref="AR35:AY35"/>
    <mergeCell ref="AR33:AY33"/>
    <mergeCell ref="V34:W34"/>
    <mergeCell ref="AE32:AN32"/>
    <mergeCell ref="V35:W35"/>
    <mergeCell ref="V31:W31"/>
    <mergeCell ref="V39:W39"/>
    <mergeCell ref="V40:W40"/>
    <mergeCell ref="V42:W42"/>
    <mergeCell ref="V32:W32"/>
    <mergeCell ref="V33:W33"/>
    <mergeCell ref="V45:W45"/>
    <mergeCell ref="H37:I37"/>
    <mergeCell ref="Y9:AY10"/>
    <mergeCell ref="AR17:AY17"/>
    <mergeCell ref="L30:M30"/>
    <mergeCell ref="H31:I31"/>
    <mergeCell ref="V30:W30"/>
    <mergeCell ref="AT16:AY16"/>
    <mergeCell ref="AR18:AY18"/>
    <mergeCell ref="B22:W22"/>
    <mergeCell ref="AR26:AY26"/>
    <mergeCell ref="Y29:AY30"/>
    <mergeCell ref="Y31:AP31"/>
    <mergeCell ref="B29:W29"/>
    <mergeCell ref="H30:I30"/>
    <mergeCell ref="Y20:AY21"/>
    <mergeCell ref="Y22:AP22"/>
    <mergeCell ref="H32:I32"/>
    <mergeCell ref="H33:I33"/>
    <mergeCell ref="B1:W2"/>
    <mergeCell ref="Y1:AY2"/>
    <mergeCell ref="Y12:AY13"/>
    <mergeCell ref="AR7:AY7"/>
    <mergeCell ref="AT15:AY15"/>
    <mergeCell ref="Y3:AP3"/>
    <mergeCell ref="AR3:AU3"/>
    <mergeCell ref="AV3:AY3"/>
    <mergeCell ref="AE4:AN4"/>
    <mergeCell ref="AT4:AY4"/>
    <mergeCell ref="AT5:AY5"/>
    <mergeCell ref="AR6:AY6"/>
    <mergeCell ref="I4:J4"/>
    <mergeCell ref="B3:W3"/>
    <mergeCell ref="H15:I15"/>
    <mergeCell ref="B14:W14"/>
    <mergeCell ref="AR14:AU14"/>
    <mergeCell ref="AV14:AY14"/>
    <mergeCell ref="AE15:AN15"/>
    <mergeCell ref="Y14:AP14"/>
    <mergeCell ref="L15:M15"/>
    <mergeCell ref="H50:I50"/>
    <mergeCell ref="V50:W50"/>
    <mergeCell ref="U87:W87"/>
    <mergeCell ref="U88:W88"/>
    <mergeCell ref="V58:W58"/>
    <mergeCell ref="H66:I66"/>
    <mergeCell ref="V79:W79"/>
    <mergeCell ref="V71:W71"/>
    <mergeCell ref="V64:W64"/>
    <mergeCell ref="H69:I69"/>
    <mergeCell ref="H70:I70"/>
    <mergeCell ref="H71:I71"/>
    <mergeCell ref="H72:I72"/>
    <mergeCell ref="H73:I73"/>
    <mergeCell ref="H74:I74"/>
    <mergeCell ref="I76:J76"/>
    <mergeCell ref="H67:I67"/>
    <mergeCell ref="H68:I68"/>
    <mergeCell ref="V59:W59"/>
    <mergeCell ref="V60:W60"/>
    <mergeCell ref="V61:W61"/>
    <mergeCell ref="V62:W62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/>
  <dimension ref="A2:AC37"/>
  <sheetViews>
    <sheetView zoomScale="85" zoomScaleNormal="85" workbookViewId="0">
      <selection activeCell="Y5" sqref="Y5:AB8"/>
    </sheetView>
  </sheetViews>
  <sheetFormatPr defaultRowHeight="14.4" x14ac:dyDescent="0.25"/>
  <cols>
    <col min="1" max="1" width="4.77734375" customWidth="1"/>
    <col min="2" max="19" width="3.6640625" customWidth="1"/>
    <col min="20" max="20" width="29.33203125" customWidth="1"/>
    <col min="21" max="24" width="10.6640625" customWidth="1"/>
    <col min="25" max="25" width="15" customWidth="1"/>
    <col min="26" max="26" width="12.77734375" customWidth="1"/>
    <col min="27" max="27" width="20.6640625" customWidth="1"/>
    <col min="28" max="28" width="27.6640625" customWidth="1"/>
  </cols>
  <sheetData>
    <row r="2" spans="1:29" ht="30" customHeight="1" x14ac:dyDescent="0.25">
      <c r="B2" s="468" t="s">
        <v>433</v>
      </c>
      <c r="C2" s="469"/>
      <c r="D2" s="469"/>
      <c r="E2" s="469"/>
      <c r="F2" s="469"/>
      <c r="G2" s="469"/>
      <c r="H2" s="469"/>
      <c r="I2" s="469"/>
      <c r="J2" s="469"/>
      <c r="K2" s="469"/>
      <c r="L2" s="469"/>
      <c r="M2" s="469"/>
      <c r="N2" s="469"/>
      <c r="O2" s="469"/>
      <c r="P2" s="469"/>
      <c r="Q2" s="469"/>
      <c r="R2" s="469"/>
      <c r="S2" s="469"/>
      <c r="T2" s="469"/>
      <c r="U2" s="469"/>
      <c r="V2" s="469"/>
      <c r="W2" s="469"/>
      <c r="X2" s="469"/>
      <c r="Y2" s="469"/>
      <c r="Z2" s="469"/>
      <c r="AA2" s="469"/>
      <c r="AB2" s="470"/>
    </row>
    <row r="3" spans="1:29" ht="15" customHeight="1" x14ac:dyDescent="0.25">
      <c r="B3" s="388" t="s">
        <v>275</v>
      </c>
      <c r="C3" s="388"/>
      <c r="D3" s="388"/>
      <c r="E3" s="388"/>
      <c r="F3" s="388"/>
      <c r="G3" s="388"/>
      <c r="H3" s="388"/>
      <c r="I3" s="388"/>
      <c r="J3" s="388"/>
      <c r="K3" s="388"/>
      <c r="L3" s="388"/>
      <c r="M3" s="388"/>
      <c r="N3" s="388"/>
      <c r="O3" s="388"/>
      <c r="P3" s="388"/>
      <c r="Q3" s="388"/>
      <c r="R3" s="388"/>
      <c r="S3" s="388"/>
      <c r="T3" s="151" t="s">
        <v>266</v>
      </c>
      <c r="U3" s="388" t="s">
        <v>267</v>
      </c>
      <c r="V3" s="388"/>
      <c r="W3" s="388"/>
      <c r="X3" s="388"/>
      <c r="Y3" s="388" t="s">
        <v>268</v>
      </c>
      <c r="Z3" s="388"/>
      <c r="AA3" s="388"/>
      <c r="AB3" s="388"/>
    </row>
    <row r="4" spans="1:29" ht="15" customHeight="1" x14ac:dyDescent="0.25">
      <c r="B4" s="86" t="s">
        <v>77</v>
      </c>
      <c r="C4" s="152" t="s">
        <v>78</v>
      </c>
      <c r="D4" s="152" t="s">
        <v>10</v>
      </c>
      <c r="E4" s="152" t="s">
        <v>79</v>
      </c>
      <c r="F4" s="152" t="s">
        <v>80</v>
      </c>
      <c r="G4" s="152" t="s">
        <v>11</v>
      </c>
      <c r="H4" s="424" t="s">
        <v>83</v>
      </c>
      <c r="I4" s="424"/>
      <c r="J4" s="424"/>
      <c r="K4" s="424"/>
      <c r="L4" s="424"/>
      <c r="M4" s="424"/>
      <c r="N4" s="424"/>
      <c r="O4" s="424"/>
      <c r="P4" s="424"/>
      <c r="Q4" s="424"/>
      <c r="R4" s="83" t="s">
        <v>81</v>
      </c>
      <c r="S4" s="83" t="s">
        <v>82</v>
      </c>
      <c r="T4" s="51" t="s">
        <v>276</v>
      </c>
      <c r="U4" s="45"/>
      <c r="V4" s="45"/>
      <c r="W4" s="45"/>
      <c r="X4" s="45"/>
      <c r="Y4" s="435" t="s">
        <v>6</v>
      </c>
      <c r="Z4" s="435"/>
      <c r="AA4" s="435"/>
      <c r="AB4" s="435"/>
    </row>
    <row r="5" spans="1:29" ht="15" customHeight="1" x14ac:dyDescent="0.25">
      <c r="B5" s="84" t="s">
        <v>0</v>
      </c>
      <c r="C5" s="75" t="s">
        <v>1</v>
      </c>
      <c r="D5" s="75" t="s">
        <v>8</v>
      </c>
      <c r="E5" s="76" t="s">
        <v>434</v>
      </c>
      <c r="F5" s="76" t="s">
        <v>1</v>
      </c>
      <c r="G5" s="76" t="s">
        <v>1</v>
      </c>
      <c r="H5" s="54"/>
      <c r="I5" s="54"/>
      <c r="J5" s="54"/>
      <c r="K5" s="54"/>
      <c r="L5" s="54"/>
      <c r="M5" s="54"/>
      <c r="N5" s="54"/>
      <c r="O5" s="54"/>
      <c r="P5" s="54"/>
      <c r="Q5" s="54"/>
      <c r="R5" s="84" t="str">
        <f>DEC2HEX(MOD(HEX2DEC(C5)+HEX2DEC(D5)+HEX2DEC(E5)+HEX2DEC(F5)+HEX2DEC(G5)+HEX2DEC(H5)+HEX2DEC(I5)+HEX2DEC(J5)+HEX2DEC(K5)+HEX2DEC(L5)+HEX2DEC(M5)+HEX2DEC(N5)+HEX2DEC(Q5),256),2)</f>
        <v>27</v>
      </c>
      <c r="S5" s="84" t="s">
        <v>5</v>
      </c>
      <c r="T5" s="55" t="str">
        <f>IF(ISBLANK(B5),,B5&amp;" ")&amp;IF(ISBLANK(C5),,C5&amp;" ")&amp;IF(ISBLANK(D5),,D5&amp;" ")&amp;IF(ISBLANK(E5),,E5&amp;" ")&amp;IF(ISBLANK(F5),,F5&amp;" ")&amp;IF(ISBLANK(G5),,G5&amp;" ")&amp;IF(ISBLANK(H5),,H5&amp;" ")&amp;IF(ISBLANK(I5),,I5&amp;" ")&amp;IF(ISBLANK(J5),,J5&amp;" ")&amp;IF(ISBLANK(K5),,K5&amp;" ")&amp;IF(ISBLANK(L5),,L5&amp;" ")&amp;IF(ISBLANK(M5),,M5&amp;" ")&amp;IF(ISBLANK(N5),,N5&amp;" ")&amp;IF(ISBLANK(Q5),,Q5&amp;" ")&amp;IF(ISBLANK(R5),,R5&amp;" ")&amp;IF(ISBLANK(S5),,S5)</f>
        <v>aa 00 03 24 00 00 27 55</v>
      </c>
      <c r="U5" s="77"/>
      <c r="V5" s="77"/>
      <c r="W5" s="77"/>
      <c r="X5" s="165"/>
      <c r="Y5" s="598" t="s">
        <v>500</v>
      </c>
      <c r="Z5" s="598"/>
      <c r="AA5" s="598"/>
      <c r="AB5" s="598"/>
    </row>
    <row r="6" spans="1:29" ht="15" customHeight="1" x14ac:dyDescent="0.25">
      <c r="B6" s="161"/>
      <c r="C6" s="162"/>
      <c r="D6" s="162"/>
      <c r="E6" s="163"/>
      <c r="F6" s="163"/>
      <c r="G6" s="163"/>
      <c r="H6" s="65"/>
      <c r="I6" s="65"/>
      <c r="J6" s="65"/>
      <c r="K6" s="65"/>
      <c r="L6" s="65"/>
      <c r="M6" s="65"/>
      <c r="N6" s="65"/>
      <c r="O6" s="65"/>
      <c r="P6" s="65"/>
      <c r="Q6" s="65"/>
      <c r="R6" s="161"/>
      <c r="S6" s="161"/>
      <c r="T6" s="67"/>
      <c r="U6" s="164"/>
      <c r="V6" s="164"/>
      <c r="W6" s="164"/>
      <c r="X6" s="164"/>
      <c r="Y6" s="598"/>
      <c r="Z6" s="598"/>
      <c r="AA6" s="598"/>
      <c r="AB6" s="598"/>
    </row>
    <row r="7" spans="1:29" ht="15" customHeight="1" x14ac:dyDescent="0.25">
      <c r="B7" s="156"/>
      <c r="C7" s="157"/>
      <c r="D7" s="157"/>
      <c r="E7" s="157"/>
      <c r="F7" s="157"/>
      <c r="G7" s="157"/>
      <c r="H7" s="157"/>
      <c r="I7" s="157"/>
      <c r="J7" s="157"/>
      <c r="K7" s="157"/>
      <c r="L7" s="157"/>
      <c r="M7" s="157"/>
      <c r="N7" s="157"/>
      <c r="O7" s="157"/>
      <c r="P7" s="157"/>
      <c r="Q7" s="157"/>
      <c r="R7" s="158"/>
      <c r="S7" s="158"/>
      <c r="T7" s="159"/>
      <c r="U7" s="160"/>
      <c r="V7" s="160"/>
      <c r="W7" s="160"/>
      <c r="X7" s="160"/>
      <c r="Y7" s="598"/>
      <c r="Z7" s="598"/>
      <c r="AA7" s="598"/>
      <c r="AB7" s="598"/>
    </row>
    <row r="8" spans="1:29" ht="15" customHeight="1" x14ac:dyDescent="0.25">
      <c r="B8" s="156"/>
      <c r="C8" s="157"/>
      <c r="D8" s="157"/>
      <c r="E8" s="157"/>
      <c r="F8" s="157"/>
      <c r="G8" s="157"/>
      <c r="H8" s="157"/>
      <c r="I8" s="157"/>
      <c r="J8" s="157"/>
      <c r="K8" s="157"/>
      <c r="L8" s="157"/>
      <c r="M8" s="157"/>
      <c r="N8" s="157"/>
      <c r="O8" s="157"/>
      <c r="P8" s="157"/>
      <c r="Q8" s="157"/>
      <c r="R8" s="158"/>
      <c r="S8" s="158"/>
      <c r="T8" s="159"/>
      <c r="U8" s="160"/>
      <c r="V8" s="160"/>
      <c r="W8" s="160"/>
      <c r="X8" s="160"/>
      <c r="Y8" s="600"/>
      <c r="Z8" s="600"/>
      <c r="AA8" s="600"/>
      <c r="AB8" s="600"/>
    </row>
    <row r="9" spans="1:29" ht="15" customHeight="1" x14ac:dyDescent="0.25">
      <c r="B9" s="84" t="s">
        <v>0</v>
      </c>
      <c r="C9" s="75" t="s">
        <v>1</v>
      </c>
      <c r="D9" s="75" t="s">
        <v>8</v>
      </c>
      <c r="E9" s="76" t="s">
        <v>434</v>
      </c>
      <c r="F9" s="76" t="s">
        <v>1</v>
      </c>
      <c r="G9" s="76" t="s">
        <v>4</v>
      </c>
      <c r="H9" s="54"/>
      <c r="I9" s="54"/>
      <c r="J9" s="54"/>
      <c r="K9" s="54"/>
      <c r="L9" s="54"/>
      <c r="M9" s="54"/>
      <c r="N9" s="54"/>
      <c r="O9" s="54"/>
      <c r="P9" s="54"/>
      <c r="Q9" s="54"/>
      <c r="R9" s="84" t="str">
        <f>DEC2HEX(MOD(HEX2DEC(C9)+HEX2DEC(D9)+HEX2DEC(E9)+HEX2DEC(F9)+HEX2DEC(G9)+HEX2DEC(H9)+HEX2DEC(I9)+HEX2DEC(J9)+HEX2DEC(K9)+HEX2DEC(L9)+HEX2DEC(M9)+HEX2DEC(N9)+HEX2DEC(Q9),256),2)</f>
        <v>28</v>
      </c>
      <c r="S9" s="84" t="s">
        <v>5</v>
      </c>
      <c r="T9" s="118" t="str">
        <f>IF(ISBLANK(B9),,B9&amp;" ")&amp;IF(ISBLANK(C9),,C9&amp;" ")&amp;IF(ISBLANK(D9),,D9&amp;" ")&amp;IF(ISBLANK(E9),,E9&amp;" ")&amp;IF(ISBLANK(F9),,F9&amp;" ")&amp;IF(ISBLANK(G9),,G9&amp;" ")&amp;IF(ISBLANK(H9),,H9&amp;" ")&amp;IF(ISBLANK(I9),,I9&amp;" ")&amp;IF(ISBLANK(J9),,J9&amp;" ")&amp;IF(ISBLANK(K9),,K9&amp;" ")&amp;IF(ISBLANK(L9),,L9&amp;" ")&amp;IF(ISBLANK(M9),,M9&amp;" ")&amp;IF(ISBLANK(N9),,N9&amp;" ")&amp;IF(ISBLANK(Q9),,Q9&amp;" ")&amp;IF(ISBLANK(R9),,R9&amp;" ")&amp;IF(ISBLANK(S9),,S9)</f>
        <v>aa 00 03 24 00 01 28 55</v>
      </c>
      <c r="U9" s="601" t="s">
        <v>435</v>
      </c>
      <c r="V9" s="602"/>
      <c r="W9" s="602"/>
      <c r="X9" s="602"/>
      <c r="Y9" s="602"/>
      <c r="Z9" s="602"/>
      <c r="AA9" s="602"/>
      <c r="AB9" s="603"/>
    </row>
    <row r="10" spans="1:29" ht="15" customHeight="1" x14ac:dyDescent="0.25">
      <c r="B10" s="84" t="s">
        <v>0</v>
      </c>
      <c r="C10" s="75" t="s">
        <v>1</v>
      </c>
      <c r="D10" s="75" t="s">
        <v>8</v>
      </c>
      <c r="E10" s="76" t="s">
        <v>434</v>
      </c>
      <c r="F10" s="76" t="s">
        <v>1</v>
      </c>
      <c r="G10" s="76" t="s">
        <v>70</v>
      </c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84" t="str">
        <f>DEC2HEX(MOD(HEX2DEC(C10)+HEX2DEC(D10)+HEX2DEC(E10)+HEX2DEC(F10)+HEX2DEC(G10)+HEX2DEC(H10)+HEX2DEC(I10)+HEX2DEC(J10)+HEX2DEC(K10)+HEX2DEC(L10)+HEX2DEC(M10)+HEX2DEC(N10)+HEX2DEC(Q10),256),2)</f>
        <v>37</v>
      </c>
      <c r="S10" s="84" t="s">
        <v>5</v>
      </c>
      <c r="T10" s="55" t="str">
        <f>IF(ISBLANK(B10),,B10&amp;" ")&amp;IF(ISBLANK(C10),,C10&amp;" ")&amp;IF(ISBLANK(D10),,D10&amp;" ")&amp;IF(ISBLANK(E10),,E10&amp;" ")&amp;IF(ISBLANK(F10),,F10&amp;" ")&amp;IF(ISBLANK(G10),,G10&amp;" ")&amp;IF(ISBLANK(H10),,H10&amp;" ")&amp;IF(ISBLANK(I10),,I10&amp;" ")&amp;IF(ISBLANK(J10),,J10&amp;" ")&amp;IF(ISBLANK(K10),,K10&amp;" ")&amp;IF(ISBLANK(L10),,L10&amp;" ")&amp;IF(ISBLANK(M10),,M10&amp;" ")&amp;IF(ISBLANK(N10),,N10&amp;" ")&amp;IF(ISBLANK(Q10),,Q10&amp;" ")&amp;IF(ISBLANK(R10),,R10&amp;" ")&amp;IF(ISBLANK(S10),,S10)</f>
        <v>aa 00 03 24 00 10 37 55</v>
      </c>
      <c r="U10" s="601" t="s">
        <v>436</v>
      </c>
      <c r="V10" s="602"/>
      <c r="W10" s="602"/>
      <c r="X10" s="602"/>
      <c r="Y10" s="602"/>
      <c r="Z10" s="602"/>
      <c r="AA10" s="602"/>
      <c r="AB10" s="603"/>
    </row>
    <row r="11" spans="1:29" ht="15" customHeight="1" x14ac:dyDescent="0.25">
      <c r="B11" s="84" t="s">
        <v>0</v>
      </c>
      <c r="C11" s="75" t="s">
        <v>1</v>
      </c>
      <c r="D11" s="75" t="s">
        <v>8</v>
      </c>
      <c r="E11" s="76" t="s">
        <v>434</v>
      </c>
      <c r="F11" s="76" t="s">
        <v>1</v>
      </c>
      <c r="G11" s="76" t="s">
        <v>28</v>
      </c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84" t="str">
        <f>DEC2HEX(MOD(HEX2DEC(C11)+HEX2DEC(D11)+HEX2DEC(E11)+HEX2DEC(F11)+HEX2DEC(G11)+HEX2DEC(H11)+HEX2DEC(I11)+HEX2DEC(J11)+HEX2DEC(K11)+HEX2DEC(L11)+HEX2DEC(M11)+HEX2DEC(N11)+HEX2DEC(Q11),256),2)</f>
        <v>38</v>
      </c>
      <c r="S11" s="84" t="s">
        <v>5</v>
      </c>
      <c r="T11" s="55" t="str">
        <f>IF(ISBLANK(B11),,B11&amp;" ")&amp;IF(ISBLANK(C11),,C11&amp;" ")&amp;IF(ISBLANK(D11),,D11&amp;" ")&amp;IF(ISBLANK(E11),,E11&amp;" ")&amp;IF(ISBLANK(F11),,F11&amp;" ")&amp;IF(ISBLANK(G11),,G11&amp;" ")&amp;IF(ISBLANK(H11),,H11&amp;" ")&amp;IF(ISBLANK(I11),,I11&amp;" ")&amp;IF(ISBLANK(J11),,J11&amp;" ")&amp;IF(ISBLANK(K11),,K11&amp;" ")&amp;IF(ISBLANK(L11),,L11&amp;" ")&amp;IF(ISBLANK(M11),,M11&amp;" ")&amp;IF(ISBLANK(N11),,N11&amp;" ")&amp;IF(ISBLANK(Q11),,Q11&amp;" ")&amp;IF(ISBLANK(R11),,R11&amp;" ")&amp;IF(ISBLANK(S11),,S11)</f>
        <v>aa 00 03 24 00 11 38 55</v>
      </c>
      <c r="U11" s="601" t="s">
        <v>437</v>
      </c>
      <c r="V11" s="602"/>
      <c r="W11" s="602"/>
      <c r="X11" s="602"/>
      <c r="Y11" s="602"/>
      <c r="Z11" s="602"/>
      <c r="AA11" s="602"/>
      <c r="AB11" s="603"/>
    </row>
    <row r="12" spans="1:29" ht="15" customHeight="1" x14ac:dyDescent="0.25">
      <c r="A12" s="39"/>
      <c r="B12" s="125"/>
      <c r="C12" s="126"/>
      <c r="D12" s="126"/>
      <c r="E12" s="127"/>
      <c r="F12" s="127"/>
      <c r="G12" s="127"/>
      <c r="H12" s="128"/>
      <c r="I12" s="128"/>
      <c r="J12" s="128"/>
      <c r="K12" s="128"/>
      <c r="L12" s="128"/>
      <c r="M12" s="128"/>
      <c r="N12" s="128"/>
      <c r="O12" s="128"/>
      <c r="P12" s="128"/>
      <c r="Q12" s="128"/>
      <c r="R12" s="125"/>
      <c r="S12" s="125"/>
      <c r="T12" s="53"/>
      <c r="U12" s="129"/>
      <c r="V12" s="134"/>
      <c r="W12" s="135"/>
      <c r="X12" s="135"/>
      <c r="Y12" s="136"/>
      <c r="Z12" s="132"/>
      <c r="AA12" s="130"/>
      <c r="AB12" s="131"/>
      <c r="AC12" s="39"/>
    </row>
    <row r="13" spans="1:29" ht="15" customHeight="1" x14ac:dyDescent="0.25">
      <c r="A13" s="39"/>
      <c r="B13" s="125"/>
      <c r="C13" s="126"/>
      <c r="D13" s="126"/>
      <c r="E13" s="127"/>
      <c r="F13" s="127"/>
      <c r="G13" s="127"/>
      <c r="H13" s="128"/>
      <c r="I13" s="128"/>
      <c r="J13" s="128"/>
      <c r="K13" s="128"/>
      <c r="L13" s="128"/>
      <c r="M13" s="128"/>
      <c r="N13" s="128"/>
      <c r="O13" s="128"/>
      <c r="P13" s="128"/>
      <c r="Q13" s="128"/>
      <c r="R13" s="125"/>
      <c r="S13" s="125"/>
      <c r="T13" s="53"/>
      <c r="U13" s="137"/>
      <c r="V13" s="599"/>
      <c r="W13" s="599"/>
      <c r="X13" s="599"/>
      <c r="Y13" s="599"/>
      <c r="Z13" s="599"/>
      <c r="AA13" s="155" t="s">
        <v>445</v>
      </c>
      <c r="AB13" s="155" t="s">
        <v>439</v>
      </c>
      <c r="AC13" s="39"/>
    </row>
    <row r="14" spans="1:29" ht="15" customHeight="1" x14ac:dyDescent="0.25">
      <c r="B14" s="84" t="s">
        <v>0</v>
      </c>
      <c r="C14" s="75" t="s">
        <v>1</v>
      </c>
      <c r="D14" s="75" t="s">
        <v>2</v>
      </c>
      <c r="E14" s="76" t="s">
        <v>434</v>
      </c>
      <c r="F14" s="76" t="s">
        <v>1</v>
      </c>
      <c r="G14" s="76" t="s">
        <v>17</v>
      </c>
      <c r="H14" s="54" t="s">
        <v>504</v>
      </c>
      <c r="I14" s="54"/>
      <c r="J14" s="54"/>
      <c r="K14" s="54"/>
      <c r="L14" s="54"/>
      <c r="M14" s="54"/>
      <c r="N14" s="54"/>
      <c r="O14" s="54"/>
      <c r="P14" s="54"/>
      <c r="Q14" s="54"/>
      <c r="R14" s="84" t="str">
        <f>DEC2HEX(MOD(HEX2DEC(C14)+HEX2DEC(D14)+HEX2DEC(E14)+HEX2DEC(F14)+HEX2DEC(G14)+HEX2DEC(H14)+HEX2DEC(I14)+HEX2DEC(J14)+HEX2DEC(K14)+HEX2DEC(L14)+HEX2DEC(M14)+HEX2DEC(N14)+HEX2DEC(Q14),256),2)</f>
        <v>3B</v>
      </c>
      <c r="S14" s="84" t="s">
        <v>5</v>
      </c>
      <c r="T14" s="169" t="str">
        <f>IF(ISBLANK(B14),,B14&amp;" ")&amp;IF(ISBLANK(C14),,C14&amp;" ")&amp;IF(ISBLANK(D14),,D14&amp;" ")&amp;IF(ISBLANK(E14),,E14&amp;" ")&amp;IF(ISBLANK(F14),,F14&amp;" ")&amp;IF(ISBLANK(G14),,G14&amp;" ")&amp;IF(ISBLANK(H14),,H14&amp;" ")&amp;IF(ISBLANK(I14),,I14&amp;" ")&amp;IF(ISBLANK(J14),,J14&amp;" ")&amp;IF(ISBLANK(K14),,K14&amp;" ")&amp;IF(ISBLANK(L14),,L14&amp;" ")&amp;IF(ISBLANK(M14),,M14&amp;" ")&amp;IF(ISBLANK(N14),,N14&amp;" ")&amp;IF(ISBLANK(Q14),,Q14&amp;" ")&amp;IF(ISBLANK(R14),,R14&amp;" ")&amp;IF(ISBLANK(S14),,S14)</f>
        <v>aa 00 04 24 00 12 01 3B 55</v>
      </c>
      <c r="U14" s="115" t="s">
        <v>505</v>
      </c>
      <c r="V14" s="598" t="s">
        <v>438</v>
      </c>
      <c r="W14" s="598"/>
      <c r="X14" s="598"/>
      <c r="Y14" s="598"/>
      <c r="Z14" s="598"/>
      <c r="AA14" s="133" t="s">
        <v>440</v>
      </c>
      <c r="AB14" s="133" t="s">
        <v>441</v>
      </c>
    </row>
    <row r="15" spans="1:29" ht="15" customHeight="1" x14ac:dyDescent="0.25">
      <c r="B15" s="84" t="s">
        <v>0</v>
      </c>
      <c r="C15" s="75" t="s">
        <v>1</v>
      </c>
      <c r="D15" s="75" t="s">
        <v>2</v>
      </c>
      <c r="E15" s="76" t="s">
        <v>434</v>
      </c>
      <c r="F15" s="76" t="s">
        <v>1</v>
      </c>
      <c r="G15" s="76" t="s">
        <v>17</v>
      </c>
      <c r="H15" s="54" t="s">
        <v>15</v>
      </c>
      <c r="I15" s="54"/>
      <c r="J15" s="54"/>
      <c r="K15" s="54"/>
      <c r="L15" s="54"/>
      <c r="M15" s="54"/>
      <c r="N15" s="54"/>
      <c r="O15" s="54"/>
      <c r="P15" s="54"/>
      <c r="Q15" s="54"/>
      <c r="R15" s="84" t="str">
        <f>DEC2HEX(MOD(HEX2DEC(C15)+HEX2DEC(D15)+HEX2DEC(E15)+HEX2DEC(F15)+HEX2DEC(G15)+HEX2DEC(H15)+HEX2DEC(I15)+HEX2DEC(J15)+HEX2DEC(K15)+HEX2DEC(L15)+HEX2DEC(M15)+HEX2DEC(N15)+HEX2DEC(Q15),256),2)</f>
        <v>3C</v>
      </c>
      <c r="S15" s="84" t="s">
        <v>5</v>
      </c>
      <c r="T15" s="55" t="str">
        <f>IF(ISBLANK(B15),,B15&amp;" ")&amp;IF(ISBLANK(C15),,C15&amp;" ")&amp;IF(ISBLANK(D15),,D15&amp;" ")&amp;IF(ISBLANK(E15),,E15&amp;" ")&amp;IF(ISBLANK(F15),,F15&amp;" ")&amp;IF(ISBLANK(G15),,G15&amp;" ")&amp;IF(ISBLANK(H15),,H15&amp;" ")&amp;IF(ISBLANK(I15),,I15&amp;" ")&amp;IF(ISBLANK(J15),,J15&amp;" ")&amp;IF(ISBLANK(K15),,K15&amp;" ")&amp;IF(ISBLANK(L15),,L15&amp;" ")&amp;IF(ISBLANK(M15),,M15&amp;" ")&amp;IF(ISBLANK(N15),,N15&amp;" ")&amp;IF(ISBLANK(Q15),,Q15&amp;" ")&amp;IF(ISBLANK(R15),,R15&amp;" ")&amp;IF(ISBLANK(S15),,S15)</f>
        <v>aa 00 04 24 00 12 02 3C 55</v>
      </c>
      <c r="U15" s="115" t="s">
        <v>611</v>
      </c>
      <c r="V15" s="598"/>
      <c r="W15" s="598"/>
      <c r="X15" s="598"/>
      <c r="Y15" s="598"/>
      <c r="Z15" s="598"/>
      <c r="AA15" s="133" t="s">
        <v>442</v>
      </c>
      <c r="AB15" s="133" t="s">
        <v>443</v>
      </c>
    </row>
    <row r="16" spans="1:29" ht="15" customHeight="1" x14ac:dyDescent="0.25">
      <c r="B16" s="84" t="s">
        <v>0</v>
      </c>
      <c r="C16" s="75" t="s">
        <v>1</v>
      </c>
      <c r="D16" s="75" t="s">
        <v>2</v>
      </c>
      <c r="E16" s="76" t="s">
        <v>434</v>
      </c>
      <c r="F16" s="76" t="s">
        <v>1</v>
      </c>
      <c r="G16" s="76" t="s">
        <v>17</v>
      </c>
      <c r="H16" s="54" t="s">
        <v>13</v>
      </c>
      <c r="I16" s="54"/>
      <c r="J16" s="54"/>
      <c r="K16" s="54"/>
      <c r="L16" s="54"/>
      <c r="M16" s="54"/>
      <c r="N16" s="54"/>
      <c r="O16" s="54"/>
      <c r="P16" s="54"/>
      <c r="Q16" s="54"/>
      <c r="R16" s="84" t="str">
        <f>DEC2HEX(MOD(HEX2DEC(C16)+HEX2DEC(D16)+HEX2DEC(E16)+HEX2DEC(F16)+HEX2DEC(G16)+HEX2DEC(H16)+HEX2DEC(I16)+HEX2DEC(J16)+HEX2DEC(K16)+HEX2DEC(L16)+HEX2DEC(M16)+HEX2DEC(N16)+HEX2DEC(Q16),256),2)</f>
        <v>3D</v>
      </c>
      <c r="S16" s="84" t="s">
        <v>5</v>
      </c>
      <c r="T16" s="55" t="str">
        <f>IF(ISBLANK(B16),,B16&amp;" ")&amp;IF(ISBLANK(C16),,C16&amp;" ")&amp;IF(ISBLANK(D16),,D16&amp;" ")&amp;IF(ISBLANK(E16),,E16&amp;" ")&amp;IF(ISBLANK(F16),,F16&amp;" ")&amp;IF(ISBLANK(G16),,G16&amp;" ")&amp;IF(ISBLANK(H16),,H16&amp;" ")&amp;IF(ISBLANK(I16),,I16&amp;" ")&amp;IF(ISBLANK(J16),,J16&amp;" ")&amp;IF(ISBLANK(K16),,K16&amp;" ")&amp;IF(ISBLANK(L16),,L16&amp;" ")&amp;IF(ISBLANK(M16),,M16&amp;" ")&amp;IF(ISBLANK(N16),,N16&amp;" ")&amp;IF(ISBLANK(Q16),,Q16&amp;" ")&amp;IF(ISBLANK(R16),,R16&amp;" ")&amp;IF(ISBLANK(S16),,S16)</f>
        <v>aa 00 04 24 00 12 03 3D 55</v>
      </c>
      <c r="U16" s="115" t="s">
        <v>506</v>
      </c>
      <c r="V16" s="598"/>
      <c r="W16" s="598"/>
      <c r="X16" s="598"/>
      <c r="Y16" s="598"/>
      <c r="Z16" s="598"/>
      <c r="AA16" s="133" t="s">
        <v>444</v>
      </c>
      <c r="AB16" s="133" t="s">
        <v>501</v>
      </c>
    </row>
    <row r="17" spans="1:29" ht="15" customHeight="1" x14ac:dyDescent="0.25"/>
    <row r="18" spans="1:29" ht="15" customHeight="1" x14ac:dyDescent="0.25">
      <c r="A18" s="39"/>
      <c r="B18" s="125"/>
      <c r="C18" s="126"/>
      <c r="D18" s="126"/>
      <c r="E18" s="127"/>
      <c r="F18" s="127"/>
      <c r="G18" s="127"/>
      <c r="H18" s="128"/>
      <c r="I18" s="128"/>
      <c r="J18" s="128"/>
      <c r="K18" s="128"/>
      <c r="L18" s="128"/>
      <c r="M18" s="128"/>
      <c r="N18" s="128"/>
      <c r="O18" s="128"/>
      <c r="P18" s="128"/>
      <c r="Q18" s="128"/>
      <c r="R18" s="125"/>
      <c r="S18" s="125"/>
      <c r="T18" s="53"/>
      <c r="U18" s="154" t="s">
        <v>447</v>
      </c>
      <c r="V18" s="154" t="s">
        <v>81</v>
      </c>
      <c r="W18" s="129"/>
      <c r="X18" s="129"/>
      <c r="Y18" s="129"/>
      <c r="Z18" s="129"/>
      <c r="AA18" s="138" t="s">
        <v>446</v>
      </c>
      <c r="AB18" s="140" t="s">
        <v>439</v>
      </c>
      <c r="AC18" s="39"/>
    </row>
    <row r="19" spans="1:29" ht="15" customHeight="1" x14ac:dyDescent="0.25">
      <c r="B19" s="84" t="s">
        <v>0</v>
      </c>
      <c r="C19" s="75" t="s">
        <v>1</v>
      </c>
      <c r="D19" s="75" t="s">
        <v>9</v>
      </c>
      <c r="E19" s="76" t="s">
        <v>434</v>
      </c>
      <c r="F19" s="76" t="s">
        <v>1</v>
      </c>
      <c r="G19" s="76" t="s">
        <v>53</v>
      </c>
      <c r="H19" s="54" t="str">
        <f t="shared" ref="H19:I23" si="0">DEC2HEX(U19,2)</f>
        <v>01</v>
      </c>
      <c r="I19" s="54" t="str">
        <f t="shared" si="0"/>
        <v>01</v>
      </c>
      <c r="J19" s="54"/>
      <c r="K19" s="54"/>
      <c r="L19" s="54"/>
      <c r="M19" s="54"/>
      <c r="N19" s="54"/>
      <c r="O19" s="54"/>
      <c r="P19" s="54"/>
      <c r="Q19" s="54"/>
      <c r="R19" s="84" t="str">
        <f t="shared" ref="R19:R24" si="1">DEC2HEX(MOD(HEX2DEC(C19)+HEX2DEC(D19)+HEX2DEC(E19)+HEX2DEC(F19)+HEX2DEC(G19)+HEX2DEC(H19)+HEX2DEC(I19)+HEX2DEC(J19)+HEX2DEC(K19)+HEX2DEC(L19)+HEX2DEC(M19)+HEX2DEC(N19)+HEX2DEC(Q19),256),2)</f>
        <v>4B</v>
      </c>
      <c r="S19" s="84" t="s">
        <v>5</v>
      </c>
      <c r="T19" s="55" t="str">
        <f t="shared" ref="T19:T24" si="2">IF(ISBLANK(B19),,B19&amp;" ")&amp;IF(ISBLANK(C19),,C19&amp;" ")&amp;IF(ISBLANK(D19),,D19&amp;" ")&amp;IF(ISBLANK(E19),,E19&amp;" ")&amp;IF(ISBLANK(F19),,F19&amp;" ")&amp;IF(ISBLANK(G19),,G19&amp;" ")&amp;IF(ISBLANK(H19),,H19&amp;" ")&amp;IF(ISBLANK(I19),,I19&amp;" ")&amp;IF(ISBLANK(J19),,J19&amp;" ")&amp;IF(ISBLANK(K19),,K19&amp;" ")&amp;IF(ISBLANK(L19),,L19&amp;" ")&amp;IF(ISBLANK(M19),,M19&amp;" ")&amp;IF(ISBLANK(N19),,N19&amp;" ")&amp;IF(ISBLANK(Q19),,Q19&amp;" ")&amp;IF(ISBLANK(R19),,R19&amp;" ")&amp;IF(ISBLANK(S19),,S19)</f>
        <v>aa 00 05 24 00 20 01 01 4B 55</v>
      </c>
      <c r="U19" s="116">
        <v>1</v>
      </c>
      <c r="V19" s="115">
        <v>1</v>
      </c>
      <c r="W19" s="512" t="s">
        <v>617</v>
      </c>
      <c r="X19" s="512"/>
      <c r="Y19" s="512"/>
      <c r="Z19" s="512"/>
      <c r="AA19" s="166" t="s">
        <v>440</v>
      </c>
      <c r="AB19" s="166" t="s">
        <v>451</v>
      </c>
    </row>
    <row r="20" spans="1:29" ht="15" customHeight="1" x14ac:dyDescent="0.25">
      <c r="B20" s="84" t="s">
        <v>0</v>
      </c>
      <c r="C20" s="75" t="s">
        <v>1</v>
      </c>
      <c r="D20" s="75" t="s">
        <v>9</v>
      </c>
      <c r="E20" s="76" t="s">
        <v>434</v>
      </c>
      <c r="F20" s="76" t="s">
        <v>1</v>
      </c>
      <c r="G20" s="76" t="s">
        <v>53</v>
      </c>
      <c r="H20" s="54" t="str">
        <f t="shared" si="0"/>
        <v>02</v>
      </c>
      <c r="I20" s="54" t="str">
        <f t="shared" si="0"/>
        <v>01</v>
      </c>
      <c r="J20" s="54"/>
      <c r="K20" s="54"/>
      <c r="L20" s="54"/>
      <c r="M20" s="54"/>
      <c r="N20" s="54"/>
      <c r="O20" s="54"/>
      <c r="P20" s="54"/>
      <c r="Q20" s="54"/>
      <c r="R20" s="84" t="str">
        <f t="shared" si="1"/>
        <v>4C</v>
      </c>
      <c r="S20" s="84" t="s">
        <v>5</v>
      </c>
      <c r="T20" s="55" t="str">
        <f t="shared" si="2"/>
        <v>aa 00 05 24 00 20 02 01 4C 55</v>
      </c>
      <c r="U20" s="116">
        <v>2</v>
      </c>
      <c r="V20" s="115">
        <v>1</v>
      </c>
      <c r="W20" s="512"/>
      <c r="X20" s="512"/>
      <c r="Y20" s="512"/>
      <c r="Z20" s="512"/>
      <c r="AA20" s="167" t="s">
        <v>442</v>
      </c>
      <c r="AB20" s="167" t="s">
        <v>452</v>
      </c>
    </row>
    <row r="21" spans="1:29" ht="15" customHeight="1" x14ac:dyDescent="0.25">
      <c r="B21" s="84" t="s">
        <v>0</v>
      </c>
      <c r="C21" s="75" t="s">
        <v>1</v>
      </c>
      <c r="D21" s="75" t="s">
        <v>9</v>
      </c>
      <c r="E21" s="76" t="s">
        <v>434</v>
      </c>
      <c r="F21" s="76" t="s">
        <v>1</v>
      </c>
      <c r="G21" s="76" t="s">
        <v>53</v>
      </c>
      <c r="H21" s="54" t="str">
        <f t="shared" si="0"/>
        <v>04</v>
      </c>
      <c r="I21" s="54" t="str">
        <f t="shared" si="0"/>
        <v>01</v>
      </c>
      <c r="J21" s="54"/>
      <c r="K21" s="54"/>
      <c r="L21" s="54"/>
      <c r="M21" s="54"/>
      <c r="N21" s="54"/>
      <c r="O21" s="54"/>
      <c r="P21" s="54"/>
      <c r="Q21" s="54"/>
      <c r="R21" s="84" t="str">
        <f t="shared" si="1"/>
        <v>4E</v>
      </c>
      <c r="S21" s="84" t="s">
        <v>5</v>
      </c>
      <c r="T21" s="55" t="str">
        <f t="shared" si="2"/>
        <v>aa 00 05 24 00 20 04 01 4E 55</v>
      </c>
      <c r="U21" s="116">
        <v>4</v>
      </c>
      <c r="V21" s="115">
        <v>1</v>
      </c>
      <c r="W21" s="512"/>
      <c r="X21" s="512"/>
      <c r="Y21" s="512"/>
      <c r="Z21" s="512"/>
      <c r="AA21" s="167" t="s">
        <v>448</v>
      </c>
      <c r="AB21" s="167" t="s">
        <v>453</v>
      </c>
    </row>
    <row r="22" spans="1:29" ht="15" customHeight="1" x14ac:dyDescent="0.25">
      <c r="B22" s="84" t="s">
        <v>0</v>
      </c>
      <c r="C22" s="75" t="s">
        <v>1</v>
      </c>
      <c r="D22" s="75" t="s">
        <v>9</v>
      </c>
      <c r="E22" s="76" t="s">
        <v>434</v>
      </c>
      <c r="F22" s="76" t="s">
        <v>1</v>
      </c>
      <c r="G22" s="76" t="s">
        <v>53</v>
      </c>
      <c r="H22" s="54" t="str">
        <f t="shared" si="0"/>
        <v>08</v>
      </c>
      <c r="I22" s="54" t="str">
        <f t="shared" si="0"/>
        <v>01</v>
      </c>
      <c r="J22" s="54"/>
      <c r="K22" s="54"/>
      <c r="L22" s="54"/>
      <c r="M22" s="54"/>
      <c r="N22" s="54"/>
      <c r="O22" s="54"/>
      <c r="P22" s="54"/>
      <c r="Q22" s="54"/>
      <c r="R22" s="84" t="str">
        <f t="shared" si="1"/>
        <v>52</v>
      </c>
      <c r="S22" s="84" t="s">
        <v>5</v>
      </c>
      <c r="T22" s="55" t="str">
        <f t="shared" si="2"/>
        <v>aa 00 05 24 00 20 08 01 52 55</v>
      </c>
      <c r="U22" s="116">
        <v>8</v>
      </c>
      <c r="V22" s="115">
        <v>1</v>
      </c>
      <c r="W22" s="512"/>
      <c r="X22" s="512"/>
      <c r="Y22" s="512"/>
      <c r="Z22" s="512"/>
      <c r="AA22" s="167" t="s">
        <v>449</v>
      </c>
      <c r="AB22" s="167" t="s">
        <v>454</v>
      </c>
    </row>
    <row r="23" spans="1:29" ht="15" customHeight="1" x14ac:dyDescent="0.25">
      <c r="B23" s="84" t="s">
        <v>0</v>
      </c>
      <c r="C23" s="75" t="s">
        <v>1</v>
      </c>
      <c r="D23" s="75" t="s">
        <v>9</v>
      </c>
      <c r="E23" s="76" t="s">
        <v>434</v>
      </c>
      <c r="F23" s="76" t="s">
        <v>1</v>
      </c>
      <c r="G23" s="76" t="s">
        <v>53</v>
      </c>
      <c r="H23" s="54" t="str">
        <f t="shared" si="0"/>
        <v>10</v>
      </c>
      <c r="I23" s="54" t="str">
        <f t="shared" si="0"/>
        <v>01</v>
      </c>
      <c r="J23" s="54"/>
      <c r="K23" s="54"/>
      <c r="L23" s="54"/>
      <c r="M23" s="54"/>
      <c r="N23" s="54"/>
      <c r="O23" s="54"/>
      <c r="P23" s="54"/>
      <c r="Q23" s="54"/>
      <c r="R23" s="84" t="str">
        <f t="shared" si="1"/>
        <v>5A</v>
      </c>
      <c r="S23" s="84" t="s">
        <v>5</v>
      </c>
      <c r="T23" s="55" t="str">
        <f t="shared" si="2"/>
        <v>aa 00 05 24 00 20 10 01 5A 55</v>
      </c>
      <c r="U23" s="116">
        <v>16</v>
      </c>
      <c r="V23" s="115">
        <v>1</v>
      </c>
      <c r="W23" s="512"/>
      <c r="X23" s="512"/>
      <c r="Y23" s="512"/>
      <c r="Z23" s="512"/>
      <c r="AA23" s="167" t="s">
        <v>450</v>
      </c>
      <c r="AB23" s="167" t="s">
        <v>455</v>
      </c>
    </row>
    <row r="24" spans="1:29" ht="15" customHeight="1" x14ac:dyDescent="0.25">
      <c r="B24" s="84" t="s">
        <v>0</v>
      </c>
      <c r="C24" s="75" t="s">
        <v>1</v>
      </c>
      <c r="D24" s="75" t="s">
        <v>9</v>
      </c>
      <c r="E24" s="76" t="s">
        <v>434</v>
      </c>
      <c r="F24" s="76" t="s">
        <v>1</v>
      </c>
      <c r="G24" s="76" t="s">
        <v>53</v>
      </c>
      <c r="H24" s="242" t="s">
        <v>616</v>
      </c>
      <c r="I24" s="242" t="str">
        <f t="shared" ref="I24" si="3">DEC2HEX(V24,2)</f>
        <v>00</v>
      </c>
      <c r="J24" s="242"/>
      <c r="K24" s="242"/>
      <c r="L24" s="242"/>
      <c r="M24" s="242"/>
      <c r="N24" s="242"/>
      <c r="O24" s="242"/>
      <c r="P24" s="242"/>
      <c r="Q24" s="242"/>
      <c r="R24" s="84" t="str">
        <f t="shared" si="1"/>
        <v>58</v>
      </c>
      <c r="S24" s="84" t="s">
        <v>5</v>
      </c>
      <c r="T24" s="55" t="str">
        <f t="shared" si="2"/>
        <v>aa 00 05 24 00 20 0F 00 58 55</v>
      </c>
      <c r="U24" s="116"/>
      <c r="V24" s="115">
        <v>0</v>
      </c>
      <c r="W24" s="243"/>
      <c r="X24" s="243"/>
      <c r="Y24" s="243"/>
      <c r="Z24" s="243"/>
      <c r="AA24" s="244"/>
      <c r="AB24" s="244"/>
    </row>
    <row r="25" spans="1:29" ht="15" customHeight="1" x14ac:dyDescent="0.25"/>
    <row r="26" spans="1:29" ht="15" customHeight="1" x14ac:dyDescent="0.25"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 t="s">
        <v>467</v>
      </c>
      <c r="V26" s="153"/>
      <c r="W26" s="153"/>
      <c r="X26" s="153"/>
      <c r="Y26" s="153"/>
      <c r="Z26" s="153"/>
      <c r="AA26" s="137" t="s">
        <v>456</v>
      </c>
      <c r="AB26" s="139" t="s">
        <v>439</v>
      </c>
    </row>
    <row r="27" spans="1:29" ht="15" customHeight="1" x14ac:dyDescent="0.25">
      <c r="B27" s="84" t="s">
        <v>0</v>
      </c>
      <c r="C27" s="75" t="s">
        <v>1</v>
      </c>
      <c r="D27" s="75" t="s">
        <v>45</v>
      </c>
      <c r="E27" s="76" t="s">
        <v>434</v>
      </c>
      <c r="F27" s="76" t="s">
        <v>1</v>
      </c>
      <c r="G27" s="76" t="s">
        <v>3</v>
      </c>
      <c r="H27" s="54" t="str">
        <f>LEFT(U27,2)</f>
        <v>00</v>
      </c>
      <c r="I27" s="54" t="str">
        <f>RIGHT(LEFT(U27,4),2)</f>
        <v>00</v>
      </c>
      <c r="J27" s="54" t="str">
        <f>RIGHT(LEFT(U27,6),2)</f>
        <v>FF</v>
      </c>
      <c r="K27" s="54" t="str">
        <f>RIGHT(LEFT(U27,8),2)</f>
        <v>FF</v>
      </c>
      <c r="L27" s="54"/>
      <c r="M27" s="54"/>
      <c r="N27" s="54"/>
      <c r="O27" s="54"/>
      <c r="P27" s="54"/>
      <c r="Q27" s="54"/>
      <c r="R27" s="84" t="str">
        <f>DEC2HEX(MOD(HEX2DEC(C27)+HEX2DEC(D27)+HEX2DEC(E27)+HEX2DEC(F27)+HEX2DEC(G27)+HEX2DEC(H27)+HEX2DEC(I27)+HEX2DEC(J27)+HEX2DEC(K27)+HEX2DEC(L27)+HEX2DEC(M27)+HEX2DEC(N27)+HEX2DEC(Q27),256),2)</f>
        <v>4A</v>
      </c>
      <c r="S27" s="84" t="s">
        <v>5</v>
      </c>
      <c r="T27" s="55" t="str">
        <f>IF(ISBLANK(B27),,B27&amp;" ")&amp;IF(ISBLANK(C27),,C27&amp;" ")&amp;IF(ISBLANK(D27),,D27&amp;" ")&amp;IF(ISBLANK(E27),,E27&amp;" ")&amp;IF(ISBLANK(F27),,F27&amp;" ")&amp;IF(ISBLANK(G27),,G27&amp;" ")&amp;IF(ISBLANK(H27),,H27&amp;" ")&amp;IF(ISBLANK(I27),,I27&amp;" ")&amp;IF(ISBLANK(J27),,J27&amp;" ")&amp;IF(ISBLANK(K27),,K27&amp;" ")&amp;IF(ISBLANK(L27),,L27&amp;" ")&amp;IF(ISBLANK(M27),,M27&amp;" ")&amp;IF(ISBLANK(N27),,N27&amp;" ")&amp;IF(ISBLANK(Q27),,Q27&amp;" ")&amp;IF(ISBLANK(R27),,R27&amp;" ")&amp;IF(ISBLANK(S27),,S27)</f>
        <v>aa 00 07 24 00 21 00 00 FF FF 4A 55</v>
      </c>
      <c r="U27" s="77" t="s">
        <v>468</v>
      </c>
      <c r="V27" s="598" t="s">
        <v>469</v>
      </c>
      <c r="W27" s="598"/>
      <c r="X27" s="598"/>
      <c r="Y27" s="598"/>
      <c r="Z27" s="598"/>
      <c r="AA27" s="168" t="s">
        <v>457</v>
      </c>
      <c r="AB27" s="168" t="s">
        <v>462</v>
      </c>
    </row>
    <row r="28" spans="1:29" ht="15" customHeight="1" x14ac:dyDescent="0.25">
      <c r="AA28" s="168" t="s">
        <v>458</v>
      </c>
      <c r="AB28" s="168" t="s">
        <v>463</v>
      </c>
    </row>
    <row r="29" spans="1:29" ht="15" customHeight="1" x14ac:dyDescent="0.25">
      <c r="AA29" s="168" t="s">
        <v>459</v>
      </c>
      <c r="AB29" s="168" t="s">
        <v>464</v>
      </c>
    </row>
    <row r="30" spans="1:29" ht="15" customHeight="1" x14ac:dyDescent="0.25">
      <c r="AA30" s="168" t="s">
        <v>460</v>
      </c>
      <c r="AB30" s="168" t="s">
        <v>465</v>
      </c>
    </row>
    <row r="31" spans="1:29" ht="15" customHeight="1" x14ac:dyDescent="0.25">
      <c r="AA31" s="168" t="s">
        <v>461</v>
      </c>
      <c r="AB31" s="168" t="s">
        <v>466</v>
      </c>
    </row>
    <row r="32" spans="1:29" ht="15" customHeight="1" x14ac:dyDescent="0.25"/>
    <row r="33" spans="2:28" ht="15" customHeight="1" x14ac:dyDescent="0.25"/>
    <row r="34" spans="2:28" ht="30" customHeight="1" x14ac:dyDescent="0.25">
      <c r="B34" s="468" t="s">
        <v>470</v>
      </c>
      <c r="C34" s="469"/>
      <c r="D34" s="469"/>
      <c r="E34" s="469"/>
      <c r="F34" s="469"/>
      <c r="G34" s="469"/>
      <c r="H34" s="469"/>
      <c r="I34" s="469"/>
      <c r="J34" s="469"/>
      <c r="K34" s="469"/>
      <c r="L34" s="469"/>
      <c r="M34" s="469"/>
      <c r="N34" s="469"/>
      <c r="O34" s="469"/>
      <c r="P34" s="469"/>
      <c r="Q34" s="469"/>
      <c r="R34" s="469"/>
      <c r="S34" s="469"/>
      <c r="T34" s="469"/>
      <c r="U34" s="469"/>
      <c r="V34" s="469"/>
      <c r="W34" s="469"/>
      <c r="X34" s="469"/>
      <c r="Y34" s="469"/>
      <c r="Z34" s="469"/>
      <c r="AA34" s="469"/>
      <c r="AB34" s="470"/>
    </row>
    <row r="35" spans="2:28" ht="15" customHeight="1" x14ac:dyDescent="0.25">
      <c r="B35" s="388" t="s">
        <v>471</v>
      </c>
      <c r="C35" s="388"/>
      <c r="D35" s="388"/>
      <c r="E35" s="388"/>
      <c r="F35" s="388"/>
      <c r="G35" s="388"/>
      <c r="H35" s="388"/>
      <c r="I35" s="388"/>
      <c r="J35" s="388"/>
      <c r="K35" s="388"/>
      <c r="L35" s="388"/>
      <c r="M35" s="388"/>
      <c r="N35" s="388"/>
      <c r="O35" s="388"/>
      <c r="P35" s="388"/>
      <c r="Q35" s="388"/>
      <c r="R35" s="388"/>
      <c r="S35" s="388"/>
      <c r="T35" s="151" t="s">
        <v>472</v>
      </c>
      <c r="U35" s="389" t="s">
        <v>268</v>
      </c>
      <c r="V35" s="390"/>
      <c r="W35" s="390"/>
      <c r="X35" s="390"/>
      <c r="Y35" s="390"/>
      <c r="Z35" s="390"/>
      <c r="AA35" s="390"/>
      <c r="AB35" s="391"/>
    </row>
    <row r="36" spans="2:28" ht="15" customHeight="1" x14ac:dyDescent="0.25">
      <c r="B36" s="152" t="s">
        <v>10</v>
      </c>
      <c r="C36" s="404" t="s">
        <v>83</v>
      </c>
      <c r="D36" s="405"/>
      <c r="E36" s="405"/>
      <c r="F36" s="405"/>
      <c r="G36" s="405"/>
      <c r="H36" s="405"/>
      <c r="I36" s="405"/>
      <c r="J36" s="405"/>
      <c r="K36" s="405"/>
      <c r="L36" s="405"/>
      <c r="M36" s="405"/>
      <c r="N36" s="405"/>
      <c r="O36" s="405"/>
      <c r="P36" s="405"/>
      <c r="Q36" s="405"/>
      <c r="R36" s="405" t="s">
        <v>81</v>
      </c>
      <c r="S36" s="406"/>
      <c r="T36" s="51" t="s">
        <v>276</v>
      </c>
      <c r="U36" s="474" t="s">
        <v>473</v>
      </c>
      <c r="V36" s="475"/>
      <c r="W36" s="475"/>
      <c r="X36" s="475"/>
      <c r="Y36" s="475"/>
      <c r="Z36" s="475"/>
      <c r="AA36" s="475"/>
      <c r="AB36" s="476"/>
    </row>
    <row r="37" spans="2:28" ht="15" customHeight="1" x14ac:dyDescent="0.25">
      <c r="B37" s="42" t="s">
        <v>507</v>
      </c>
      <c r="C37" s="75" t="s">
        <v>508</v>
      </c>
      <c r="D37" s="75" t="s">
        <v>1</v>
      </c>
      <c r="E37" s="75" t="s">
        <v>1</v>
      </c>
      <c r="F37" s="75" t="s">
        <v>509</v>
      </c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84" t="str">
        <f>RIGHT(DEC2HEX(INT((-(HEX2DEC(B37)+HEX2DEC(C37)+HEX2DEC(D37)+HEX2DEC(E37)+HEX2DEC(F37)+HEX2DEC(G37)+HEX2DEC(H37)+HEX2DEC(I37)+HEX2DEC(J37)+HEX2DEC(K37)+HEX2DEC(L37)+HEX2DEC(M37)+HEX2DEC(N37)+HEX2DEC(O37)+HEX2DEC(P37)+HEX2DEC(Q37))/256))),2)</f>
        <v>FF</v>
      </c>
      <c r="S37" s="84" t="str">
        <f>DEC2HEX(MOD((-(HEX2DEC(B37)+HEX2DEC(C37)+HEX2DEC(D37)+HEX2DEC(E37)+HEX2DEC(F37)+HEX2DEC(G37)+HEX2DEC(H37)+HEX2DEC(I37)+HEX2DEC(J37)+HEX2DEC(K37)+HEX2DEC(L37)+HEX2DEC(M37)+HEX2DEC(N37)+HEX2DEC(O37)+HEX2DEC(P37)+HEX2DEC(Q37))),256),2)</f>
        <v>04</v>
      </c>
      <c r="T37" s="55" t="str">
        <f>IF(ISBLANK(B37),,B37&amp;" ")&amp;IF(ISBLANK(C37),,C37&amp;" ")&amp;IF(ISBLANK(D37),,D37&amp;" ")&amp;IF(ISBLANK(E37),,E37&amp;" ")&amp;IF(ISBLANK(F37),,F37&amp;" ")&amp;IF(ISBLANK(G37),,G37&amp;" ")&amp;IF(ISBLANK(H37),,H37&amp;" ")&amp;IF(ISBLANK(I37),,I37&amp;" ")&amp;IF(ISBLANK(J37),,J37&amp;" ")&amp;IF(ISBLANK(K37),,K37&amp;" ")&amp;IF(ISBLANK(L37),,L37&amp;" ")&amp;IF(ISBLANK(M37),,M37&amp;" ")&amp;IF(ISBLANK(N37),,N37&amp;" ")&amp;IF(ISBLANK(Q37),,Q37&amp;" ")&amp;IF(ISBLANK(R37),,R37&amp;" ")&amp;IF(ISBLANK(S37),,S37)</f>
        <v>05 F6 00 00 01 FF 04</v>
      </c>
      <c r="U37" s="477"/>
      <c r="V37" s="472"/>
      <c r="W37" s="472"/>
      <c r="X37" s="472"/>
      <c r="Y37" s="472"/>
      <c r="Z37" s="472"/>
      <c r="AA37" s="472"/>
      <c r="AB37" s="473"/>
    </row>
  </sheetData>
  <mergeCells count="21">
    <mergeCell ref="U37:AB37"/>
    <mergeCell ref="V14:Z16"/>
    <mergeCell ref="V13:Z13"/>
    <mergeCell ref="Y5:AB8"/>
    <mergeCell ref="V27:Z27"/>
    <mergeCell ref="B34:AB34"/>
    <mergeCell ref="B35:S35"/>
    <mergeCell ref="U35:AB35"/>
    <mergeCell ref="C36:Q36"/>
    <mergeCell ref="R36:S36"/>
    <mergeCell ref="U36:AB36"/>
    <mergeCell ref="W19:Z23"/>
    <mergeCell ref="U10:AB10"/>
    <mergeCell ref="U11:AB11"/>
    <mergeCell ref="U9:AB9"/>
    <mergeCell ref="B2:AB2"/>
    <mergeCell ref="B3:S3"/>
    <mergeCell ref="U3:X3"/>
    <mergeCell ref="Y3:AB3"/>
    <mergeCell ref="H4:Q4"/>
    <mergeCell ref="Y4:AB4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2:AA9"/>
  <sheetViews>
    <sheetView workbookViewId="0">
      <selection activeCell="S9" sqref="S9"/>
    </sheetView>
  </sheetViews>
  <sheetFormatPr defaultRowHeight="14.4" x14ac:dyDescent="0.25"/>
  <cols>
    <col min="1" max="18" width="3.6640625" customWidth="1"/>
    <col min="19" max="19" width="40.6640625" customWidth="1"/>
    <col min="20" max="20" width="6.88671875" customWidth="1"/>
    <col min="21" max="23" width="5.6640625" customWidth="1"/>
    <col min="24" max="27" width="10.6640625" customWidth="1"/>
  </cols>
  <sheetData>
    <row r="2" spans="1:27" ht="22.2" x14ac:dyDescent="0.25">
      <c r="A2" s="431" t="s">
        <v>794</v>
      </c>
      <c r="B2" s="513"/>
      <c r="C2" s="513"/>
      <c r="D2" s="513"/>
      <c r="E2" s="513"/>
      <c r="F2" s="513"/>
      <c r="G2" s="513"/>
      <c r="H2" s="513"/>
      <c r="I2" s="513"/>
      <c r="J2" s="513"/>
      <c r="K2" s="513"/>
      <c r="L2" s="513"/>
      <c r="M2" s="513"/>
      <c r="N2" s="513"/>
      <c r="O2" s="513"/>
      <c r="P2" s="513"/>
      <c r="Q2" s="513"/>
      <c r="R2" s="513"/>
      <c r="S2" s="513"/>
      <c r="T2" s="513"/>
      <c r="U2" s="513"/>
      <c r="V2" s="513"/>
      <c r="W2" s="513"/>
      <c r="X2" s="513"/>
      <c r="Y2" s="513"/>
      <c r="Z2" s="513"/>
      <c r="AA2" s="513"/>
    </row>
    <row r="3" spans="1:27" x14ac:dyDescent="0.25">
      <c r="A3" s="388" t="s">
        <v>275</v>
      </c>
      <c r="B3" s="388"/>
      <c r="C3" s="388"/>
      <c r="D3" s="388"/>
      <c r="E3" s="388"/>
      <c r="F3" s="388"/>
      <c r="G3" s="388"/>
      <c r="H3" s="388"/>
      <c r="I3" s="388"/>
      <c r="J3" s="388"/>
      <c r="K3" s="388"/>
      <c r="L3" s="388"/>
      <c r="M3" s="388"/>
      <c r="N3" s="388"/>
      <c r="O3" s="388"/>
      <c r="P3" s="388"/>
      <c r="Q3" s="388"/>
      <c r="R3" s="388"/>
      <c r="S3" s="321" t="s">
        <v>266</v>
      </c>
      <c r="T3" s="388" t="s">
        <v>267</v>
      </c>
      <c r="U3" s="388"/>
      <c r="V3" s="388"/>
      <c r="W3" s="388"/>
      <c r="X3" s="388" t="s">
        <v>268</v>
      </c>
      <c r="Y3" s="388"/>
      <c r="Z3" s="388"/>
      <c r="AA3" s="388"/>
    </row>
    <row r="4" spans="1:27" ht="16.8" x14ac:dyDescent="0.25">
      <c r="A4" s="86" t="s">
        <v>77</v>
      </c>
      <c r="B4" s="322" t="s">
        <v>78</v>
      </c>
      <c r="C4" s="322" t="s">
        <v>10</v>
      </c>
      <c r="D4" s="322" t="s">
        <v>79</v>
      </c>
      <c r="E4" s="322" t="s">
        <v>80</v>
      </c>
      <c r="F4" s="322" t="s">
        <v>11</v>
      </c>
      <c r="G4" s="424" t="s">
        <v>83</v>
      </c>
      <c r="H4" s="424"/>
      <c r="I4" s="424"/>
      <c r="J4" s="424"/>
      <c r="K4" s="424"/>
      <c r="L4" s="424"/>
      <c r="M4" s="424"/>
      <c r="N4" s="424"/>
      <c r="O4" s="424"/>
      <c r="P4" s="424"/>
      <c r="Q4" s="83" t="s">
        <v>81</v>
      </c>
      <c r="R4" s="83" t="s">
        <v>82</v>
      </c>
      <c r="S4" s="51" t="s">
        <v>276</v>
      </c>
      <c r="T4" s="45" t="s">
        <v>795</v>
      </c>
      <c r="U4" s="45" t="s">
        <v>796</v>
      </c>
      <c r="V4" s="45"/>
      <c r="W4" s="45"/>
      <c r="X4" s="435" t="s">
        <v>6</v>
      </c>
      <c r="Y4" s="435"/>
      <c r="Z4" s="435"/>
      <c r="AA4" s="435"/>
    </row>
    <row r="5" spans="1:27" x14ac:dyDescent="0.25">
      <c r="A5" s="84" t="s">
        <v>0</v>
      </c>
      <c r="B5" s="75" t="s">
        <v>1</v>
      </c>
      <c r="C5" s="75" t="str">
        <f>DEC2HEX( COUNTA(D5:P5),2)</f>
        <v>07</v>
      </c>
      <c r="D5" s="76" t="s">
        <v>381</v>
      </c>
      <c r="E5" s="76" t="s">
        <v>1</v>
      </c>
      <c r="F5" s="76" t="s">
        <v>28</v>
      </c>
      <c r="G5" s="3" t="str">
        <f>LEFT(RIGHT(DEC2HEX(T5,4),4),2)</f>
        <v>27</v>
      </c>
      <c r="H5" s="3" t="str">
        <f>LEFT(RIGHT(DEC2HEX(T5,4),2),2)</f>
        <v>10</v>
      </c>
      <c r="I5" s="3" t="str">
        <f>LEFT(RIGHT(DEC2HEX(U5,4),4),2)</f>
        <v>03</v>
      </c>
      <c r="J5" s="3" t="str">
        <f>LEFT(RIGHT(DEC2HEX(U5,4),2),2)</f>
        <v>E8</v>
      </c>
      <c r="K5" s="323"/>
      <c r="L5" s="323"/>
      <c r="M5" s="323"/>
      <c r="N5" s="323"/>
      <c r="O5" s="323"/>
      <c r="P5" s="323"/>
      <c r="Q5" s="84" t="str">
        <f>DEC2HEX(MOD(HEX2DEC(B5)+HEX2DEC(C5)+HEX2DEC(D5)+HEX2DEC(E5)+HEX2DEC(F5)+HEX2DEC(G5)+HEX2DEC(H5)+HEX2DEC(I5)+HEX2DEC(J5)+HEX2DEC(K5)+HEX2DEC(L5)+HEX2DEC(M5)+HEX2DEC(N5)+HEX2DEC(O5)+HEX2DEC(P5),256),2)</f>
        <v>9E</v>
      </c>
      <c r="R5" s="84" t="s">
        <v>5</v>
      </c>
      <c r="S5" s="55" t="str">
        <f>IF(ISBLANK(A5),,A5&amp;" ")&amp;IF(ISBLANK(B5),,B5&amp;" ")&amp;IF(ISBLANK(C5),,C5&amp;" ")&amp;IF(ISBLANK(D5),,D5&amp;" ")&amp;IF(ISBLANK(E5),,E5&amp;" ")&amp;IF(ISBLANK(F5),,F5&amp;" ")&amp;IF(ISBLANK(G5),,G5&amp;" ")&amp;IF(ISBLANK(H5),,H5&amp;" ")&amp;IF(ISBLANK(I5),,I5&amp;" ")&amp;IF(ISBLANK(J5),,J5&amp;" ")&amp;IF(ISBLANK(K5),,K5&amp;" ")&amp;IF(ISBLANK(L5),,L5&amp;" ")&amp;IF(ISBLANK(M5),,M5&amp;" ")&amp;IF(ISBLANK(N5),,N5&amp;" ")&amp;IF(ISBLANK(O5),,O5&amp;" ")&amp;IF(ISBLANK(P5),,P5&amp;" ")&amp;IF(ISBLANK(Q5),,Q5&amp;" ")&amp;IF(ISBLANK(R5),,R5)</f>
        <v>aa 00 07 64 00 11 27 10 03 E8 9E 55</v>
      </c>
      <c r="T5" s="116">
        <v>10000</v>
      </c>
      <c r="U5" s="116">
        <v>1000</v>
      </c>
      <c r="V5" s="116"/>
      <c r="W5" s="116"/>
      <c r="X5" s="492" t="s">
        <v>797</v>
      </c>
      <c r="Y5" s="492"/>
      <c r="Z5" s="492"/>
      <c r="AA5" s="492"/>
    </row>
    <row r="6" spans="1:27" x14ac:dyDescent="0.25">
      <c r="A6" s="84" t="s">
        <v>0</v>
      </c>
      <c r="B6" s="75" t="s">
        <v>1</v>
      </c>
      <c r="C6" s="75" t="str">
        <f t="shared" ref="C6:C9" si="0">DEC2HEX( COUNTA(D6:P6),2)</f>
        <v>07</v>
      </c>
      <c r="D6" s="76" t="s">
        <v>381</v>
      </c>
      <c r="E6" s="76" t="s">
        <v>14</v>
      </c>
      <c r="F6" s="76" t="s">
        <v>28</v>
      </c>
      <c r="G6" s="3" t="str">
        <f t="shared" ref="G6:G9" si="1">LEFT(RIGHT(DEC2HEX(T6,4),4),2)</f>
        <v>27</v>
      </c>
      <c r="H6" s="3" t="str">
        <f t="shared" ref="H6:H9" si="2">LEFT(RIGHT(DEC2HEX(T6,4),2),2)</f>
        <v>10</v>
      </c>
      <c r="I6" s="3" t="str">
        <f t="shared" ref="I6:I9" si="3">LEFT(RIGHT(DEC2HEX(U6,4),4),2)</f>
        <v>03</v>
      </c>
      <c r="J6" s="3" t="str">
        <f t="shared" ref="J6:J9" si="4">LEFT(RIGHT(DEC2HEX(U6,4),2),2)</f>
        <v>E8</v>
      </c>
      <c r="K6" s="323"/>
      <c r="L6" s="323"/>
      <c r="M6" s="323"/>
      <c r="N6" s="323"/>
      <c r="O6" s="323"/>
      <c r="P6" s="323"/>
      <c r="Q6" s="84" t="str">
        <f t="shared" ref="Q6:Q9" si="5">DEC2HEX(MOD(HEX2DEC(B6)+HEX2DEC(C6)+HEX2DEC(D6)+HEX2DEC(E6)+HEX2DEC(F6)+HEX2DEC(G6)+HEX2DEC(H6)+HEX2DEC(I6)+HEX2DEC(J6)+HEX2DEC(K6)+HEX2DEC(L6)+HEX2DEC(M6)+HEX2DEC(N6)+HEX2DEC(O6)+HEX2DEC(P6),256),2)</f>
        <v>9F</v>
      </c>
      <c r="R6" s="84" t="s">
        <v>5</v>
      </c>
      <c r="S6" s="55" t="str">
        <f t="shared" ref="S6:S9" si="6">IF(ISBLANK(A6),,A6&amp;" ")&amp;IF(ISBLANK(B6),,B6&amp;" ")&amp;IF(ISBLANK(C6),,C6&amp;" ")&amp;IF(ISBLANK(D6),,D6&amp;" ")&amp;IF(ISBLANK(E6),,E6&amp;" ")&amp;IF(ISBLANK(F6),,F6&amp;" ")&amp;IF(ISBLANK(G6),,G6&amp;" ")&amp;IF(ISBLANK(H6),,H6&amp;" ")&amp;IF(ISBLANK(I6),,I6&amp;" ")&amp;IF(ISBLANK(J6),,J6&amp;" ")&amp;IF(ISBLANK(K6),,K6&amp;" ")&amp;IF(ISBLANK(L6),,L6&amp;" ")&amp;IF(ISBLANK(M6),,M6&amp;" ")&amp;IF(ISBLANK(N6),,N6&amp;" ")&amp;IF(ISBLANK(O6),,O6&amp;" ")&amp;IF(ISBLANK(P6),,P6&amp;" ")&amp;IF(ISBLANK(Q6),,Q6&amp;" ")&amp;IF(ISBLANK(R6),,R6)</f>
        <v>aa 00 07 64 01 11 27 10 03 E8 9F 55</v>
      </c>
      <c r="T6" s="116">
        <v>10000</v>
      </c>
      <c r="U6" s="116">
        <v>1000</v>
      </c>
      <c r="V6" s="116"/>
      <c r="W6" s="116"/>
      <c r="X6" s="492" t="s">
        <v>797</v>
      </c>
      <c r="Y6" s="492"/>
      <c r="Z6" s="492"/>
      <c r="AA6" s="492"/>
    </row>
    <row r="7" spans="1:27" x14ac:dyDescent="0.25">
      <c r="A7" s="84" t="s">
        <v>0</v>
      </c>
      <c r="B7" s="75" t="s">
        <v>1</v>
      </c>
      <c r="C7" s="75" t="str">
        <f t="shared" si="0"/>
        <v>07</v>
      </c>
      <c r="D7" s="76" t="s">
        <v>381</v>
      </c>
      <c r="E7" s="76" t="s">
        <v>15</v>
      </c>
      <c r="F7" s="76" t="s">
        <v>28</v>
      </c>
      <c r="G7" s="3" t="str">
        <f t="shared" si="1"/>
        <v>27</v>
      </c>
      <c r="H7" s="3" t="str">
        <f t="shared" si="2"/>
        <v>10</v>
      </c>
      <c r="I7" s="3" t="str">
        <f t="shared" si="3"/>
        <v>03</v>
      </c>
      <c r="J7" s="3" t="str">
        <f t="shared" si="4"/>
        <v>E8</v>
      </c>
      <c r="K7" s="323"/>
      <c r="L7" s="323"/>
      <c r="M7" s="323"/>
      <c r="N7" s="323"/>
      <c r="O7" s="323"/>
      <c r="P7" s="323"/>
      <c r="Q7" s="84" t="str">
        <f t="shared" si="5"/>
        <v>A0</v>
      </c>
      <c r="R7" s="84" t="s">
        <v>5</v>
      </c>
      <c r="S7" s="55" t="str">
        <f t="shared" si="6"/>
        <v>aa 00 07 64 02 11 27 10 03 E8 A0 55</v>
      </c>
      <c r="T7" s="116">
        <v>10000</v>
      </c>
      <c r="U7" s="116">
        <v>1000</v>
      </c>
      <c r="V7" s="116"/>
      <c r="W7" s="116"/>
      <c r="X7" s="492" t="s">
        <v>797</v>
      </c>
      <c r="Y7" s="492"/>
      <c r="Z7" s="492"/>
      <c r="AA7" s="492"/>
    </row>
    <row r="8" spans="1:27" x14ac:dyDescent="0.25">
      <c r="A8" s="84" t="s">
        <v>0</v>
      </c>
      <c r="B8" s="75" t="s">
        <v>1</v>
      </c>
      <c r="C8" s="75" t="str">
        <f t="shared" si="0"/>
        <v>07</v>
      </c>
      <c r="D8" s="76" t="s">
        <v>381</v>
      </c>
      <c r="E8" s="76" t="s">
        <v>13</v>
      </c>
      <c r="F8" s="76" t="s">
        <v>28</v>
      </c>
      <c r="G8" s="3" t="str">
        <f t="shared" si="1"/>
        <v>27</v>
      </c>
      <c r="H8" s="3" t="str">
        <f t="shared" si="2"/>
        <v>10</v>
      </c>
      <c r="I8" s="3" t="str">
        <f t="shared" si="3"/>
        <v>03</v>
      </c>
      <c r="J8" s="3" t="str">
        <f t="shared" si="4"/>
        <v>E8</v>
      </c>
      <c r="K8" s="323"/>
      <c r="L8" s="323"/>
      <c r="M8" s="323"/>
      <c r="N8" s="323"/>
      <c r="O8" s="323"/>
      <c r="P8" s="323"/>
      <c r="Q8" s="84" t="str">
        <f t="shared" si="5"/>
        <v>A1</v>
      </c>
      <c r="R8" s="84" t="s">
        <v>5</v>
      </c>
      <c r="S8" s="55" t="str">
        <f t="shared" si="6"/>
        <v>aa 00 07 64 03 11 27 10 03 E8 A1 55</v>
      </c>
      <c r="T8" s="116">
        <v>10000</v>
      </c>
      <c r="U8" s="116">
        <v>1000</v>
      </c>
      <c r="V8" s="116"/>
      <c r="W8" s="116"/>
      <c r="X8" s="492" t="s">
        <v>797</v>
      </c>
      <c r="Y8" s="492"/>
      <c r="Z8" s="492"/>
      <c r="AA8" s="492"/>
    </row>
    <row r="9" spans="1:27" x14ac:dyDescent="0.25">
      <c r="A9" s="84" t="s">
        <v>0</v>
      </c>
      <c r="B9" s="75" t="s">
        <v>1</v>
      </c>
      <c r="C9" s="75" t="str">
        <f t="shared" si="0"/>
        <v>07</v>
      </c>
      <c r="D9" s="76" t="s">
        <v>381</v>
      </c>
      <c r="E9" s="76" t="s">
        <v>18</v>
      </c>
      <c r="F9" s="76" t="s">
        <v>28</v>
      </c>
      <c r="G9" s="3" t="str">
        <f t="shared" si="1"/>
        <v>27</v>
      </c>
      <c r="H9" s="3" t="str">
        <f t="shared" si="2"/>
        <v>10</v>
      </c>
      <c r="I9" s="3" t="str">
        <f t="shared" si="3"/>
        <v>03</v>
      </c>
      <c r="J9" s="3" t="str">
        <f t="shared" si="4"/>
        <v>E8</v>
      </c>
      <c r="K9" s="323"/>
      <c r="L9" s="323"/>
      <c r="M9" s="323"/>
      <c r="N9" s="323"/>
      <c r="O9" s="323"/>
      <c r="P9" s="323"/>
      <c r="Q9" s="84" t="str">
        <f t="shared" si="5"/>
        <v>A2</v>
      </c>
      <c r="R9" s="84" t="s">
        <v>5</v>
      </c>
      <c r="S9" s="55" t="str">
        <f t="shared" si="6"/>
        <v>aa 00 07 64 04 11 27 10 03 E8 A2 55</v>
      </c>
      <c r="T9" s="116">
        <v>10000</v>
      </c>
      <c r="U9" s="116">
        <v>1000</v>
      </c>
      <c r="V9" s="116"/>
      <c r="W9" s="116"/>
      <c r="X9" s="492" t="s">
        <v>797</v>
      </c>
      <c r="Y9" s="492"/>
      <c r="Z9" s="492"/>
      <c r="AA9" s="492"/>
    </row>
  </sheetData>
  <mergeCells count="11">
    <mergeCell ref="X6:AA6"/>
    <mergeCell ref="X7:AA7"/>
    <mergeCell ref="X8:AA8"/>
    <mergeCell ref="X9:AA9"/>
    <mergeCell ref="A2:AA2"/>
    <mergeCell ref="A3:R3"/>
    <mergeCell ref="T3:W3"/>
    <mergeCell ref="X3:AA3"/>
    <mergeCell ref="G4:P4"/>
    <mergeCell ref="X4:AA4"/>
    <mergeCell ref="X5:AA5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给QT读取的</vt:lpstr>
      <vt:lpstr>通用2</vt:lpstr>
      <vt:lpstr>通用</vt:lpstr>
      <vt:lpstr>试剂封闭</vt:lpstr>
      <vt:lpstr>采样</vt:lpstr>
      <vt:lpstr>自动进样</vt:lpstr>
      <vt:lpstr>其他</vt:lpstr>
      <vt:lpstr>电压</vt:lpstr>
      <vt:lpstr>温度</vt:lpstr>
      <vt:lpstr>从站</vt:lpstr>
      <vt:lpstr>时序</vt:lpstr>
      <vt:lpstr>压力</vt:lpstr>
      <vt:lpstr>泵阀</vt:lpstr>
      <vt:lpstr>试剂和开关</vt:lpstr>
      <vt:lpstr>灌注排空</vt:lpstr>
      <vt:lpstr>电机</vt:lpstr>
      <vt:lpstr>条码</vt:lpstr>
      <vt:lpstr>试剂有无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郑凯鹏</dc:creator>
  <cp:lastModifiedBy>zheng</cp:lastModifiedBy>
  <dcterms:created xsi:type="dcterms:W3CDTF">2006-09-13T11:21:51Z</dcterms:created>
  <dcterms:modified xsi:type="dcterms:W3CDTF">2019-06-03T02:11:55Z</dcterms:modified>
</cp:coreProperties>
</file>