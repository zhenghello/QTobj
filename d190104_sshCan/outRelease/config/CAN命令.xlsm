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oft\SHcan3.5.5\config\"/>
    </mc:Choice>
  </mc:AlternateContent>
  <xr:revisionPtr revIDLastSave="0" documentId="13_ncr:1_{D38D89D0-81B1-48FD-A9A5-53BD37A653E1}" xr6:coauthVersionLast="43" xr6:coauthVersionMax="43" xr10:uidLastSave="{00000000-0000-0000-0000-000000000000}"/>
  <bookViews>
    <workbookView xWindow="-108" yWindow="-108" windowWidth="23256" windowHeight="12576" tabRatio="875" xr2:uid="{00000000-000D-0000-FFFF-FFFF00000000}"/>
  </bookViews>
  <sheets>
    <sheet name="给QT读取的" sheetId="34" r:id="rId1"/>
    <sheet name="通用2" sheetId="35" r:id="rId2"/>
    <sheet name="通用" sheetId="6" r:id="rId3"/>
    <sheet name="试剂封闭" sheetId="30" r:id="rId4"/>
    <sheet name="其他" sheetId="32" r:id="rId5"/>
    <sheet name="电压11" sheetId="10" r:id="rId6"/>
    <sheet name="温度11" sheetId="13" r:id="rId7"/>
    <sheet name="从站11" sheetId="26" r:id="rId8"/>
    <sheet name="时序" sheetId="9" r:id="rId9"/>
    <sheet name="自动进样11" sheetId="27" r:id="rId10"/>
    <sheet name="压力11" sheetId="3" r:id="rId11"/>
    <sheet name="泵阀11" sheetId="16" r:id="rId12"/>
    <sheet name="试剂和开关11" sheetId="20" r:id="rId13"/>
    <sheet name="灌注排空" sheetId="22" r:id="rId14"/>
    <sheet name="电机11" sheetId="7" r:id="rId15"/>
    <sheet name="条码11" sheetId="24" r:id="rId16"/>
    <sheet name="试剂有无11用不了" sheetId="33" r:id="rId17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64" i="34" l="1"/>
  <c r="S64" i="34"/>
  <c r="T64" i="34"/>
  <c r="U64" i="34"/>
  <c r="V64" i="34"/>
  <c r="W64" i="34"/>
  <c r="R65" i="34"/>
  <c r="S65" i="34"/>
  <c r="T65" i="34"/>
  <c r="U65" i="34"/>
  <c r="V65" i="34"/>
  <c r="W65" i="34"/>
  <c r="W63" i="34"/>
  <c r="V63" i="34"/>
  <c r="R63" i="34"/>
  <c r="R47" i="34"/>
  <c r="S47" i="34"/>
  <c r="T47" i="34"/>
  <c r="U47" i="34"/>
  <c r="V47" i="34"/>
  <c r="W47" i="34"/>
  <c r="X47" i="34"/>
  <c r="Y47" i="34"/>
  <c r="R48" i="34"/>
  <c r="S48" i="34"/>
  <c r="T48" i="34"/>
  <c r="U48" i="34"/>
  <c r="V48" i="34"/>
  <c r="W48" i="34"/>
  <c r="X48" i="34"/>
  <c r="Y48" i="34"/>
  <c r="R49" i="34"/>
  <c r="S49" i="34"/>
  <c r="T49" i="34"/>
  <c r="U49" i="34"/>
  <c r="V49" i="34"/>
  <c r="W49" i="34"/>
  <c r="X49" i="34"/>
  <c r="Y49" i="34"/>
  <c r="W46" i="34"/>
  <c r="V46" i="34"/>
  <c r="U46" i="34"/>
  <c r="T46" i="34"/>
  <c r="S46" i="34"/>
  <c r="R46" i="34"/>
  <c r="S52" i="34"/>
  <c r="T52" i="34"/>
  <c r="U52" i="34"/>
  <c r="V52" i="34"/>
  <c r="W52" i="34"/>
  <c r="X52" i="34"/>
  <c r="S53" i="34"/>
  <c r="T53" i="34"/>
  <c r="U53" i="34"/>
  <c r="V53" i="34"/>
  <c r="W53" i="34"/>
  <c r="X53" i="34"/>
  <c r="S54" i="34"/>
  <c r="T54" i="34"/>
  <c r="U54" i="34"/>
  <c r="V54" i="34"/>
  <c r="W54" i="34"/>
  <c r="X54" i="34"/>
  <c r="S55" i="34"/>
  <c r="T55" i="34"/>
  <c r="U55" i="34"/>
  <c r="V55" i="34"/>
  <c r="W55" i="34"/>
  <c r="X55" i="34"/>
  <c r="X51" i="34"/>
  <c r="W51" i="34"/>
  <c r="V51" i="34"/>
  <c r="U51" i="34"/>
  <c r="T51" i="34"/>
  <c r="S51" i="34"/>
  <c r="K22" i="3"/>
  <c r="Y46" i="34"/>
  <c r="X46" i="34"/>
  <c r="C56" i="34"/>
  <c r="U63" i="34"/>
  <c r="T63" i="34"/>
  <c r="S63" i="34"/>
  <c r="U61" i="34"/>
  <c r="T61" i="34"/>
  <c r="S61" i="34"/>
  <c r="R61" i="34"/>
  <c r="U60" i="34"/>
  <c r="T60" i="34"/>
  <c r="S60" i="34"/>
  <c r="Z60" i="34" s="1"/>
  <c r="R60" i="34"/>
  <c r="U59" i="34"/>
  <c r="T59" i="34"/>
  <c r="S59" i="34"/>
  <c r="R59" i="34"/>
  <c r="U58" i="34"/>
  <c r="T58" i="34"/>
  <c r="S58" i="34"/>
  <c r="R58" i="34"/>
  <c r="Z63" i="34" l="1"/>
  <c r="C63" i="34" s="1"/>
  <c r="C60" i="34"/>
  <c r="Z58" i="34"/>
  <c r="C58" i="34" s="1"/>
  <c r="Z51" i="34"/>
  <c r="C51" i="34" s="1"/>
  <c r="Z53" i="34"/>
  <c r="C53" i="34" s="1"/>
  <c r="Z54" i="34"/>
  <c r="C54" i="34" s="1"/>
  <c r="Z59" i="34"/>
  <c r="C59" i="34" s="1"/>
  <c r="Z47" i="34"/>
  <c r="C47" i="34" s="1"/>
  <c r="Z48" i="34"/>
  <c r="C48" i="34" s="1"/>
  <c r="Z55" i="34"/>
  <c r="C55" i="34" s="1"/>
  <c r="Z52" i="34"/>
  <c r="C52" i="34" s="1"/>
  <c r="Z46" i="34"/>
  <c r="C46" i="34" s="1"/>
  <c r="Z49" i="34"/>
  <c r="C49" i="34" s="1"/>
  <c r="Z65" i="34"/>
  <c r="C65" i="34" s="1"/>
  <c r="Z64" i="34"/>
  <c r="C64" i="34" s="1"/>
  <c r="Z61" i="34"/>
  <c r="C61" i="34" s="1"/>
  <c r="L355" i="34"/>
  <c r="AB355" i="34" s="1"/>
  <c r="L354" i="34"/>
  <c r="AB354" i="34" s="1"/>
  <c r="C355" i="34" l="1"/>
  <c r="C354" i="34"/>
  <c r="L23" i="34"/>
  <c r="Z23" i="34" s="1"/>
  <c r="C23" i="34" l="1"/>
  <c r="C460" i="34"/>
  <c r="C464" i="34"/>
  <c r="C465" i="34"/>
  <c r="C469" i="34"/>
  <c r="C470" i="34"/>
  <c r="C477" i="34"/>
  <c r="C478" i="34"/>
  <c r="S479" i="34"/>
  <c r="R479" i="34"/>
  <c r="Q479" i="34"/>
  <c r="P479" i="34"/>
  <c r="Q476" i="34"/>
  <c r="Q475" i="34"/>
  <c r="P475" i="34"/>
  <c r="Q474" i="34"/>
  <c r="P474" i="34"/>
  <c r="Q473" i="34"/>
  <c r="P473" i="34"/>
  <c r="Q472" i="34"/>
  <c r="P472" i="34"/>
  <c r="Q471" i="34"/>
  <c r="P471" i="34"/>
  <c r="Z468" i="34"/>
  <c r="C468" i="34" s="1"/>
  <c r="Z467" i="34"/>
  <c r="C467" i="34" s="1"/>
  <c r="Z466" i="34"/>
  <c r="C466" i="34" s="1"/>
  <c r="Z463" i="34"/>
  <c r="C463" i="34" s="1"/>
  <c r="Z462" i="34"/>
  <c r="C462" i="34" s="1"/>
  <c r="Z461" i="34"/>
  <c r="C461" i="34" s="1"/>
  <c r="Z459" i="34"/>
  <c r="C459" i="34" s="1"/>
  <c r="L454" i="34"/>
  <c r="Z454" i="34" s="1"/>
  <c r="L453" i="34"/>
  <c r="Z453" i="34" s="1"/>
  <c r="L452" i="34"/>
  <c r="Z452" i="34" s="1"/>
  <c r="C345" i="34"/>
  <c r="C346" i="34"/>
  <c r="C352" i="34"/>
  <c r="C363" i="34"/>
  <c r="L353" i="34"/>
  <c r="AB353" i="34" s="1"/>
  <c r="C425" i="34"/>
  <c r="C426" i="34"/>
  <c r="C436" i="34"/>
  <c r="C443" i="34"/>
  <c r="C444" i="34"/>
  <c r="C412" i="34"/>
  <c r="C422" i="34"/>
  <c r="C423" i="34"/>
  <c r="L447" i="34"/>
  <c r="Z447" i="34" s="1"/>
  <c r="C447" i="34" s="1"/>
  <c r="L446" i="34"/>
  <c r="Z446" i="34" s="1"/>
  <c r="C446" i="34" s="1"/>
  <c r="V445" i="34"/>
  <c r="U445" i="34"/>
  <c r="T445" i="34"/>
  <c r="S445" i="34"/>
  <c r="R445" i="34"/>
  <c r="Q445" i="34"/>
  <c r="L442" i="34"/>
  <c r="Z442" i="34" s="1"/>
  <c r="L441" i="34"/>
  <c r="Z441" i="34" s="1"/>
  <c r="C441" i="34" s="1"/>
  <c r="L440" i="34"/>
  <c r="Z440" i="34" s="1"/>
  <c r="C440" i="34" s="1"/>
  <c r="L439" i="34"/>
  <c r="Z439" i="34" s="1"/>
  <c r="C439" i="34" s="1"/>
  <c r="L438" i="34"/>
  <c r="Z438" i="34" s="1"/>
  <c r="C438" i="34" s="1"/>
  <c r="L437" i="34"/>
  <c r="Z437" i="34" s="1"/>
  <c r="C437" i="34" s="1"/>
  <c r="L435" i="34"/>
  <c r="Z435" i="34" s="1"/>
  <c r="C435" i="34" s="1"/>
  <c r="L434" i="34"/>
  <c r="Z434" i="34" s="1"/>
  <c r="L433" i="34"/>
  <c r="Z433" i="34" s="1"/>
  <c r="C433" i="34" s="1"/>
  <c r="L432" i="34"/>
  <c r="Z432" i="34" s="1"/>
  <c r="C432" i="34" s="1"/>
  <c r="L431" i="34"/>
  <c r="Z431" i="34" s="1"/>
  <c r="C431" i="34" s="1"/>
  <c r="L430" i="34"/>
  <c r="Z430" i="34" s="1"/>
  <c r="C430" i="34" s="1"/>
  <c r="L429" i="34"/>
  <c r="Z429" i="34" s="1"/>
  <c r="C429" i="34" s="1"/>
  <c r="L428" i="34"/>
  <c r="Z428" i="34" s="1"/>
  <c r="C428" i="34" s="1"/>
  <c r="L427" i="34"/>
  <c r="Z427" i="34" s="1"/>
  <c r="C427" i="34" s="1"/>
  <c r="L424" i="34"/>
  <c r="Z424" i="34" s="1"/>
  <c r="C424" i="34" s="1"/>
  <c r="Z421" i="34"/>
  <c r="C421" i="34" s="1"/>
  <c r="Z420" i="34"/>
  <c r="C420" i="34" s="1"/>
  <c r="Z419" i="34"/>
  <c r="C419" i="34" s="1"/>
  <c r="Z418" i="34"/>
  <c r="C418" i="34" s="1"/>
  <c r="Z417" i="34"/>
  <c r="C417" i="34" s="1"/>
  <c r="Z416" i="34"/>
  <c r="C416" i="34" s="1"/>
  <c r="L415" i="34"/>
  <c r="Z415" i="34" s="1"/>
  <c r="C415" i="34" s="1"/>
  <c r="L414" i="34"/>
  <c r="Z414" i="34" s="1"/>
  <c r="C414" i="34" s="1"/>
  <c r="L413" i="34"/>
  <c r="Z413" i="34" s="1"/>
  <c r="C413" i="34" s="1"/>
  <c r="Z411" i="34"/>
  <c r="C411" i="34" s="1"/>
  <c r="Z410" i="34"/>
  <c r="C410" i="34" s="1"/>
  <c r="Z404" i="34"/>
  <c r="C404" i="34" s="1"/>
  <c r="Z403" i="34"/>
  <c r="C403" i="34" s="1"/>
  <c r="Z402" i="34"/>
  <c r="C402" i="34" s="1"/>
  <c r="Z479" i="34" l="1"/>
  <c r="C479" i="34" s="1"/>
  <c r="Z471" i="34"/>
  <c r="C471" i="34" s="1"/>
  <c r="C353" i="34"/>
  <c r="Z473" i="34"/>
  <c r="C473" i="34" s="1"/>
  <c r="Z475" i="34"/>
  <c r="C475" i="34" s="1"/>
  <c r="Z472" i="34"/>
  <c r="C472" i="34" s="1"/>
  <c r="Z476" i="34"/>
  <c r="C476" i="34" s="1"/>
  <c r="C454" i="34"/>
  <c r="Z474" i="34"/>
  <c r="C474" i="34" s="1"/>
  <c r="C453" i="34"/>
  <c r="C434" i="34"/>
  <c r="C452" i="34"/>
  <c r="C442" i="34"/>
  <c r="L445" i="34"/>
  <c r="Z445" i="34" s="1"/>
  <c r="C445" i="34" s="1"/>
  <c r="Z397" i="34"/>
  <c r="C397" i="34" s="1"/>
  <c r="Z396" i="34"/>
  <c r="C396" i="34" s="1"/>
  <c r="Z395" i="34"/>
  <c r="C395" i="34" s="1"/>
  <c r="Z394" i="34"/>
  <c r="C394" i="34" s="1"/>
  <c r="Z393" i="34"/>
  <c r="C393" i="34" s="1"/>
  <c r="Z392" i="34"/>
  <c r="C392" i="34" s="1"/>
  <c r="Z391" i="34"/>
  <c r="C391" i="34" s="1"/>
  <c r="Z390" i="34"/>
  <c r="C390" i="34" s="1"/>
  <c r="Z389" i="34"/>
  <c r="C389" i="34" s="1"/>
  <c r="Z388" i="34"/>
  <c r="C388" i="34" s="1"/>
  <c r="Z387" i="34"/>
  <c r="C387" i="34" s="1"/>
  <c r="Z383" i="34"/>
  <c r="C383" i="34" s="1"/>
  <c r="Z382" i="34"/>
  <c r="C382" i="34" s="1"/>
  <c r="Q381" i="34"/>
  <c r="P381" i="34"/>
  <c r="Z377" i="34"/>
  <c r="C377" i="34" s="1"/>
  <c r="Z376" i="34"/>
  <c r="C376" i="34" s="1"/>
  <c r="Q375" i="34"/>
  <c r="P375" i="34"/>
  <c r="C365" i="34"/>
  <c r="C366" i="34"/>
  <c r="C367" i="34"/>
  <c r="Z372" i="34"/>
  <c r="C372" i="34" s="1"/>
  <c r="Z371" i="34"/>
  <c r="C371" i="34" s="1"/>
  <c r="Q370" i="34"/>
  <c r="P370" i="34"/>
  <c r="AA364" i="34"/>
  <c r="Z364" i="34"/>
  <c r="Y364" i="34"/>
  <c r="X364" i="34"/>
  <c r="W364" i="34"/>
  <c r="V364" i="34"/>
  <c r="U364" i="34"/>
  <c r="T364" i="34"/>
  <c r="S364" i="34"/>
  <c r="R364" i="34"/>
  <c r="Q364" i="34"/>
  <c r="P364" i="34"/>
  <c r="Q362" i="34"/>
  <c r="P362" i="34"/>
  <c r="Q361" i="34"/>
  <c r="P361" i="34"/>
  <c r="Q360" i="34"/>
  <c r="P360" i="34"/>
  <c r="Q359" i="34"/>
  <c r="P359" i="34"/>
  <c r="Q358" i="34"/>
  <c r="P358" i="34"/>
  <c r="Q357" i="34"/>
  <c r="P357" i="34"/>
  <c r="Q356" i="34"/>
  <c r="P356" i="34"/>
  <c r="L351" i="34"/>
  <c r="L350" i="34"/>
  <c r="L349" i="34"/>
  <c r="L348" i="34"/>
  <c r="L347" i="34"/>
  <c r="L344" i="34"/>
  <c r="AB344" i="34" s="1"/>
  <c r="L343" i="34"/>
  <c r="L341" i="34"/>
  <c r="S335" i="34"/>
  <c r="R335" i="34"/>
  <c r="Q335" i="34"/>
  <c r="P335" i="34"/>
  <c r="S334" i="34"/>
  <c r="R334" i="34"/>
  <c r="Q334" i="34"/>
  <c r="P334" i="34"/>
  <c r="S333" i="34"/>
  <c r="R333" i="34"/>
  <c r="Q333" i="34"/>
  <c r="P333" i="34"/>
  <c r="S332" i="34"/>
  <c r="R332" i="34"/>
  <c r="Q332" i="34"/>
  <c r="P332" i="34"/>
  <c r="S331" i="34"/>
  <c r="R331" i="34"/>
  <c r="Q331" i="34"/>
  <c r="P331" i="34"/>
  <c r="P327" i="34"/>
  <c r="L327" i="34" s="1"/>
  <c r="Z327" i="34" s="1"/>
  <c r="P326" i="34"/>
  <c r="L326" i="34" s="1"/>
  <c r="Z326" i="34" s="1"/>
  <c r="P325" i="34"/>
  <c r="L325" i="34" s="1"/>
  <c r="Z325" i="34" s="1"/>
  <c r="P324" i="34"/>
  <c r="L324" i="34" s="1"/>
  <c r="Z324" i="34" s="1"/>
  <c r="P323" i="34"/>
  <c r="L323" i="34" s="1"/>
  <c r="Z323" i="34" s="1"/>
  <c r="P322" i="34"/>
  <c r="L322" i="34" s="1"/>
  <c r="Z322" i="34" s="1"/>
  <c r="P321" i="34"/>
  <c r="L321" i="34" s="1"/>
  <c r="Z321" i="34" s="1"/>
  <c r="P320" i="34"/>
  <c r="L320" i="34" s="1"/>
  <c r="Z320" i="34" s="1"/>
  <c r="P319" i="34"/>
  <c r="L319" i="34" s="1"/>
  <c r="Z319" i="34" s="1"/>
  <c r="P318" i="34"/>
  <c r="L318" i="34" s="1"/>
  <c r="Z318" i="34" s="1"/>
  <c r="N311" i="34"/>
  <c r="L311" i="34" s="1"/>
  <c r="Z311" i="34" s="1"/>
  <c r="N310" i="34"/>
  <c r="L310" i="34" s="1"/>
  <c r="Z310" i="34" s="1"/>
  <c r="N309" i="34"/>
  <c r="L309" i="34" s="1"/>
  <c r="Z309" i="34" s="1"/>
  <c r="N308" i="34"/>
  <c r="L308" i="34" s="1"/>
  <c r="Z308" i="34" s="1"/>
  <c r="N307" i="34"/>
  <c r="L307" i="34" s="1"/>
  <c r="Z307" i="34" s="1"/>
  <c r="N306" i="34"/>
  <c r="L306" i="34" s="1"/>
  <c r="Z306" i="34" s="1"/>
  <c r="N305" i="34"/>
  <c r="L305" i="34" s="1"/>
  <c r="Z305" i="34" s="1"/>
  <c r="N304" i="34"/>
  <c r="L304" i="34" s="1"/>
  <c r="Z304" i="34" s="1"/>
  <c r="N303" i="34"/>
  <c r="L303" i="34" s="1"/>
  <c r="Z303" i="34" s="1"/>
  <c r="N302" i="34"/>
  <c r="L302" i="34" s="1"/>
  <c r="Z302" i="34" s="1"/>
  <c r="AB350" i="34" l="1"/>
  <c r="C350" i="34" s="1"/>
  <c r="AB343" i="34"/>
  <c r="C343" i="34" s="1"/>
  <c r="AB349" i="34"/>
  <c r="C349" i="34" s="1"/>
  <c r="AB347" i="34"/>
  <c r="C347" i="34" s="1"/>
  <c r="AB351" i="34"/>
  <c r="C351" i="34" s="1"/>
  <c r="C344" i="34"/>
  <c r="AB341" i="34"/>
  <c r="C341" i="34" s="1"/>
  <c r="C308" i="34"/>
  <c r="C324" i="34"/>
  <c r="C321" i="34"/>
  <c r="C305" i="34"/>
  <c r="C304" i="34"/>
  <c r="C325" i="34"/>
  <c r="Z375" i="34"/>
  <c r="C375" i="34" s="1"/>
  <c r="C320" i="34"/>
  <c r="Z381" i="34"/>
  <c r="C381" i="34" s="1"/>
  <c r="Z370" i="34"/>
  <c r="C370" i="34" s="1"/>
  <c r="C311" i="34"/>
  <c r="C303" i="34"/>
  <c r="C307" i="34"/>
  <c r="C309" i="34"/>
  <c r="C319" i="34"/>
  <c r="C323" i="34"/>
  <c r="C327" i="34"/>
  <c r="AB348" i="34"/>
  <c r="C348" i="34" s="1"/>
  <c r="C302" i="34"/>
  <c r="C306" i="34"/>
  <c r="C310" i="34"/>
  <c r="C318" i="34"/>
  <c r="C322" i="34"/>
  <c r="C326" i="34"/>
  <c r="L364" i="34"/>
  <c r="L356" i="34"/>
  <c r="L360" i="34"/>
  <c r="L362" i="34"/>
  <c r="L358" i="34"/>
  <c r="L357" i="34"/>
  <c r="L359" i="34"/>
  <c r="L361" i="34"/>
  <c r="L331" i="34"/>
  <c r="L332" i="34"/>
  <c r="L333" i="34"/>
  <c r="L334" i="34"/>
  <c r="L335" i="34"/>
  <c r="L297" i="34"/>
  <c r="Z297" i="34" s="1"/>
  <c r="C297" i="34" s="1"/>
  <c r="L296" i="34"/>
  <c r="Z296" i="34" s="1"/>
  <c r="C296" i="34" s="1"/>
  <c r="L295" i="34"/>
  <c r="Z295" i="34" s="1"/>
  <c r="C295" i="34" s="1"/>
  <c r="U293" i="34"/>
  <c r="T293" i="34"/>
  <c r="S293" i="34"/>
  <c r="R293" i="34"/>
  <c r="Q293" i="34"/>
  <c r="P293" i="34"/>
  <c r="L291" i="34"/>
  <c r="Z291" i="34" s="1"/>
  <c r="C291" i="34" s="1"/>
  <c r="L289" i="34"/>
  <c r="Z289" i="34" s="1"/>
  <c r="C289" i="34" s="1"/>
  <c r="L288" i="34"/>
  <c r="Z288" i="34" s="1"/>
  <c r="C288" i="34" s="1"/>
  <c r="L287" i="34"/>
  <c r="Z287" i="34" s="1"/>
  <c r="C287" i="34" s="1"/>
  <c r="L286" i="34"/>
  <c r="Z286" i="34" s="1"/>
  <c r="C286" i="34" s="1"/>
  <c r="AB356" i="34" l="1"/>
  <c r="C356" i="34" s="1"/>
  <c r="AB360" i="34"/>
  <c r="C360" i="34" s="1"/>
  <c r="AB362" i="34"/>
  <c r="C362" i="34" s="1"/>
  <c r="AB358" i="34"/>
  <c r="C358" i="34" s="1"/>
  <c r="AB364" i="34"/>
  <c r="C364" i="34" s="1"/>
  <c r="Z333" i="34"/>
  <c r="C333" i="34" s="1"/>
  <c r="Z335" i="34"/>
  <c r="C335" i="34" s="1"/>
  <c r="Z332" i="34"/>
  <c r="C332" i="34" s="1"/>
  <c r="Z334" i="34"/>
  <c r="C334" i="34" s="1"/>
  <c r="AB357" i="34"/>
  <c r="C357" i="34" s="1"/>
  <c r="AB361" i="34"/>
  <c r="C361" i="34" s="1"/>
  <c r="AB359" i="34"/>
  <c r="C359" i="34" s="1"/>
  <c r="Z331" i="34"/>
  <c r="C331" i="34" s="1"/>
  <c r="L293" i="34"/>
  <c r="Z293" i="34" s="1"/>
  <c r="C293" i="34" s="1"/>
  <c r="Z277" i="34"/>
  <c r="C277" i="34" s="1"/>
  <c r="Z276" i="34"/>
  <c r="C276" i="34" s="1"/>
  <c r="Z275" i="34"/>
  <c r="C275" i="34" s="1"/>
  <c r="Z274" i="34"/>
  <c r="C274" i="34" s="1"/>
  <c r="Z273" i="34"/>
  <c r="C273" i="34" s="1"/>
  <c r="Z272" i="34"/>
  <c r="C272" i="34" s="1"/>
  <c r="Z271" i="34"/>
  <c r="C271" i="34" s="1"/>
  <c r="Z270" i="34"/>
  <c r="C270" i="34" s="1"/>
  <c r="R94" i="34"/>
  <c r="Q94" i="34"/>
  <c r="L94" i="34" l="1"/>
  <c r="Z94" i="34" s="1"/>
  <c r="C94" i="34" s="1"/>
  <c r="Z266" i="34"/>
  <c r="C266" i="34" s="1"/>
  <c r="Z265" i="34"/>
  <c r="C265" i="34" s="1"/>
  <c r="Z264" i="34"/>
  <c r="C264" i="34" s="1"/>
  <c r="Z263" i="34"/>
  <c r="C263" i="34" s="1"/>
  <c r="Z262" i="34"/>
  <c r="C262" i="34" s="1"/>
  <c r="Z261" i="34"/>
  <c r="C261" i="34" s="1"/>
  <c r="Z260" i="34"/>
  <c r="C260" i="34" s="1"/>
  <c r="Z259" i="34"/>
  <c r="C259" i="34" s="1"/>
  <c r="Z258" i="34"/>
  <c r="C258" i="34" s="1"/>
  <c r="Z256" i="34"/>
  <c r="C256" i="34" s="1"/>
  <c r="Z255" i="34"/>
  <c r="C255" i="34" s="1"/>
  <c r="Z254" i="34"/>
  <c r="C254" i="34" s="1"/>
  <c r="Z253" i="34"/>
  <c r="C253" i="34" s="1"/>
  <c r="Z252" i="34"/>
  <c r="C252" i="34" s="1"/>
  <c r="Z251" i="34"/>
  <c r="C251" i="34" s="1"/>
  <c r="Z250" i="34"/>
  <c r="C250" i="34" s="1"/>
  <c r="Z249" i="34"/>
  <c r="C249" i="34" s="1"/>
  <c r="Z248" i="34"/>
  <c r="C248" i="34" s="1"/>
  <c r="Z247" i="34"/>
  <c r="C247" i="34" s="1"/>
  <c r="Z246" i="34"/>
  <c r="C246" i="34" s="1"/>
  <c r="Z245" i="34"/>
  <c r="C245" i="34" s="1"/>
  <c r="Z244" i="34"/>
  <c r="C244" i="34" s="1"/>
  <c r="Z243" i="34"/>
  <c r="C243" i="34" s="1"/>
  <c r="Z242" i="34"/>
  <c r="C242" i="34" s="1"/>
  <c r="Z241" i="34"/>
  <c r="C241" i="34" s="1"/>
  <c r="Z240" i="34"/>
  <c r="C240" i="34" s="1"/>
  <c r="Z239" i="34"/>
  <c r="C239" i="34" s="1"/>
  <c r="Z238" i="34"/>
  <c r="C238" i="34" s="1"/>
  <c r="Z237" i="34"/>
  <c r="C237" i="34" s="1"/>
  <c r="Z235" i="34"/>
  <c r="C235" i="34" s="1"/>
  <c r="Z234" i="34"/>
  <c r="C234" i="34" s="1"/>
  <c r="Z233" i="34"/>
  <c r="C233" i="34" s="1"/>
  <c r="Z232" i="34"/>
  <c r="C232" i="34" s="1"/>
  <c r="Z231" i="34"/>
  <c r="C231" i="34" s="1"/>
  <c r="Z230" i="34"/>
  <c r="C230" i="34" s="1"/>
  <c r="Z229" i="34"/>
  <c r="C229" i="34" s="1"/>
  <c r="Z228" i="34"/>
  <c r="C228" i="34" s="1"/>
  <c r="Z227" i="34"/>
  <c r="C227" i="34" s="1"/>
  <c r="Z226" i="34"/>
  <c r="C226" i="34" s="1"/>
  <c r="Z225" i="34"/>
  <c r="C225" i="34" s="1"/>
  <c r="Z224" i="34"/>
  <c r="C224" i="34" s="1"/>
  <c r="Z223" i="34"/>
  <c r="C223" i="34" s="1"/>
  <c r="Z222" i="34"/>
  <c r="C222" i="34" s="1"/>
  <c r="Z221" i="34"/>
  <c r="C221" i="34" s="1"/>
  <c r="Z220" i="34"/>
  <c r="C220" i="34" s="1"/>
  <c r="Z219" i="34"/>
  <c r="C219" i="34" s="1"/>
  <c r="Z218" i="34"/>
  <c r="C218" i="34" s="1"/>
  <c r="Z217" i="34"/>
  <c r="C217" i="34" s="1"/>
  <c r="Z216" i="34"/>
  <c r="C216" i="34" s="1"/>
  <c r="Z215" i="34"/>
  <c r="C215" i="34" s="1"/>
  <c r="Z214" i="34"/>
  <c r="C214" i="34" s="1"/>
  <c r="Z213" i="34"/>
  <c r="C213" i="34" s="1"/>
  <c r="Z212" i="34"/>
  <c r="C212" i="34" s="1"/>
  <c r="Z211" i="34"/>
  <c r="C211" i="34" s="1"/>
  <c r="Z210" i="34"/>
  <c r="C210" i="34" s="1"/>
  <c r="Z209" i="34"/>
  <c r="C209" i="34" s="1"/>
  <c r="Z208" i="34"/>
  <c r="C208" i="34" s="1"/>
  <c r="Z207" i="34"/>
  <c r="C207" i="34" s="1"/>
  <c r="Z206" i="34"/>
  <c r="C206" i="34" s="1"/>
  <c r="Z205" i="34"/>
  <c r="C205" i="34" s="1"/>
  <c r="Z204" i="34"/>
  <c r="C204" i="34" s="1"/>
  <c r="Z203" i="34"/>
  <c r="C203" i="34" s="1"/>
  <c r="Z202" i="34"/>
  <c r="C202" i="34" s="1"/>
  <c r="Z201" i="34"/>
  <c r="C201" i="34" s="1"/>
  <c r="Z200" i="34"/>
  <c r="C200" i="34" s="1"/>
  <c r="Z199" i="34"/>
  <c r="C199" i="34" s="1"/>
  <c r="Z198" i="34"/>
  <c r="C198" i="34" s="1"/>
  <c r="Z197" i="34"/>
  <c r="C197" i="34" s="1"/>
  <c r="Z196" i="34"/>
  <c r="C196" i="34" s="1"/>
  <c r="Z195" i="34"/>
  <c r="C195" i="34" s="1"/>
  <c r="Z194" i="34"/>
  <c r="C194" i="34" s="1"/>
  <c r="Z193" i="34"/>
  <c r="C193" i="34" s="1"/>
  <c r="Z191" i="34"/>
  <c r="C191" i="34" s="1"/>
  <c r="Z190" i="34"/>
  <c r="C190" i="34" s="1"/>
  <c r="L173" i="34" l="1"/>
  <c r="Z173" i="34" s="1"/>
  <c r="L174" i="34"/>
  <c r="L175" i="34"/>
  <c r="Z175" i="34" s="1"/>
  <c r="L176" i="34"/>
  <c r="Z176" i="34" s="1"/>
  <c r="L177" i="34"/>
  <c r="Z177" i="34" s="1"/>
  <c r="C177" i="34" s="1"/>
  <c r="L178" i="34"/>
  <c r="Z178" i="34" s="1"/>
  <c r="L179" i="34"/>
  <c r="L180" i="34"/>
  <c r="Z180" i="34" s="1"/>
  <c r="L181" i="34"/>
  <c r="Z181" i="34" s="1"/>
  <c r="L182" i="34"/>
  <c r="Z182" i="34" s="1"/>
  <c r="L183" i="34"/>
  <c r="Z183" i="34" s="1"/>
  <c r="L184" i="34"/>
  <c r="Z184" i="34" s="1"/>
  <c r="L185" i="34"/>
  <c r="Z185" i="34" s="1"/>
  <c r="L186" i="34"/>
  <c r="Z186" i="34" s="1"/>
  <c r="S162" i="34"/>
  <c r="T155" i="34"/>
  <c r="U155" i="34"/>
  <c r="T156" i="34"/>
  <c r="U156" i="34"/>
  <c r="T157" i="34"/>
  <c r="U157" i="34"/>
  <c r="T158" i="34"/>
  <c r="U158" i="34"/>
  <c r="T159" i="34"/>
  <c r="U159" i="34"/>
  <c r="U154" i="34"/>
  <c r="T154" i="34"/>
  <c r="T143" i="34"/>
  <c r="U143" i="34"/>
  <c r="T144" i="34"/>
  <c r="U144" i="34"/>
  <c r="T145" i="34"/>
  <c r="U145" i="34"/>
  <c r="T146" i="34"/>
  <c r="U146" i="34"/>
  <c r="T147" i="34"/>
  <c r="U147" i="34"/>
  <c r="T148" i="34"/>
  <c r="U148" i="34"/>
  <c r="T149" i="34"/>
  <c r="U149" i="34"/>
  <c r="T150" i="34"/>
  <c r="U150" i="34"/>
  <c r="T151" i="34"/>
  <c r="U151" i="34"/>
  <c r="U142" i="34"/>
  <c r="T142" i="34"/>
  <c r="U141" i="34"/>
  <c r="T141" i="34"/>
  <c r="T139" i="34"/>
  <c r="U139" i="34"/>
  <c r="U138" i="34"/>
  <c r="T138" i="34"/>
  <c r="S155" i="34"/>
  <c r="S156" i="34"/>
  <c r="S157" i="34"/>
  <c r="S158" i="34"/>
  <c r="S159" i="34"/>
  <c r="S154" i="34"/>
  <c r="S143" i="34"/>
  <c r="S144" i="34"/>
  <c r="S145" i="34"/>
  <c r="S146" i="34"/>
  <c r="S147" i="34"/>
  <c r="S148" i="34"/>
  <c r="S149" i="34"/>
  <c r="S150" i="34"/>
  <c r="S151" i="34"/>
  <c r="S142" i="34"/>
  <c r="S141" i="34"/>
  <c r="S139" i="34"/>
  <c r="S138" i="34"/>
  <c r="C152" i="34"/>
  <c r="C153" i="34"/>
  <c r="X162" i="34"/>
  <c r="W162" i="34"/>
  <c r="V162" i="34"/>
  <c r="U162" i="34"/>
  <c r="T162" i="34"/>
  <c r="U136" i="34"/>
  <c r="P136" i="34"/>
  <c r="C180" i="34" l="1"/>
  <c r="C178" i="34"/>
  <c r="C173" i="34"/>
  <c r="Z179" i="34"/>
  <c r="C179" i="34" s="1"/>
  <c r="C186" i="34"/>
  <c r="C185" i="34"/>
  <c r="C184" i="34"/>
  <c r="C183" i="34"/>
  <c r="C182" i="34"/>
  <c r="C181" i="34"/>
  <c r="Z174" i="34"/>
  <c r="C174" i="34" s="1"/>
  <c r="C176" i="34"/>
  <c r="C175" i="34"/>
  <c r="L145" i="34"/>
  <c r="Z145" i="34" s="1"/>
  <c r="L158" i="34"/>
  <c r="Z158" i="34" s="1"/>
  <c r="L149" i="34"/>
  <c r="Z149" i="34" s="1"/>
  <c r="C149" i="34" s="1"/>
  <c r="L136" i="34"/>
  <c r="Z136" i="34" s="1"/>
  <c r="L142" i="34"/>
  <c r="Z142" i="34" s="1"/>
  <c r="L157" i="34"/>
  <c r="L150" i="34"/>
  <c r="L159" i="34"/>
  <c r="L154" i="34"/>
  <c r="L148" i="34"/>
  <c r="L143" i="34"/>
  <c r="L147" i="34"/>
  <c r="L151" i="34"/>
  <c r="L144" i="34"/>
  <c r="L155" i="34"/>
  <c r="L138" i="34"/>
  <c r="L146" i="34"/>
  <c r="L139" i="34"/>
  <c r="L156" i="34"/>
  <c r="L162" i="34"/>
  <c r="L141" i="34"/>
  <c r="Z44" i="34"/>
  <c r="Z43" i="34"/>
  <c r="Z42" i="34"/>
  <c r="Z41" i="34"/>
  <c r="Z33" i="34"/>
  <c r="C33" i="34" s="1"/>
  <c r="Z32" i="34"/>
  <c r="C32" i="34" s="1"/>
  <c r="Z31" i="34"/>
  <c r="C31" i="34" s="1"/>
  <c r="C145" i="34" l="1"/>
  <c r="C158" i="34"/>
  <c r="C136" i="34"/>
  <c r="Z162" i="34"/>
  <c r="C162" i="34" s="1"/>
  <c r="C142" i="34"/>
  <c r="Z148" i="34"/>
  <c r="C148" i="34" s="1"/>
  <c r="Z154" i="34"/>
  <c r="C154" i="34" s="1"/>
  <c r="Z159" i="34"/>
  <c r="C159" i="34" s="1"/>
  <c r="Z155" i="34"/>
  <c r="C155" i="34" s="1"/>
  <c r="Z144" i="34"/>
  <c r="C144" i="34" s="1"/>
  <c r="Z143" i="34"/>
  <c r="C143" i="34" s="1"/>
  <c r="Z141" i="34"/>
  <c r="C141" i="34" s="1"/>
  <c r="Z156" i="34"/>
  <c r="C156" i="34" s="1"/>
  <c r="Z139" i="34"/>
  <c r="C139" i="34" s="1"/>
  <c r="Z150" i="34"/>
  <c r="C150" i="34" s="1"/>
  <c r="Z146" i="34"/>
  <c r="C146" i="34" s="1"/>
  <c r="Z157" i="34"/>
  <c r="C157" i="34" s="1"/>
  <c r="Z147" i="34"/>
  <c r="C147" i="34" s="1"/>
  <c r="Z138" i="34"/>
  <c r="C138" i="34" s="1"/>
  <c r="Z151" i="34"/>
  <c r="C151" i="34" s="1"/>
  <c r="U167" i="34"/>
  <c r="T167" i="34"/>
  <c r="S167" i="34"/>
  <c r="R167" i="34"/>
  <c r="Q167" i="34"/>
  <c r="P167" i="34"/>
  <c r="U166" i="34"/>
  <c r="T166" i="34"/>
  <c r="S166" i="34"/>
  <c r="R166" i="34"/>
  <c r="Q166" i="34"/>
  <c r="P166" i="34"/>
  <c r="Z166" i="34" l="1"/>
  <c r="C166" i="34" s="1"/>
  <c r="Z167" i="34"/>
  <c r="C167" i="34" s="1"/>
  <c r="U132" i="34"/>
  <c r="T132" i="34"/>
  <c r="U131" i="34"/>
  <c r="T131" i="34"/>
  <c r="U130" i="34"/>
  <c r="T130" i="34"/>
  <c r="U129" i="34"/>
  <c r="T129" i="34"/>
  <c r="U128" i="34"/>
  <c r="T128" i="34"/>
  <c r="U127" i="34"/>
  <c r="T127" i="34"/>
  <c r="U126" i="34"/>
  <c r="T126" i="34"/>
  <c r="U123" i="34"/>
  <c r="T123" i="34"/>
  <c r="U122" i="34"/>
  <c r="T122" i="34"/>
  <c r="U121" i="34"/>
  <c r="T121" i="34"/>
  <c r="U120" i="34"/>
  <c r="T120" i="34"/>
  <c r="U119" i="34"/>
  <c r="T119" i="34"/>
  <c r="U118" i="34"/>
  <c r="T118" i="34"/>
  <c r="U117" i="34"/>
  <c r="T117" i="34"/>
  <c r="U116" i="34"/>
  <c r="T116" i="34"/>
  <c r="U115" i="34"/>
  <c r="T115" i="34"/>
  <c r="U114" i="34"/>
  <c r="T114" i="34"/>
  <c r="U113" i="34"/>
  <c r="T113" i="34"/>
  <c r="U112" i="34"/>
  <c r="T112" i="34"/>
  <c r="U109" i="34"/>
  <c r="T109" i="34"/>
  <c r="Q109" i="34"/>
  <c r="P109" i="34"/>
  <c r="U108" i="34"/>
  <c r="T108" i="34"/>
  <c r="Q108" i="34"/>
  <c r="P108" i="34"/>
  <c r="U107" i="34"/>
  <c r="T107" i="34"/>
  <c r="Q107" i="34"/>
  <c r="P107" i="34"/>
  <c r="U106" i="34"/>
  <c r="T106" i="34"/>
  <c r="Q106" i="34"/>
  <c r="P106" i="34"/>
  <c r="U105" i="34"/>
  <c r="T105" i="34"/>
  <c r="Q105" i="34"/>
  <c r="P105" i="34"/>
  <c r="U104" i="34"/>
  <c r="T104" i="34"/>
  <c r="Q104" i="34"/>
  <c r="P104" i="34"/>
  <c r="P98" i="34"/>
  <c r="P99" i="34"/>
  <c r="P100" i="34"/>
  <c r="P101" i="34"/>
  <c r="P102" i="34"/>
  <c r="U102" i="34"/>
  <c r="T102" i="34"/>
  <c r="Q102" i="34"/>
  <c r="U101" i="34"/>
  <c r="T101" i="34"/>
  <c r="Q101" i="34"/>
  <c r="U100" i="34"/>
  <c r="T100" i="34"/>
  <c r="Q100" i="34"/>
  <c r="U99" i="34"/>
  <c r="T99" i="34"/>
  <c r="Q99" i="34"/>
  <c r="U98" i="34"/>
  <c r="T98" i="34"/>
  <c r="Q98" i="34"/>
  <c r="U97" i="34"/>
  <c r="T97" i="34"/>
  <c r="Q97" i="34"/>
  <c r="P97" i="34"/>
  <c r="L114" i="34" l="1"/>
  <c r="Z114" i="34" s="1"/>
  <c r="C114" i="34" s="1"/>
  <c r="L120" i="34"/>
  <c r="Z120" i="34" s="1"/>
  <c r="L128" i="34"/>
  <c r="Z128" i="34" s="1"/>
  <c r="C128" i="34" s="1"/>
  <c r="L123" i="34"/>
  <c r="Z123" i="34" s="1"/>
  <c r="C123" i="34" s="1"/>
  <c r="L131" i="34"/>
  <c r="Z131" i="34" s="1"/>
  <c r="C131" i="34" s="1"/>
  <c r="L113" i="34"/>
  <c r="Z113" i="34" s="1"/>
  <c r="L121" i="34"/>
  <c r="Z121" i="34" s="1"/>
  <c r="C121" i="34" s="1"/>
  <c r="L129" i="34"/>
  <c r="L118" i="34"/>
  <c r="Z118" i="34" s="1"/>
  <c r="C118" i="34" s="1"/>
  <c r="L132" i="34"/>
  <c r="L122" i="34"/>
  <c r="Z122" i="34" s="1"/>
  <c r="C122" i="34" s="1"/>
  <c r="L130" i="34"/>
  <c r="L116" i="34"/>
  <c r="Z116" i="34" s="1"/>
  <c r="L119" i="34"/>
  <c r="Z119" i="34" s="1"/>
  <c r="C119" i="34" s="1"/>
  <c r="L127" i="34"/>
  <c r="L106" i="34"/>
  <c r="Z106" i="34" s="1"/>
  <c r="L109" i="34"/>
  <c r="L112" i="34"/>
  <c r="L126" i="34"/>
  <c r="L115" i="34"/>
  <c r="L117" i="34"/>
  <c r="L104" i="34"/>
  <c r="Z104" i="34" s="1"/>
  <c r="L107" i="34"/>
  <c r="L108" i="34"/>
  <c r="L105" i="34"/>
  <c r="L102" i="34"/>
  <c r="L101" i="34"/>
  <c r="L98" i="34"/>
  <c r="L99" i="34"/>
  <c r="L97" i="34"/>
  <c r="L100" i="34"/>
  <c r="C113" i="34" l="1"/>
  <c r="C120" i="34"/>
  <c r="Z129" i="34"/>
  <c r="C129" i="34" s="1"/>
  <c r="Z127" i="34"/>
  <c r="C127" i="34" s="1"/>
  <c r="Z130" i="34"/>
  <c r="C130" i="34" s="1"/>
  <c r="Z132" i="34"/>
  <c r="C132" i="34" s="1"/>
  <c r="C116" i="34"/>
  <c r="Z109" i="34"/>
  <c r="C109" i="34" s="1"/>
  <c r="C106" i="34"/>
  <c r="Z97" i="34"/>
  <c r="C97" i="34" s="1"/>
  <c r="Z99" i="34"/>
  <c r="C99" i="34" s="1"/>
  <c r="Z100" i="34"/>
  <c r="C100" i="34" s="1"/>
  <c r="Z98" i="34"/>
  <c r="C98" i="34" s="1"/>
  <c r="Z105" i="34"/>
  <c r="C105" i="34" s="1"/>
  <c r="Z108" i="34"/>
  <c r="C108" i="34" s="1"/>
  <c r="Z117" i="34"/>
  <c r="C117" i="34" s="1"/>
  <c r="Z112" i="34"/>
  <c r="C112" i="34" s="1"/>
  <c r="Z115" i="34"/>
  <c r="C115" i="34" s="1"/>
  <c r="Z101" i="34"/>
  <c r="C101" i="34" s="1"/>
  <c r="Z102" i="34"/>
  <c r="C102" i="34" s="1"/>
  <c r="Z107" i="34"/>
  <c r="C107" i="34" s="1"/>
  <c r="Z126" i="34"/>
  <c r="C126" i="34" s="1"/>
  <c r="R93" i="34" l="1"/>
  <c r="Q93" i="34"/>
  <c r="R92" i="34"/>
  <c r="Q92" i="34"/>
  <c r="R91" i="34"/>
  <c r="Q91" i="34"/>
  <c r="R90" i="34"/>
  <c r="Q90" i="34"/>
  <c r="R89" i="34"/>
  <c r="Q89" i="34"/>
  <c r="R88" i="34"/>
  <c r="Q88" i="34"/>
  <c r="R87" i="34"/>
  <c r="Q87" i="34"/>
  <c r="R86" i="34"/>
  <c r="Q86" i="34"/>
  <c r="R85" i="34"/>
  <c r="Q85" i="34"/>
  <c r="Q38" i="3"/>
  <c r="S38" i="3" s="1"/>
  <c r="Q39" i="3"/>
  <c r="S39" i="3" s="1"/>
  <c r="Q37" i="3"/>
  <c r="S37" i="3" s="1"/>
  <c r="Q12" i="3"/>
  <c r="S12" i="3" s="1"/>
  <c r="Q13" i="3"/>
  <c r="S13" i="3" s="1"/>
  <c r="Q14" i="3"/>
  <c r="S14" i="3" s="1"/>
  <c r="Q11" i="3"/>
  <c r="S11" i="3" s="1"/>
  <c r="Q4" i="3"/>
  <c r="S4" i="3" s="1"/>
  <c r="Q5" i="3"/>
  <c r="S5" i="3" s="1"/>
  <c r="Q6" i="3"/>
  <c r="S6" i="3" s="1"/>
  <c r="Q7" i="3"/>
  <c r="S7" i="3" s="1"/>
  <c r="Q3" i="3"/>
  <c r="S3" i="3" s="1"/>
  <c r="L35" i="34"/>
  <c r="Z35" i="34" s="1"/>
  <c r="L36" i="34"/>
  <c r="Z36" i="34" s="1"/>
  <c r="L37" i="34"/>
  <c r="Z37" i="34" s="1"/>
  <c r="L38" i="34"/>
  <c r="Z38" i="34" s="1"/>
  <c r="L39" i="34"/>
  <c r="Z39" i="34" s="1"/>
  <c r="C42" i="34"/>
  <c r="C44" i="34"/>
  <c r="L22" i="34"/>
  <c r="Z22" i="34" s="1"/>
  <c r="C22" i="34" s="1"/>
  <c r="L21" i="34"/>
  <c r="Z21" i="34" s="1"/>
  <c r="L20" i="34"/>
  <c r="Z20" i="34" s="1"/>
  <c r="L19" i="34"/>
  <c r="Z19" i="34" s="1"/>
  <c r="K10" i="35"/>
  <c r="I6" i="33"/>
  <c r="J6" i="33"/>
  <c r="I7" i="33"/>
  <c r="J7" i="33"/>
  <c r="I8" i="33"/>
  <c r="J8" i="33"/>
  <c r="I9" i="33"/>
  <c r="J9" i="33"/>
  <c r="J5" i="33"/>
  <c r="I5" i="33"/>
  <c r="G6" i="33"/>
  <c r="H6" i="33"/>
  <c r="G7" i="33"/>
  <c r="H7" i="33"/>
  <c r="G8" i="33"/>
  <c r="H8" i="33"/>
  <c r="G9" i="33"/>
  <c r="H9" i="33"/>
  <c r="H5" i="33"/>
  <c r="G5" i="33"/>
  <c r="R45" i="27"/>
  <c r="T45" i="27" s="1"/>
  <c r="D79" i="27"/>
  <c r="R79" i="27" s="1"/>
  <c r="R55" i="27"/>
  <c r="T55" i="27" s="1"/>
  <c r="R54" i="27"/>
  <c r="T54" i="27" s="1"/>
  <c r="R53" i="27"/>
  <c r="T53" i="27" s="1"/>
  <c r="R32" i="27"/>
  <c r="T32" i="27" s="1"/>
  <c r="R31" i="27"/>
  <c r="T31" i="27" s="1"/>
  <c r="I30" i="27"/>
  <c r="H30" i="27"/>
  <c r="D66" i="27"/>
  <c r="R66" i="27" s="1"/>
  <c r="T66" i="27" s="1"/>
  <c r="J11" i="32"/>
  <c r="L92" i="34" l="1"/>
  <c r="Z92" i="34" s="1"/>
  <c r="L90" i="34"/>
  <c r="Z90" i="34" s="1"/>
  <c r="C90" i="34" s="1"/>
  <c r="L87" i="34"/>
  <c r="Z87" i="34" s="1"/>
  <c r="C87" i="34" s="1"/>
  <c r="C7" i="33"/>
  <c r="Q7" i="33" s="1"/>
  <c r="S7" i="33" s="1"/>
  <c r="L85" i="34"/>
  <c r="Z85" i="34" s="1"/>
  <c r="L93" i="34"/>
  <c r="Z93" i="34" s="1"/>
  <c r="C93" i="34" s="1"/>
  <c r="L88" i="34"/>
  <c r="L89" i="34"/>
  <c r="L86" i="34"/>
  <c r="L91" i="34"/>
  <c r="C9" i="33"/>
  <c r="Q9" i="33" s="1"/>
  <c r="S9" i="33" s="1"/>
  <c r="C39" i="34"/>
  <c r="C43" i="34"/>
  <c r="C41" i="34"/>
  <c r="C38" i="34"/>
  <c r="C37" i="34"/>
  <c r="C36" i="34"/>
  <c r="C35" i="34"/>
  <c r="C19" i="34"/>
  <c r="C21" i="34"/>
  <c r="C20" i="34"/>
  <c r="Y10" i="35"/>
  <c r="B10" i="35" s="1"/>
  <c r="C8" i="33"/>
  <c r="Q8" i="33" s="1"/>
  <c r="S8" i="33" s="1"/>
  <c r="C6" i="33"/>
  <c r="Q6" i="33" s="1"/>
  <c r="S6" i="33" s="1"/>
  <c r="C5" i="33"/>
  <c r="Q5" i="33" s="1"/>
  <c r="T79" i="27"/>
  <c r="R30" i="27"/>
  <c r="T30" i="27" s="1"/>
  <c r="D64" i="27"/>
  <c r="R64" i="27" s="1"/>
  <c r="C92" i="34" l="1"/>
  <c r="C85" i="34"/>
  <c r="Z91" i="34"/>
  <c r="C91" i="34" s="1"/>
  <c r="Z86" i="34"/>
  <c r="C86" i="34" s="1"/>
  <c r="Z89" i="34"/>
  <c r="C89" i="34" s="1"/>
  <c r="Z88" i="34"/>
  <c r="C88" i="34" s="1"/>
  <c r="S5" i="33"/>
  <c r="T64" i="27"/>
  <c r="N96" i="27"/>
  <c r="M96" i="27"/>
  <c r="K96" i="27"/>
  <c r="L96" i="27"/>
  <c r="E9" i="32" l="1"/>
  <c r="L7" i="32"/>
  <c r="K7" i="32"/>
  <c r="E7" i="32" l="1"/>
  <c r="S7" i="32" s="1"/>
  <c r="U7" i="32" s="1"/>
  <c r="S9" i="32"/>
  <c r="U9" i="32" s="1"/>
  <c r="J13" i="32" l="1"/>
  <c r="E15" i="32" l="1"/>
  <c r="L13" i="32"/>
  <c r="K13" i="32"/>
  <c r="L11" i="32"/>
  <c r="K11" i="32"/>
  <c r="E11" i="32" s="1"/>
  <c r="S11" i="32" s="1"/>
  <c r="U11" i="32" s="1"/>
  <c r="E13" i="32" l="1"/>
  <c r="S13" i="32" s="1"/>
  <c r="U13" i="32" s="1"/>
  <c r="S15" i="32"/>
  <c r="U15" i="32" s="1"/>
  <c r="N35" i="3" l="1"/>
  <c r="M35" i="3"/>
  <c r="L35" i="3"/>
  <c r="K35" i="3"/>
  <c r="J35" i="3"/>
  <c r="I35" i="3"/>
  <c r="O25" i="3"/>
  <c r="N25" i="3"/>
  <c r="M25" i="3"/>
  <c r="L25" i="3"/>
  <c r="K25" i="3"/>
  <c r="J25" i="3"/>
  <c r="Q25" i="3" l="1"/>
  <c r="S25" i="3" s="1"/>
  <c r="Q35" i="3"/>
  <c r="S35" i="3" s="1"/>
  <c r="E51" i="20"/>
  <c r="E50" i="20"/>
  <c r="S50" i="20" s="1"/>
  <c r="U50" i="20" s="1"/>
  <c r="E49" i="20"/>
  <c r="E48" i="20"/>
  <c r="S48" i="20" s="1"/>
  <c r="U48" i="20" s="1"/>
  <c r="E47" i="20"/>
  <c r="S47" i="20" s="1"/>
  <c r="U47" i="20" s="1"/>
  <c r="E46" i="20"/>
  <c r="S46" i="20" s="1"/>
  <c r="U46" i="20" s="1"/>
  <c r="E45" i="20"/>
  <c r="E44" i="20"/>
  <c r="E42" i="20"/>
  <c r="S42" i="20" s="1"/>
  <c r="E43" i="20"/>
  <c r="S43" i="20" s="1"/>
  <c r="E41" i="20"/>
  <c r="S51" i="20" l="1"/>
  <c r="U51" i="20" s="1"/>
  <c r="S49" i="20"/>
  <c r="U49" i="20" s="1"/>
  <c r="S45" i="20"/>
  <c r="U45" i="20" s="1"/>
  <c r="S44" i="20"/>
  <c r="U44" i="20" s="1"/>
  <c r="S41" i="20"/>
  <c r="U41" i="20" s="1"/>
  <c r="U42" i="20"/>
  <c r="U43" i="20"/>
  <c r="M50" i="7" l="1"/>
  <c r="L50" i="7"/>
  <c r="M37" i="7"/>
  <c r="L37" i="7"/>
  <c r="D50" i="7" l="1"/>
  <c r="R50" i="7" s="1"/>
  <c r="T50" i="7" s="1"/>
  <c r="D37" i="7"/>
  <c r="R37" i="7" s="1"/>
  <c r="T37" i="7" s="1"/>
  <c r="S29" i="13" l="1"/>
  <c r="R29" i="13"/>
  <c r="Q29" i="13"/>
  <c r="P29" i="13"/>
  <c r="O29" i="13"/>
  <c r="N29" i="13"/>
  <c r="M29" i="13"/>
  <c r="L29" i="13"/>
  <c r="K29" i="13"/>
  <c r="J29" i="13"/>
  <c r="I29" i="13"/>
  <c r="H29" i="13"/>
  <c r="I18" i="3"/>
  <c r="I19" i="3"/>
  <c r="N19" i="3"/>
  <c r="D29" i="13" l="1"/>
  <c r="D15" i="26"/>
  <c r="R15" i="26" s="1"/>
  <c r="D16" i="26"/>
  <c r="R16" i="26" s="1"/>
  <c r="D14" i="26"/>
  <c r="T29" i="13" l="1"/>
  <c r="V29" i="13" s="1"/>
  <c r="T16" i="26"/>
  <c r="T15" i="26"/>
  <c r="R14" i="26"/>
  <c r="T14" i="26" s="1"/>
  <c r="D19" i="30"/>
  <c r="T15" i="30"/>
  <c r="T14" i="30"/>
  <c r="R19" i="30" l="1"/>
  <c r="T19" i="30" s="1"/>
  <c r="T12" i="30"/>
  <c r="T13" i="30"/>
  <c r="T17" i="30"/>
  <c r="T16" i="30"/>
  <c r="T8" i="30"/>
  <c r="T6" i="30"/>
  <c r="T10" i="30"/>
  <c r="T11" i="30"/>
  <c r="T9" i="30"/>
  <c r="T7" i="30"/>
  <c r="T5" i="30"/>
  <c r="T4" i="30"/>
  <c r="D89" i="27" l="1"/>
  <c r="R89" i="27" s="1"/>
  <c r="T89" i="27" s="1"/>
  <c r="D90" i="27"/>
  <c r="R90" i="27" s="1"/>
  <c r="T90" i="27" s="1"/>
  <c r="D91" i="27"/>
  <c r="R91" i="27" s="1"/>
  <c r="D92" i="27"/>
  <c r="R92" i="27" s="1"/>
  <c r="D93" i="27"/>
  <c r="R93" i="27" s="1"/>
  <c r="T93" i="27" s="1"/>
  <c r="D88" i="27"/>
  <c r="T91" i="27" l="1"/>
  <c r="T92" i="27"/>
  <c r="R88" i="27"/>
  <c r="T88" i="27" s="1"/>
  <c r="T107" i="27" l="1"/>
  <c r="R38" i="27"/>
  <c r="T38" i="27" s="1"/>
  <c r="R39" i="27"/>
  <c r="T39" i="27" s="1"/>
  <c r="R40" i="27"/>
  <c r="T40" i="27" s="1"/>
  <c r="R41" i="27"/>
  <c r="T41" i="27" s="1"/>
  <c r="R42" i="27"/>
  <c r="T42" i="27" s="1"/>
  <c r="R43" i="27"/>
  <c r="T43" i="27" s="1"/>
  <c r="R44" i="27"/>
  <c r="T44" i="27" s="1"/>
  <c r="R46" i="27"/>
  <c r="T46" i="27" s="1"/>
  <c r="R47" i="27"/>
  <c r="T47" i="27" s="1"/>
  <c r="R48" i="27"/>
  <c r="T48" i="27" s="1"/>
  <c r="R62" i="27"/>
  <c r="T62" i="27" s="1"/>
  <c r="R61" i="27"/>
  <c r="T61" i="27" s="1"/>
  <c r="R67" i="27"/>
  <c r="T67" i="27" s="1"/>
  <c r="R68" i="27"/>
  <c r="T68" i="27" s="1"/>
  <c r="R69" i="27"/>
  <c r="T69" i="27" s="1"/>
  <c r="R70" i="27"/>
  <c r="T70" i="27" s="1"/>
  <c r="R71" i="27"/>
  <c r="T71" i="27" s="1"/>
  <c r="R72" i="27"/>
  <c r="T72" i="27" s="1"/>
  <c r="R101" i="27"/>
  <c r="T101" i="27" s="1"/>
  <c r="I96" i="27"/>
  <c r="J96" i="27"/>
  <c r="D96" i="27" l="1"/>
  <c r="R96" i="27" l="1"/>
  <c r="T96" i="27" s="1"/>
  <c r="D98" i="27"/>
  <c r="R98" i="27" l="1"/>
  <c r="T98" i="27" s="1"/>
  <c r="D80" i="27"/>
  <c r="D81" i="27"/>
  <c r="D82" i="27"/>
  <c r="D83" i="27"/>
  <c r="D84" i="27"/>
  <c r="D85" i="27"/>
  <c r="D86" i="27"/>
  <c r="D97" i="27"/>
  <c r="R85" i="27" l="1"/>
  <c r="T85" i="27" s="1"/>
  <c r="R81" i="27"/>
  <c r="T81" i="27" s="1"/>
  <c r="R84" i="27"/>
  <c r="T84" i="27" s="1"/>
  <c r="R97" i="27"/>
  <c r="T97" i="27" s="1"/>
  <c r="R83" i="27"/>
  <c r="T83" i="27" s="1"/>
  <c r="R86" i="27"/>
  <c r="T86" i="27" s="1"/>
  <c r="R82" i="27"/>
  <c r="T82" i="27" s="1"/>
  <c r="R80" i="27"/>
  <c r="T80" i="27" s="1"/>
  <c r="I24" i="24" l="1"/>
  <c r="D78" i="27"/>
  <c r="R78" i="27" l="1"/>
  <c r="T78" i="27" s="1"/>
  <c r="R24" i="24"/>
  <c r="T24" i="24" s="1"/>
  <c r="M103" i="7"/>
  <c r="L103" i="7"/>
  <c r="L104" i="7"/>
  <c r="M104" i="7"/>
  <c r="L105" i="7"/>
  <c r="M105" i="7"/>
  <c r="L106" i="7"/>
  <c r="M106" i="7"/>
  <c r="L107" i="7"/>
  <c r="D107" i="7" s="1"/>
  <c r="M107" i="7"/>
  <c r="D106" i="7" l="1"/>
  <c r="R106" i="7" s="1"/>
  <c r="T106" i="7" s="1"/>
  <c r="D104" i="7"/>
  <c r="R104" i="7" s="1"/>
  <c r="T104" i="7" s="1"/>
  <c r="D103" i="7"/>
  <c r="R103" i="7" s="1"/>
  <c r="T103" i="7" s="1"/>
  <c r="D105" i="7"/>
  <c r="R105" i="7" s="1"/>
  <c r="T105" i="7" s="1"/>
  <c r="R107" i="7"/>
  <c r="T107" i="7" s="1"/>
  <c r="D65" i="27"/>
  <c r="R65" i="27" l="1"/>
  <c r="T65" i="27" s="1"/>
  <c r="D75" i="27"/>
  <c r="R24" i="27"/>
  <c r="T24" i="27" s="1"/>
  <c r="R23" i="27"/>
  <c r="T23" i="27" s="1"/>
  <c r="I22" i="27"/>
  <c r="H22" i="27"/>
  <c r="R16" i="27"/>
  <c r="T16" i="27" s="1"/>
  <c r="R15" i="27"/>
  <c r="T15" i="27" s="1"/>
  <c r="I14" i="27"/>
  <c r="H14" i="27"/>
  <c r="R8" i="27"/>
  <c r="T8" i="27" s="1"/>
  <c r="R7" i="27"/>
  <c r="T7" i="27" s="1"/>
  <c r="I6" i="27"/>
  <c r="H6" i="27"/>
  <c r="R75" i="27" l="1"/>
  <c r="T75" i="27" s="1"/>
  <c r="R14" i="27"/>
  <c r="T14" i="27" s="1"/>
  <c r="R22" i="27"/>
  <c r="T22" i="27" s="1"/>
  <c r="R6" i="27"/>
  <c r="T6" i="27" s="1"/>
  <c r="D88" i="7" l="1"/>
  <c r="D10" i="26"/>
  <c r="R10" i="26" s="1"/>
  <c r="D6" i="26"/>
  <c r="D7" i="26"/>
  <c r="D8" i="26"/>
  <c r="R8" i="26" s="1"/>
  <c r="T8" i="26" s="1"/>
  <c r="D5" i="26"/>
  <c r="R5" i="26" s="1"/>
  <c r="D19" i="13"/>
  <c r="T19" i="13" s="1"/>
  <c r="D17" i="13"/>
  <c r="T17" i="13" s="1"/>
  <c r="D16" i="13"/>
  <c r="T16" i="13" s="1"/>
  <c r="D15" i="13"/>
  <c r="T15" i="13" s="1"/>
  <c r="D14" i="13"/>
  <c r="D13" i="13"/>
  <c r="T13" i="13" s="1"/>
  <c r="D10" i="13"/>
  <c r="T10" i="13" s="1"/>
  <c r="D9" i="13"/>
  <c r="T9" i="13" s="1"/>
  <c r="D7" i="13"/>
  <c r="D4" i="10"/>
  <c r="D5" i="10"/>
  <c r="R5" i="10" s="1"/>
  <c r="D3" i="10"/>
  <c r="E6" i="6"/>
  <c r="R4" i="10"/>
  <c r="T7" i="13" l="1"/>
  <c r="V7" i="13"/>
  <c r="T14" i="13"/>
  <c r="V14" i="13" s="1"/>
  <c r="T4" i="10"/>
  <c r="T5" i="10"/>
  <c r="R3" i="10"/>
  <c r="T3" i="10" s="1"/>
  <c r="R88" i="7"/>
  <c r="T88" i="7" s="1"/>
  <c r="R7" i="26"/>
  <c r="T7" i="26" s="1"/>
  <c r="T5" i="26"/>
  <c r="T10" i="26"/>
  <c r="R6" i="26"/>
  <c r="T6" i="26" s="1"/>
  <c r="S6" i="6"/>
  <c r="U6" i="6" s="1"/>
  <c r="E11" i="6"/>
  <c r="S11" i="6" l="1"/>
  <c r="U11" i="6" s="1"/>
  <c r="I31" i="20"/>
  <c r="E31" i="20" s="1"/>
  <c r="I30" i="20"/>
  <c r="E30" i="20" s="1"/>
  <c r="I29" i="20"/>
  <c r="E29" i="20" s="1"/>
  <c r="I28" i="20"/>
  <c r="E28" i="20" s="1"/>
  <c r="I27" i="20"/>
  <c r="E27" i="20" s="1"/>
  <c r="I34" i="20"/>
  <c r="E34" i="20" s="1"/>
  <c r="H58" i="7"/>
  <c r="L24" i="3" l="1"/>
  <c r="H45" i="6" l="1"/>
  <c r="R96" i="16" l="1"/>
  <c r="T96" i="16" s="1"/>
  <c r="R97" i="16"/>
  <c r="T97" i="16" s="1"/>
  <c r="R98" i="16"/>
  <c r="T98" i="16" s="1"/>
  <c r="R99" i="16"/>
  <c r="T99" i="16" s="1"/>
  <c r="R100" i="16"/>
  <c r="T100" i="16" s="1"/>
  <c r="R101" i="16"/>
  <c r="T101" i="16" s="1"/>
  <c r="R102" i="16"/>
  <c r="T102" i="16" s="1"/>
  <c r="R103" i="16"/>
  <c r="T103" i="16" s="1"/>
  <c r="R95" i="16"/>
  <c r="T95" i="16" s="1"/>
  <c r="M12" i="26"/>
  <c r="I12" i="26"/>
  <c r="J12" i="26"/>
  <c r="K12" i="26"/>
  <c r="L12" i="26"/>
  <c r="H12" i="26"/>
  <c r="D12" i="26" l="1"/>
  <c r="I15" i="6"/>
  <c r="R12" i="26" l="1"/>
  <c r="T12" i="26" s="1"/>
  <c r="V19" i="13"/>
  <c r="H22" i="13"/>
  <c r="I22" i="13"/>
  <c r="H23" i="13"/>
  <c r="I23" i="13"/>
  <c r="H24" i="13"/>
  <c r="I24" i="13"/>
  <c r="H25" i="13"/>
  <c r="I25" i="13"/>
  <c r="H26" i="13"/>
  <c r="I26" i="13"/>
  <c r="H27" i="13"/>
  <c r="I27" i="13"/>
  <c r="I21" i="13"/>
  <c r="H21" i="13"/>
  <c r="D22" i="13" l="1"/>
  <c r="T22" i="13" s="1"/>
  <c r="D26" i="13"/>
  <c r="T26" i="13" s="1"/>
  <c r="V26" i="13" s="1"/>
  <c r="D24" i="13"/>
  <c r="T24" i="13" s="1"/>
  <c r="V24" i="13" s="1"/>
  <c r="D27" i="13"/>
  <c r="T27" i="13" s="1"/>
  <c r="D25" i="13"/>
  <c r="T25" i="13" s="1"/>
  <c r="D23" i="13"/>
  <c r="T23" i="13" s="1"/>
  <c r="D21" i="13"/>
  <c r="T21" i="13" s="1"/>
  <c r="V22" i="13" l="1"/>
  <c r="V21" i="13"/>
  <c r="V25" i="13"/>
  <c r="V23" i="13"/>
  <c r="V27" i="13"/>
  <c r="J10" i="7"/>
  <c r="I10" i="7"/>
  <c r="J9" i="7"/>
  <c r="I9" i="7"/>
  <c r="J8" i="7"/>
  <c r="I8" i="7"/>
  <c r="H20" i="24" l="1"/>
  <c r="I20" i="24"/>
  <c r="H21" i="24"/>
  <c r="I21" i="24"/>
  <c r="H22" i="24"/>
  <c r="I22" i="24"/>
  <c r="H23" i="24"/>
  <c r="I23" i="24"/>
  <c r="R23" i="24" l="1"/>
  <c r="T23" i="24" s="1"/>
  <c r="R22" i="24"/>
  <c r="T22" i="24" s="1"/>
  <c r="R20" i="24"/>
  <c r="T20" i="24" s="1"/>
  <c r="R21" i="24"/>
  <c r="T21" i="24" s="1"/>
  <c r="R16" i="24"/>
  <c r="T16" i="24" s="1"/>
  <c r="R15" i="24"/>
  <c r="T15" i="24" s="1"/>
  <c r="J12" i="7"/>
  <c r="I12" i="7"/>
  <c r="R5" i="24" l="1"/>
  <c r="T5" i="24" s="1"/>
  <c r="S37" i="24"/>
  <c r="R37" i="24"/>
  <c r="T37" i="24" s="1"/>
  <c r="K27" i="24"/>
  <c r="J27" i="24"/>
  <c r="I27" i="24"/>
  <c r="H27" i="24"/>
  <c r="I19" i="24"/>
  <c r="H19" i="24"/>
  <c r="R14" i="24"/>
  <c r="T14" i="24" s="1"/>
  <c r="R11" i="24"/>
  <c r="T11" i="24" s="1"/>
  <c r="R10" i="24"/>
  <c r="T10" i="24" s="1"/>
  <c r="R9" i="24"/>
  <c r="T9" i="24" s="1"/>
  <c r="R27" i="24" l="1"/>
  <c r="T27" i="24" s="1"/>
  <c r="R19" i="24"/>
  <c r="T19" i="24" s="1"/>
  <c r="AO43" i="7" l="1"/>
  <c r="AQ43" i="7" s="1"/>
  <c r="AO42" i="7"/>
  <c r="AQ42" i="7" s="1"/>
  <c r="AO41" i="7"/>
  <c r="AQ41" i="7" s="1"/>
  <c r="AO39" i="7"/>
  <c r="AQ39" i="7" s="1"/>
  <c r="AO38" i="7"/>
  <c r="AQ38" i="7" s="1"/>
  <c r="AO37" i="7"/>
  <c r="AQ37" i="7" s="1"/>
  <c r="AO36" i="7"/>
  <c r="AQ36" i="7" s="1"/>
  <c r="AO35" i="7"/>
  <c r="AQ35" i="7" s="1"/>
  <c r="AO34" i="7"/>
  <c r="AQ34" i="7" s="1"/>
  <c r="AO33" i="7"/>
  <c r="AQ33" i="7" s="1"/>
  <c r="H60" i="7" l="1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59" i="7"/>
  <c r="J79" i="7"/>
  <c r="I79" i="7"/>
  <c r="J78" i="7"/>
  <c r="I78" i="7"/>
  <c r="J77" i="7"/>
  <c r="I77" i="7"/>
  <c r="AO26" i="7" l="1"/>
  <c r="AQ26" i="7" s="1"/>
  <c r="AO25" i="7"/>
  <c r="AQ25" i="7" s="1"/>
  <c r="AF24" i="7"/>
  <c r="AE24" i="7"/>
  <c r="AO18" i="7"/>
  <c r="AQ18" i="7" s="1"/>
  <c r="AO17" i="7"/>
  <c r="AQ17" i="7" s="1"/>
  <c r="AF16" i="7"/>
  <c r="AE16" i="7"/>
  <c r="AE5" i="7"/>
  <c r="AF5" i="7"/>
  <c r="AO7" i="7"/>
  <c r="AQ7" i="7" s="1"/>
  <c r="AO6" i="7"/>
  <c r="AQ6" i="7" s="1"/>
  <c r="AO24" i="7" l="1"/>
  <c r="AQ24" i="7" s="1"/>
  <c r="AO5" i="7"/>
  <c r="AQ5" i="7" s="1"/>
  <c r="AO16" i="7"/>
  <c r="AQ16" i="7" s="1"/>
  <c r="M41" i="7" l="1"/>
  <c r="L41" i="7"/>
  <c r="M51" i="7"/>
  <c r="L51" i="7"/>
  <c r="M49" i="7"/>
  <c r="L49" i="7"/>
  <c r="I23" i="20" l="1"/>
  <c r="E23" i="20" s="1"/>
  <c r="I24" i="20"/>
  <c r="E24" i="20" s="1"/>
  <c r="I25" i="20"/>
  <c r="E25" i="20" s="1"/>
  <c r="I26" i="20"/>
  <c r="E26" i="20" s="1"/>
  <c r="I22" i="20"/>
  <c r="E22" i="20" s="1"/>
  <c r="I14" i="22"/>
  <c r="H14" i="22"/>
  <c r="M6" i="22"/>
  <c r="L6" i="22"/>
  <c r="K6" i="22"/>
  <c r="J6" i="22"/>
  <c r="I6" i="22"/>
  <c r="H6" i="22"/>
  <c r="R14" i="22" l="1"/>
  <c r="T14" i="22" s="1"/>
  <c r="R6" i="22"/>
  <c r="T6" i="22" s="1"/>
  <c r="V9" i="13" l="1"/>
  <c r="G6" i="20" l="1"/>
  <c r="E6" i="20" s="1"/>
  <c r="G15" i="20"/>
  <c r="E15" i="20" s="1"/>
  <c r="G14" i="20"/>
  <c r="E14" i="20" s="1"/>
  <c r="G13" i="20"/>
  <c r="E13" i="20" s="1"/>
  <c r="G12" i="20"/>
  <c r="E12" i="20" s="1"/>
  <c r="G11" i="20"/>
  <c r="E11" i="20" s="1"/>
  <c r="G10" i="20"/>
  <c r="E10" i="20" s="1"/>
  <c r="G9" i="20"/>
  <c r="E9" i="20" s="1"/>
  <c r="G8" i="20"/>
  <c r="E8" i="20" s="1"/>
  <c r="G7" i="20"/>
  <c r="E7" i="20" s="1"/>
  <c r="V16" i="9" l="1"/>
  <c r="V17" i="9" s="1"/>
  <c r="V18" i="9" s="1"/>
  <c r="V19" i="9" s="1"/>
  <c r="W7" i="9"/>
  <c r="W8" i="9" s="1"/>
  <c r="W9" i="9" s="1"/>
  <c r="W10" i="9" s="1"/>
  <c r="W11" i="9" s="1"/>
  <c r="W12" i="9" s="1"/>
  <c r="W13" i="9" s="1"/>
  <c r="W14" i="9" s="1"/>
  <c r="W15" i="9" s="1"/>
  <c r="W16" i="9" s="1"/>
  <c r="W17" i="9" s="1"/>
  <c r="W18" i="9" s="1"/>
  <c r="V20" i="9" l="1"/>
  <c r="P19" i="9"/>
  <c r="O19" i="9"/>
  <c r="O18" i="9"/>
  <c r="P18" i="9"/>
  <c r="W19" i="9"/>
  <c r="R18" i="9"/>
  <c r="Q18" i="9"/>
  <c r="S18" i="9" l="1"/>
  <c r="U18" i="9" s="1"/>
  <c r="W20" i="9"/>
  <c r="O20" i="9"/>
  <c r="V21" i="9"/>
  <c r="V22" i="9" s="1"/>
  <c r="P20" i="9"/>
  <c r="R19" i="9"/>
  <c r="Q19" i="9"/>
  <c r="P22" i="9" l="1"/>
  <c r="V23" i="9"/>
  <c r="O22" i="9"/>
  <c r="R20" i="9"/>
  <c r="W21" i="9"/>
  <c r="W22" i="9" s="1"/>
  <c r="Q20" i="9"/>
  <c r="P21" i="9"/>
  <c r="O21" i="9"/>
  <c r="S19" i="9"/>
  <c r="U19" i="9" s="1"/>
  <c r="R17" i="9"/>
  <c r="Q17" i="9"/>
  <c r="P17" i="9"/>
  <c r="O17" i="9"/>
  <c r="R16" i="9"/>
  <c r="Q16" i="9"/>
  <c r="P16" i="9"/>
  <c r="O16" i="9"/>
  <c r="R15" i="9"/>
  <c r="Q15" i="9"/>
  <c r="P15" i="9"/>
  <c r="O15" i="9"/>
  <c r="R14" i="9"/>
  <c r="Q14" i="9"/>
  <c r="P14" i="9"/>
  <c r="O14" i="9"/>
  <c r="R13" i="9"/>
  <c r="Q13" i="9"/>
  <c r="P13" i="9"/>
  <c r="O13" i="9"/>
  <c r="R12" i="9"/>
  <c r="Q12" i="9"/>
  <c r="P12" i="9"/>
  <c r="O12" i="9"/>
  <c r="V24" i="9" l="1"/>
  <c r="P23" i="9"/>
  <c r="O23" i="9"/>
  <c r="S20" i="9"/>
  <c r="U20" i="9" s="1"/>
  <c r="W23" i="9"/>
  <c r="R22" i="9"/>
  <c r="Q22" i="9"/>
  <c r="R21" i="9"/>
  <c r="Q21" i="9"/>
  <c r="S12" i="9"/>
  <c r="U12" i="9" s="1"/>
  <c r="S14" i="9"/>
  <c r="U14" i="9" s="1"/>
  <c r="S16" i="9"/>
  <c r="U16" i="9" s="1"/>
  <c r="S17" i="9"/>
  <c r="U17" i="9" s="1"/>
  <c r="S15" i="9"/>
  <c r="U15" i="9" s="1"/>
  <c r="S13" i="9"/>
  <c r="U13" i="9" s="1"/>
  <c r="S55" i="9"/>
  <c r="U55" i="9" s="1"/>
  <c r="O10" i="9"/>
  <c r="P10" i="9"/>
  <c r="Q10" i="9"/>
  <c r="R10" i="9"/>
  <c r="R11" i="9"/>
  <c r="Q11" i="9"/>
  <c r="P11" i="9"/>
  <c r="O11" i="9"/>
  <c r="R9" i="9"/>
  <c r="Q9" i="9"/>
  <c r="P9" i="9"/>
  <c r="O9" i="9"/>
  <c r="V25" i="9" l="1"/>
  <c r="O24" i="9"/>
  <c r="P24" i="9"/>
  <c r="S21" i="9"/>
  <c r="U21" i="9" s="1"/>
  <c r="S22" i="9"/>
  <c r="U22" i="9" s="1"/>
  <c r="R23" i="9"/>
  <c r="W24" i="9"/>
  <c r="Q23" i="9"/>
  <c r="S9" i="9"/>
  <c r="U9" i="9" s="1"/>
  <c r="S10" i="9"/>
  <c r="U10" i="9" s="1"/>
  <c r="S11" i="9"/>
  <c r="U11" i="9" s="1"/>
  <c r="G52" i="9"/>
  <c r="M52" i="9"/>
  <c r="R33" i="16"/>
  <c r="T33" i="16" s="1"/>
  <c r="R32" i="16"/>
  <c r="T32" i="16" s="1"/>
  <c r="R31" i="16"/>
  <c r="T31" i="16" s="1"/>
  <c r="R29" i="16"/>
  <c r="T29" i="16" s="1"/>
  <c r="R36" i="16"/>
  <c r="T36" i="16" s="1"/>
  <c r="R37" i="16"/>
  <c r="T37" i="16" s="1"/>
  <c r="R38" i="16"/>
  <c r="T38" i="16" s="1"/>
  <c r="R39" i="16"/>
  <c r="T39" i="16" s="1"/>
  <c r="R91" i="16"/>
  <c r="T91" i="16" s="1"/>
  <c r="R92" i="16"/>
  <c r="T92" i="16" s="1"/>
  <c r="R93" i="16"/>
  <c r="T93" i="16" s="1"/>
  <c r="R63" i="16"/>
  <c r="T63" i="16" s="1"/>
  <c r="R64" i="16"/>
  <c r="T64" i="16" s="1"/>
  <c r="R65" i="16"/>
  <c r="T65" i="16" s="1"/>
  <c r="R66" i="16"/>
  <c r="T66" i="16" s="1"/>
  <c r="R67" i="16"/>
  <c r="T67" i="16" s="1"/>
  <c r="R68" i="16"/>
  <c r="T68" i="16" s="1"/>
  <c r="R69" i="16"/>
  <c r="T69" i="16" s="1"/>
  <c r="R70" i="16"/>
  <c r="T70" i="16" s="1"/>
  <c r="R71" i="16"/>
  <c r="T71" i="16" s="1"/>
  <c r="R72" i="16"/>
  <c r="T72" i="16" s="1"/>
  <c r="R74" i="16"/>
  <c r="T74" i="16" s="1"/>
  <c r="R75" i="16"/>
  <c r="T75" i="16" s="1"/>
  <c r="R76" i="16"/>
  <c r="T76" i="16" s="1"/>
  <c r="R77" i="16"/>
  <c r="T77" i="16" s="1"/>
  <c r="R78" i="16"/>
  <c r="T78" i="16" s="1"/>
  <c r="R79" i="16"/>
  <c r="T79" i="16" s="1"/>
  <c r="R80" i="16"/>
  <c r="T80" i="16" s="1"/>
  <c r="R81" i="16"/>
  <c r="T81" i="16" s="1"/>
  <c r="R82" i="16"/>
  <c r="T82" i="16" s="1"/>
  <c r="R83" i="16"/>
  <c r="T83" i="16" s="1"/>
  <c r="R84" i="16"/>
  <c r="T84" i="16" s="1"/>
  <c r="R85" i="16"/>
  <c r="T85" i="16" s="1"/>
  <c r="R86" i="16"/>
  <c r="T86" i="16" s="1"/>
  <c r="R87" i="16"/>
  <c r="T87" i="16" s="1"/>
  <c r="R88" i="16"/>
  <c r="T88" i="16" s="1"/>
  <c r="R89" i="16"/>
  <c r="T89" i="16" s="1"/>
  <c r="R90" i="16"/>
  <c r="T90" i="16" s="1"/>
  <c r="R40" i="16"/>
  <c r="T40" i="16" s="1"/>
  <c r="R41" i="16"/>
  <c r="T41" i="16" s="1"/>
  <c r="R42" i="16"/>
  <c r="T42" i="16" s="1"/>
  <c r="R43" i="16"/>
  <c r="T43" i="16" s="1"/>
  <c r="R44" i="16"/>
  <c r="T44" i="16" s="1"/>
  <c r="R45" i="16"/>
  <c r="T45" i="16" s="1"/>
  <c r="R46" i="16"/>
  <c r="T46" i="16" s="1"/>
  <c r="R47" i="16"/>
  <c r="T47" i="16" s="1"/>
  <c r="R48" i="16"/>
  <c r="T48" i="16" s="1"/>
  <c r="R49" i="16"/>
  <c r="T49" i="16" s="1"/>
  <c r="R50" i="16"/>
  <c r="T50" i="16" s="1"/>
  <c r="R51" i="16"/>
  <c r="T51" i="16" s="1"/>
  <c r="R52" i="16"/>
  <c r="T52" i="16" s="1"/>
  <c r="R53" i="16"/>
  <c r="T53" i="16" s="1"/>
  <c r="R54" i="16"/>
  <c r="T54" i="16" s="1"/>
  <c r="R55" i="16"/>
  <c r="T55" i="16" s="1"/>
  <c r="R56" i="16"/>
  <c r="T56" i="16" s="1"/>
  <c r="R57" i="16"/>
  <c r="T57" i="16" s="1"/>
  <c r="R58" i="16"/>
  <c r="T58" i="16" s="1"/>
  <c r="R59" i="16"/>
  <c r="T59" i="16" s="1"/>
  <c r="R60" i="16"/>
  <c r="T60" i="16" s="1"/>
  <c r="R61" i="16"/>
  <c r="T61" i="16" s="1"/>
  <c r="R62" i="16"/>
  <c r="T62" i="16" s="1"/>
  <c r="R27" i="16"/>
  <c r="T27" i="16" s="1"/>
  <c r="R26" i="16"/>
  <c r="T26" i="16" s="1"/>
  <c r="R25" i="16"/>
  <c r="T25" i="16" s="1"/>
  <c r="R24" i="16"/>
  <c r="T24" i="16" s="1"/>
  <c r="R23" i="16"/>
  <c r="T23" i="16" s="1"/>
  <c r="R22" i="16"/>
  <c r="T22" i="16" s="1"/>
  <c r="R21" i="16"/>
  <c r="T21" i="16" s="1"/>
  <c r="R20" i="16"/>
  <c r="T20" i="16" s="1"/>
  <c r="R11" i="16"/>
  <c r="T11" i="16" s="1"/>
  <c r="R12" i="16"/>
  <c r="T12" i="16" s="1"/>
  <c r="R14" i="16"/>
  <c r="T14" i="16" s="1"/>
  <c r="R5" i="16"/>
  <c r="T5" i="16" s="1"/>
  <c r="R6" i="16"/>
  <c r="T6" i="16" s="1"/>
  <c r="R7" i="16"/>
  <c r="T7" i="16" s="1"/>
  <c r="R8" i="16"/>
  <c r="T8" i="16" s="1"/>
  <c r="R9" i="16"/>
  <c r="T9" i="16" s="1"/>
  <c r="R10" i="16"/>
  <c r="T10" i="16" s="1"/>
  <c r="V26" i="9" l="1"/>
  <c r="O25" i="9"/>
  <c r="P25" i="9"/>
  <c r="S23" i="9"/>
  <c r="U23" i="9" s="1"/>
  <c r="W25" i="9"/>
  <c r="R24" i="9"/>
  <c r="Q24" i="9"/>
  <c r="S52" i="9"/>
  <c r="U52" i="9" s="1"/>
  <c r="N15" i="6"/>
  <c r="E15" i="6" s="1"/>
  <c r="S15" i="6" l="1"/>
  <c r="U15" i="6" s="1"/>
  <c r="V27" i="9"/>
  <c r="P26" i="9"/>
  <c r="O26" i="9"/>
  <c r="W26" i="9"/>
  <c r="R25" i="9"/>
  <c r="Q25" i="9"/>
  <c r="S24" i="9"/>
  <c r="U24" i="9" s="1"/>
  <c r="V28" i="9" l="1"/>
  <c r="P27" i="9"/>
  <c r="O27" i="9"/>
  <c r="S25" i="9"/>
  <c r="U25" i="9" s="1"/>
  <c r="W27" i="9"/>
  <c r="R26" i="9"/>
  <c r="Q26" i="9"/>
  <c r="V15" i="13"/>
  <c r="V16" i="13"/>
  <c r="V17" i="13"/>
  <c r="M48" i="7"/>
  <c r="L48" i="7"/>
  <c r="M47" i="7"/>
  <c r="L47" i="7"/>
  <c r="M46" i="7"/>
  <c r="L46" i="7"/>
  <c r="M45" i="7"/>
  <c r="L45" i="7"/>
  <c r="L38" i="7"/>
  <c r="M38" i="7"/>
  <c r="L39" i="7"/>
  <c r="M39" i="7"/>
  <c r="L40" i="7"/>
  <c r="M40" i="7"/>
  <c r="L42" i="7"/>
  <c r="M42" i="7"/>
  <c r="L31" i="7"/>
  <c r="M36" i="7"/>
  <c r="L36" i="7"/>
  <c r="M35" i="7"/>
  <c r="L35" i="7"/>
  <c r="M34" i="7"/>
  <c r="L34" i="7"/>
  <c r="M33" i="7"/>
  <c r="L33" i="7"/>
  <c r="M32" i="7"/>
  <c r="L32" i="7"/>
  <c r="M31" i="7"/>
  <c r="H24" i="7"/>
  <c r="I24" i="7"/>
  <c r="L24" i="7"/>
  <c r="M24" i="7"/>
  <c r="H25" i="7"/>
  <c r="I25" i="7"/>
  <c r="L25" i="7"/>
  <c r="M25" i="7"/>
  <c r="H26" i="7"/>
  <c r="I26" i="7"/>
  <c r="L26" i="7"/>
  <c r="M26" i="7"/>
  <c r="H27" i="7"/>
  <c r="I27" i="7"/>
  <c r="L27" i="7"/>
  <c r="M27" i="7"/>
  <c r="H28" i="7"/>
  <c r="I28" i="7"/>
  <c r="L28" i="7"/>
  <c r="M28" i="7"/>
  <c r="H17" i="7"/>
  <c r="I17" i="7"/>
  <c r="L17" i="7"/>
  <c r="M17" i="7"/>
  <c r="H18" i="7"/>
  <c r="I18" i="7"/>
  <c r="L18" i="7"/>
  <c r="M18" i="7"/>
  <c r="H19" i="7"/>
  <c r="I19" i="7"/>
  <c r="L19" i="7"/>
  <c r="M19" i="7"/>
  <c r="H20" i="7"/>
  <c r="I20" i="7"/>
  <c r="L20" i="7"/>
  <c r="M20" i="7"/>
  <c r="H21" i="7"/>
  <c r="I21" i="7"/>
  <c r="L21" i="7"/>
  <c r="M21" i="7"/>
  <c r="I11" i="7"/>
  <c r="J11" i="7"/>
  <c r="I13" i="7"/>
  <c r="J13" i="7"/>
  <c r="I5" i="7"/>
  <c r="J5" i="7"/>
  <c r="I6" i="7"/>
  <c r="J6" i="7"/>
  <c r="N34" i="3"/>
  <c r="M34" i="3"/>
  <c r="L34" i="3"/>
  <c r="K34" i="3"/>
  <c r="J34" i="3"/>
  <c r="I34" i="3"/>
  <c r="Q34" i="3" s="1"/>
  <c r="S34" i="3" s="1"/>
  <c r="N33" i="3"/>
  <c r="M33" i="3"/>
  <c r="L33" i="3"/>
  <c r="K33" i="3"/>
  <c r="J33" i="3"/>
  <c r="I33" i="3"/>
  <c r="L31" i="3"/>
  <c r="K31" i="3"/>
  <c r="J31" i="3"/>
  <c r="I31" i="3"/>
  <c r="L30" i="3"/>
  <c r="K30" i="3"/>
  <c r="J30" i="3"/>
  <c r="I30" i="3"/>
  <c r="L29" i="3"/>
  <c r="K29" i="3"/>
  <c r="J29" i="3"/>
  <c r="I29" i="3"/>
  <c r="L28" i="3"/>
  <c r="K28" i="3"/>
  <c r="J28" i="3"/>
  <c r="I28" i="3"/>
  <c r="Q28" i="3" s="1"/>
  <c r="S28" i="3" s="1"/>
  <c r="O24" i="3"/>
  <c r="N24" i="3"/>
  <c r="M24" i="3"/>
  <c r="K24" i="3"/>
  <c r="J24" i="3"/>
  <c r="O23" i="3"/>
  <c r="N23" i="3"/>
  <c r="M23" i="3"/>
  <c r="L23" i="3"/>
  <c r="K23" i="3"/>
  <c r="J23" i="3"/>
  <c r="O22" i="3"/>
  <c r="N22" i="3"/>
  <c r="M22" i="3"/>
  <c r="L22" i="3"/>
  <c r="J22" i="3"/>
  <c r="O21" i="3"/>
  <c r="N21" i="3"/>
  <c r="M21" i="3"/>
  <c r="L21" i="3"/>
  <c r="K21" i="3"/>
  <c r="J21" i="3"/>
  <c r="P19" i="3"/>
  <c r="O19" i="3"/>
  <c r="M19" i="3"/>
  <c r="L19" i="3"/>
  <c r="K19" i="3"/>
  <c r="J19" i="3"/>
  <c r="P18" i="3"/>
  <c r="O18" i="3"/>
  <c r="N18" i="3"/>
  <c r="M18" i="3"/>
  <c r="L18" i="3"/>
  <c r="K18" i="3"/>
  <c r="J18" i="3"/>
  <c r="P17" i="3"/>
  <c r="O17" i="3"/>
  <c r="N17" i="3"/>
  <c r="M17" i="3"/>
  <c r="L17" i="3"/>
  <c r="K17" i="3"/>
  <c r="J17" i="3"/>
  <c r="I17" i="3"/>
  <c r="P16" i="3"/>
  <c r="O16" i="3"/>
  <c r="N16" i="3"/>
  <c r="M16" i="3"/>
  <c r="L16" i="3"/>
  <c r="K16" i="3"/>
  <c r="J16" i="3"/>
  <c r="I16" i="3"/>
  <c r="V13" i="13"/>
  <c r="V10" i="13"/>
  <c r="P6" i="9"/>
  <c r="O6" i="9"/>
  <c r="O7" i="9"/>
  <c r="P7" i="9"/>
  <c r="Q7" i="9"/>
  <c r="R7" i="9"/>
  <c r="O8" i="9"/>
  <c r="P8" i="9"/>
  <c r="Q8" i="9"/>
  <c r="R8" i="9"/>
  <c r="R6" i="9"/>
  <c r="Q6" i="9"/>
  <c r="M4" i="9"/>
  <c r="G4" i="9"/>
  <c r="M23" i="7"/>
  <c r="L23" i="7"/>
  <c r="I23" i="7"/>
  <c r="H23" i="7"/>
  <c r="M16" i="7"/>
  <c r="L16" i="7"/>
  <c r="I16" i="7"/>
  <c r="H16" i="7"/>
  <c r="J7" i="7"/>
  <c r="I7" i="7"/>
  <c r="Q31" i="3" l="1"/>
  <c r="S31" i="3" s="1"/>
  <c r="Q18" i="3"/>
  <c r="S18" i="3" s="1"/>
  <c r="Q17" i="3"/>
  <c r="S17" i="3" s="1"/>
  <c r="Q19" i="3"/>
  <c r="S19" i="3" s="1"/>
  <c r="Q24" i="3"/>
  <c r="S24" i="3" s="1"/>
  <c r="Q22" i="3"/>
  <c r="S22" i="3" s="1"/>
  <c r="Q29" i="3"/>
  <c r="S29" i="3" s="1"/>
  <c r="Q33" i="3"/>
  <c r="S33" i="3" s="1"/>
  <c r="Q21" i="3"/>
  <c r="S21" i="3" s="1"/>
  <c r="Q23" i="3"/>
  <c r="S23" i="3" s="1"/>
  <c r="Q16" i="3"/>
  <c r="S16" i="3" s="1"/>
  <c r="Q30" i="3"/>
  <c r="S30" i="3" s="1"/>
  <c r="D16" i="7"/>
  <c r="D21" i="7"/>
  <c r="D20" i="7"/>
  <c r="D19" i="7"/>
  <c r="D18" i="7"/>
  <c r="D17" i="7"/>
  <c r="V29" i="9"/>
  <c r="P28" i="9"/>
  <c r="O28" i="9"/>
  <c r="S26" i="9"/>
  <c r="U26" i="9" s="1"/>
  <c r="W28" i="9"/>
  <c r="R27" i="9"/>
  <c r="Q27" i="9"/>
  <c r="S6" i="9"/>
  <c r="U6" i="9" s="1"/>
  <c r="S7" i="9"/>
  <c r="U7" i="9" s="1"/>
  <c r="S8" i="9"/>
  <c r="U8" i="9" s="1"/>
  <c r="S4" i="9"/>
  <c r="U4" i="9" s="1"/>
  <c r="R20" i="7" l="1"/>
  <c r="T20" i="7" s="1"/>
  <c r="R21" i="7"/>
  <c r="T21" i="7" s="1"/>
  <c r="R16" i="7"/>
  <c r="T16" i="7" s="1"/>
  <c r="R17" i="7"/>
  <c r="T17" i="7" s="1"/>
  <c r="R18" i="7"/>
  <c r="T18" i="7" s="1"/>
  <c r="R19" i="7"/>
  <c r="T19" i="7" s="1"/>
  <c r="V30" i="9"/>
  <c r="O29" i="9"/>
  <c r="P29" i="9"/>
  <c r="W29" i="9"/>
  <c r="R28" i="9"/>
  <c r="Q28" i="9"/>
  <c r="S28" i="9" s="1"/>
  <c r="U28" i="9" s="1"/>
  <c r="S27" i="9"/>
  <c r="U27" i="9" s="1"/>
  <c r="O30" i="9" l="1"/>
  <c r="P30" i="9"/>
  <c r="V31" i="9"/>
  <c r="W30" i="9"/>
  <c r="R29" i="9"/>
  <c r="Q29" i="9"/>
  <c r="S29" i="9" s="1"/>
  <c r="U29" i="9" s="1"/>
  <c r="V32" i="9" l="1"/>
  <c r="O31" i="9"/>
  <c r="P31" i="9"/>
  <c r="W31" i="9"/>
  <c r="R30" i="9"/>
  <c r="Q30" i="9"/>
  <c r="G47" i="9"/>
  <c r="S47" i="9" s="1"/>
  <c r="U47" i="9" s="1"/>
  <c r="M47" i="9"/>
  <c r="P32" i="9" l="1"/>
  <c r="V33" i="9"/>
  <c r="O32" i="9"/>
  <c r="W32" i="9"/>
  <c r="R31" i="9"/>
  <c r="Q31" i="9"/>
  <c r="S30" i="9"/>
  <c r="U30" i="9" s="1"/>
  <c r="V34" i="9" l="1"/>
  <c r="P33" i="9"/>
  <c r="O33" i="9"/>
  <c r="S31" i="9"/>
  <c r="U31" i="9" s="1"/>
  <c r="W33" i="9"/>
  <c r="R32" i="9"/>
  <c r="Q32" i="9"/>
  <c r="S32" i="9" s="1"/>
  <c r="U32" i="9" s="1"/>
  <c r="V35" i="9" l="1"/>
  <c r="O34" i="9"/>
  <c r="P34" i="9"/>
  <c r="W34" i="9"/>
  <c r="Q33" i="9"/>
  <c r="R33" i="9"/>
  <c r="S33" i="9" l="1"/>
  <c r="U33" i="9" s="1"/>
  <c r="V36" i="9"/>
  <c r="O35" i="9"/>
  <c r="P35" i="9"/>
  <c r="W35" i="9"/>
  <c r="Q34" i="9"/>
  <c r="R34" i="9"/>
  <c r="V37" i="9" l="1"/>
  <c r="O36" i="9"/>
  <c r="P36" i="9"/>
  <c r="S34" i="9"/>
  <c r="U34" i="9" s="1"/>
  <c r="W36" i="9"/>
  <c r="R35" i="9"/>
  <c r="Q35" i="9"/>
  <c r="S35" i="9" l="1"/>
  <c r="U35" i="9" s="1"/>
  <c r="V38" i="9"/>
  <c r="P37" i="9"/>
  <c r="O37" i="9"/>
  <c r="R36" i="9"/>
  <c r="Q36" i="9"/>
  <c r="S36" i="9" s="1"/>
  <c r="U36" i="9" s="1"/>
  <c r="W37" i="9"/>
  <c r="O38" i="9" l="1"/>
  <c r="P38" i="9"/>
  <c r="V39" i="9"/>
  <c r="W38" i="9"/>
  <c r="R37" i="9"/>
  <c r="Q37" i="9"/>
  <c r="V40" i="9" l="1"/>
  <c r="P39" i="9"/>
  <c r="O39" i="9"/>
  <c r="W39" i="9"/>
  <c r="W40" i="9" s="1"/>
  <c r="R38" i="9"/>
  <c r="Q38" i="9"/>
  <c r="S37" i="9"/>
  <c r="U37" i="9" s="1"/>
  <c r="V41" i="9" l="1"/>
  <c r="P40" i="9"/>
  <c r="O40" i="9"/>
  <c r="W41" i="9"/>
  <c r="Q40" i="9"/>
  <c r="R40" i="9"/>
  <c r="R39" i="9"/>
  <c r="Q39" i="9"/>
  <c r="S38" i="9"/>
  <c r="U38" i="9" s="1"/>
  <c r="S39" i="9" l="1"/>
  <c r="U39" i="9" s="1"/>
  <c r="W42" i="9"/>
  <c r="R41" i="9"/>
  <c r="Q41" i="9"/>
  <c r="S40" i="9"/>
  <c r="U40" i="9" s="1"/>
  <c r="V42" i="9"/>
  <c r="O41" i="9"/>
  <c r="P41" i="9"/>
  <c r="O42" i="9" l="1"/>
  <c r="P42" i="9"/>
  <c r="V43" i="9"/>
  <c r="Q42" i="9"/>
  <c r="W43" i="9"/>
  <c r="R42" i="9"/>
  <c r="S41" i="9"/>
  <c r="U41" i="9" s="1"/>
  <c r="P43" i="9" l="1"/>
  <c r="O43" i="9"/>
  <c r="V44" i="9"/>
  <c r="Q43" i="9"/>
  <c r="W44" i="9"/>
  <c r="R43" i="9"/>
  <c r="S42" i="9"/>
  <c r="U42" i="9" s="1"/>
  <c r="P44" i="9" l="1"/>
  <c r="O44" i="9"/>
  <c r="V45" i="9"/>
  <c r="S43" i="9"/>
  <c r="U43" i="9" s="1"/>
  <c r="Q44" i="9"/>
  <c r="W45" i="9"/>
  <c r="R44" i="9"/>
  <c r="Q45" i="9" l="1"/>
  <c r="R45" i="9"/>
  <c r="O45" i="9"/>
  <c r="P45" i="9"/>
  <c r="S44" i="9"/>
  <c r="U44" i="9" s="1"/>
  <c r="S45" i="9" l="1"/>
  <c r="U45" i="9" s="1"/>
  <c r="D12" i="7"/>
  <c r="D13" i="7"/>
  <c r="D10" i="7"/>
  <c r="D8" i="7"/>
  <c r="D5" i="7"/>
  <c r="D6" i="7"/>
  <c r="D9" i="7"/>
  <c r="D7" i="7"/>
  <c r="D11" i="7"/>
  <c r="R13" i="7" l="1"/>
  <c r="T13" i="7" s="1"/>
  <c r="R11" i="7"/>
  <c r="T11" i="7" s="1"/>
  <c r="R12" i="7"/>
  <c r="T12" i="7" s="1"/>
  <c r="R10" i="7"/>
  <c r="T10" i="7" s="1"/>
  <c r="R8" i="7"/>
  <c r="T8" i="7" s="1"/>
  <c r="R7" i="7"/>
  <c r="T7" i="7" s="1"/>
  <c r="R6" i="7"/>
  <c r="T6" i="7" s="1"/>
  <c r="R5" i="7"/>
  <c r="T5" i="7" s="1"/>
  <c r="R9" i="7"/>
  <c r="T9" i="7" s="1"/>
  <c r="D51" i="7"/>
  <c r="D48" i="7"/>
  <c r="D45" i="7"/>
  <c r="D49" i="7"/>
  <c r="D46" i="7"/>
  <c r="D47" i="7"/>
  <c r="D53" i="7"/>
  <c r="D84" i="7"/>
  <c r="D64" i="7"/>
  <c r="D73" i="7"/>
  <c r="D74" i="7"/>
  <c r="D59" i="7"/>
  <c r="D69" i="7"/>
  <c r="D66" i="7"/>
  <c r="D63" i="7"/>
  <c r="D79" i="7"/>
  <c r="D77" i="7"/>
  <c r="D82" i="7"/>
  <c r="D55" i="7"/>
  <c r="D67" i="7"/>
  <c r="D61" i="7"/>
  <c r="D70" i="7"/>
  <c r="D72" i="7"/>
  <c r="D60" i="7"/>
  <c r="D62" i="7"/>
  <c r="D71" i="7"/>
  <c r="D58" i="7"/>
  <c r="D65" i="7"/>
  <c r="D68" i="7"/>
  <c r="D78" i="7"/>
  <c r="D25" i="7"/>
  <c r="D23" i="7"/>
  <c r="D24" i="7"/>
  <c r="D26" i="7"/>
  <c r="D28" i="7"/>
  <c r="D27" i="7"/>
  <c r="D40" i="7"/>
  <c r="D33" i="7"/>
  <c r="D34" i="7"/>
  <c r="D31" i="7"/>
  <c r="D38" i="7"/>
  <c r="D41" i="7"/>
  <c r="D42" i="7"/>
  <c r="D35" i="7"/>
  <c r="D36" i="7"/>
  <c r="D39" i="7"/>
  <c r="D32" i="7"/>
  <c r="R46" i="7" l="1"/>
  <c r="T46" i="7" s="1"/>
  <c r="R39" i="7"/>
  <c r="T39" i="7" s="1"/>
  <c r="R41" i="7"/>
  <c r="T41" i="7" s="1"/>
  <c r="R33" i="7"/>
  <c r="T33" i="7" s="1"/>
  <c r="R26" i="7"/>
  <c r="T26" i="7" s="1"/>
  <c r="R78" i="7"/>
  <c r="T78" i="7" s="1"/>
  <c r="R71" i="7"/>
  <c r="T71" i="7" s="1"/>
  <c r="R70" i="7"/>
  <c r="T70" i="7" s="1"/>
  <c r="R82" i="7"/>
  <c r="T82" i="7" s="1"/>
  <c r="R66" i="7"/>
  <c r="T66" i="7" s="1"/>
  <c r="R73" i="7"/>
  <c r="T73" i="7" s="1"/>
  <c r="R47" i="7"/>
  <c r="T47" i="7" s="1"/>
  <c r="R45" i="7"/>
  <c r="T45" i="7" s="1"/>
  <c r="R36" i="7"/>
  <c r="T36" i="7" s="1"/>
  <c r="R38" i="7"/>
  <c r="T38" i="7" s="1"/>
  <c r="R40" i="7"/>
  <c r="T40" i="7" s="1"/>
  <c r="R24" i="7"/>
  <c r="T24" i="7" s="1"/>
  <c r="R68" i="7"/>
  <c r="T68" i="7" s="1"/>
  <c r="R62" i="7"/>
  <c r="T62" i="7" s="1"/>
  <c r="R61" i="7"/>
  <c r="T61" i="7" s="1"/>
  <c r="R77" i="7"/>
  <c r="T77" i="7" s="1"/>
  <c r="R69" i="7"/>
  <c r="T69" i="7" s="1"/>
  <c r="R64" i="7"/>
  <c r="T64" i="7" s="1"/>
  <c r="R48" i="7"/>
  <c r="T48" i="7" s="1"/>
  <c r="R35" i="7"/>
  <c r="T35" i="7" s="1"/>
  <c r="R31" i="7"/>
  <c r="T31" i="7" s="1"/>
  <c r="R27" i="7"/>
  <c r="T27" i="7" s="1"/>
  <c r="R23" i="7"/>
  <c r="T23" i="7" s="1"/>
  <c r="R65" i="7"/>
  <c r="T65" i="7" s="1"/>
  <c r="R60" i="7"/>
  <c r="T60" i="7" s="1"/>
  <c r="R67" i="7"/>
  <c r="T67" i="7" s="1"/>
  <c r="R79" i="7"/>
  <c r="T79" i="7" s="1"/>
  <c r="R59" i="7"/>
  <c r="T59" i="7" s="1"/>
  <c r="R84" i="7"/>
  <c r="T84" i="7" s="1"/>
  <c r="R51" i="7"/>
  <c r="T51" i="7" s="1"/>
  <c r="R32" i="7"/>
  <c r="T32" i="7" s="1"/>
  <c r="R42" i="7"/>
  <c r="T42" i="7" s="1"/>
  <c r="R34" i="7"/>
  <c r="T34" i="7" s="1"/>
  <c r="R28" i="7"/>
  <c r="T28" i="7" s="1"/>
  <c r="R25" i="7"/>
  <c r="T25" i="7" s="1"/>
  <c r="R58" i="7"/>
  <c r="T58" i="7" s="1"/>
  <c r="R72" i="7"/>
  <c r="T72" i="7" s="1"/>
  <c r="R55" i="7"/>
  <c r="T55" i="7" s="1"/>
  <c r="R63" i="7"/>
  <c r="T63" i="7" s="1"/>
  <c r="R74" i="7"/>
  <c r="T74" i="7" s="1"/>
  <c r="R53" i="7"/>
  <c r="T53" i="7" s="1"/>
  <c r="R49" i="7"/>
  <c r="T49" i="7" s="1"/>
  <c r="S6" i="20"/>
  <c r="U6" i="20" s="1"/>
  <c r="S13" i="20"/>
  <c r="U13" i="20" s="1"/>
  <c r="S7" i="20"/>
  <c r="U7" i="20" s="1"/>
  <c r="S12" i="20"/>
  <c r="U12" i="20" s="1"/>
  <c r="S11" i="20"/>
  <c r="U11" i="20" s="1"/>
  <c r="S14" i="20"/>
  <c r="U14" i="20" s="1"/>
  <c r="S10" i="20"/>
  <c r="U10" i="20" s="1"/>
  <c r="S15" i="20"/>
  <c r="U15" i="20" s="1"/>
  <c r="S9" i="20"/>
  <c r="U9" i="20" s="1"/>
  <c r="S8" i="20"/>
  <c r="U8" i="20" s="1"/>
  <c r="S23" i="20"/>
  <c r="U23" i="20" s="1"/>
  <c r="S22" i="20"/>
  <c r="U22" i="20" s="1"/>
  <c r="S31" i="20"/>
  <c r="U31" i="20" s="1"/>
  <c r="S28" i="20"/>
  <c r="U28" i="20" s="1"/>
  <c r="S25" i="20"/>
  <c r="U25" i="20" s="1"/>
  <c r="S24" i="20"/>
  <c r="U24" i="20" s="1"/>
  <c r="S27" i="20"/>
  <c r="U27" i="20" s="1"/>
  <c r="S29" i="20"/>
  <c r="U29" i="20" s="1"/>
  <c r="S30" i="20"/>
  <c r="U30" i="20" s="1"/>
  <c r="S26" i="20"/>
  <c r="U26" i="20" s="1"/>
  <c r="S34" i="20"/>
  <c r="U34" i="20" s="1"/>
</calcChain>
</file>

<file path=xl/sharedStrings.xml><?xml version="1.0" encoding="utf-8"?>
<sst xmlns="http://schemas.openxmlformats.org/spreadsheetml/2006/main" count="7308" uniqueCount="971">
  <si>
    <t>aa</t>
    <phoneticPr fontId="1" type="noConversion"/>
  </si>
  <si>
    <t>00</t>
    <phoneticPr fontId="1" type="noConversion"/>
  </si>
  <si>
    <t>04</t>
    <phoneticPr fontId="1" type="noConversion"/>
  </si>
  <si>
    <t>21</t>
    <phoneticPr fontId="1" type="noConversion"/>
  </si>
  <si>
    <t>01</t>
    <phoneticPr fontId="1" type="noConversion"/>
  </si>
  <si>
    <t>55</t>
    <phoneticPr fontId="1" type="noConversion"/>
  </si>
  <si>
    <t>注释</t>
    <phoneticPr fontId="1" type="noConversion"/>
  </si>
  <si>
    <t>02</t>
    <phoneticPr fontId="1" type="noConversion"/>
  </si>
  <si>
    <t>03</t>
    <phoneticPr fontId="1" type="noConversion"/>
  </si>
  <si>
    <t>05</t>
    <phoneticPr fontId="1" type="noConversion"/>
  </si>
  <si>
    <t>长度</t>
    <phoneticPr fontId="1" type="noConversion"/>
  </si>
  <si>
    <t>命令码</t>
    <phoneticPr fontId="1" type="noConversion"/>
  </si>
  <si>
    <t>E1</t>
    <phoneticPr fontId="1" type="noConversion"/>
  </si>
  <si>
    <t>03</t>
  </si>
  <si>
    <t>01</t>
  </si>
  <si>
    <t>02</t>
  </si>
  <si>
    <t>63</t>
    <phoneticPr fontId="1" type="noConversion"/>
  </si>
  <si>
    <t>12</t>
    <phoneticPr fontId="1" type="noConversion"/>
  </si>
  <si>
    <t>04</t>
  </si>
  <si>
    <t>查询通道1的K值和B值</t>
  </si>
  <si>
    <t>30</t>
    <phoneticPr fontId="1" type="noConversion"/>
  </si>
  <si>
    <t>查询通道2的K值和B值</t>
  </si>
  <si>
    <t>查询通道3的K值和B值</t>
  </si>
  <si>
    <t>00</t>
    <phoneticPr fontId="1" type="noConversion"/>
  </si>
  <si>
    <t>设置通道1的K值和B值</t>
  </si>
  <si>
    <t>设置通道2的K值和B值</t>
  </si>
  <si>
    <t>设置通道3的K值和B值</t>
  </si>
  <si>
    <t>31</t>
    <phoneticPr fontId="1" type="noConversion"/>
  </si>
  <si>
    <t>11</t>
    <phoneticPr fontId="1" type="noConversion"/>
  </si>
  <si>
    <t>K值</t>
    <phoneticPr fontId="1" type="noConversion"/>
  </si>
  <si>
    <t>B值</t>
    <phoneticPr fontId="1" type="noConversion"/>
  </si>
  <si>
    <t>查询指定通道压力的K值和B值，返回8字节数据</t>
    <phoneticPr fontId="1" type="noConversion"/>
  </si>
  <si>
    <t>设置指定通道压力的K值和B值</t>
    <phoneticPr fontId="1" type="noConversion"/>
  </si>
  <si>
    <t>启动指定通道压力监测</t>
    <phoneticPr fontId="1" type="noConversion"/>
  </si>
  <si>
    <t>查询指定通道压力是否在指定范围，不在范围内上报故障</t>
    <phoneticPr fontId="1" type="noConversion"/>
  </si>
  <si>
    <t>建压</t>
    <phoneticPr fontId="1" type="noConversion"/>
  </si>
  <si>
    <t>0B</t>
    <phoneticPr fontId="1" type="noConversion"/>
  </si>
  <si>
    <t>0A</t>
    <phoneticPr fontId="1" type="noConversion"/>
  </si>
  <si>
    <t>最小值</t>
    <phoneticPr fontId="1" type="noConversion"/>
  </si>
  <si>
    <t>最大值</t>
    <phoneticPr fontId="1" type="noConversion"/>
  </si>
  <si>
    <t>压力值自动转换到参数区，单位：0.01KPa</t>
    <phoneticPr fontId="1" type="noConversion"/>
  </si>
  <si>
    <t>监控时间/ms</t>
    <phoneticPr fontId="1" type="noConversion"/>
  </si>
  <si>
    <t>40</t>
    <phoneticPr fontId="1" type="noConversion"/>
  </si>
  <si>
    <t>启动通道2压力监测</t>
  </si>
  <si>
    <t>启动通道3压力监测</t>
  </si>
  <si>
    <t>07</t>
    <phoneticPr fontId="1" type="noConversion"/>
  </si>
  <si>
    <t>查询通道0压力是否在指定范围</t>
    <phoneticPr fontId="1" type="noConversion"/>
  </si>
  <si>
    <t>设置通道0的K值和B值</t>
    <phoneticPr fontId="1" type="noConversion"/>
  </si>
  <si>
    <t>查询通道0的K值和B值</t>
    <phoneticPr fontId="1" type="noConversion"/>
  </si>
  <si>
    <t>查询通道1压力是否在指定范围</t>
  </si>
  <si>
    <t>查询通道2压力是否在指定范围</t>
  </si>
  <si>
    <t>查询通道3压力是否在指定范围</t>
  </si>
  <si>
    <t>09</t>
    <phoneticPr fontId="1" type="noConversion"/>
  </si>
  <si>
    <t>20</t>
    <phoneticPr fontId="1" type="noConversion"/>
  </si>
  <si>
    <t>启动通道2 建压</t>
  </si>
  <si>
    <t>泵控制</t>
    <phoneticPr fontId="1" type="noConversion"/>
  </si>
  <si>
    <t>22</t>
    <phoneticPr fontId="1" type="noConversion"/>
  </si>
  <si>
    <t>关闭所有泵</t>
    <phoneticPr fontId="1" type="noConversion"/>
  </si>
  <si>
    <t>打开所有泵</t>
    <phoneticPr fontId="1" type="noConversion"/>
  </si>
  <si>
    <t>关闭 泵1</t>
    <phoneticPr fontId="1" type="noConversion"/>
  </si>
  <si>
    <t>关闭 泵2</t>
  </si>
  <si>
    <t>打开 泵2</t>
  </si>
  <si>
    <t>关闭 泵3</t>
  </si>
  <si>
    <t>打开 泵3</t>
  </si>
  <si>
    <t>压力控制-&gt;0x63</t>
    <phoneticPr fontId="1" type="noConversion"/>
  </si>
  <si>
    <t>泵-&gt;0x22</t>
    <phoneticPr fontId="1" type="noConversion"/>
  </si>
  <si>
    <t>打开所有阀</t>
    <phoneticPr fontId="1" type="noConversion"/>
  </si>
  <si>
    <t>关闭 阀1</t>
    <phoneticPr fontId="1" type="noConversion"/>
  </si>
  <si>
    <t>打开 阀1</t>
    <phoneticPr fontId="1" type="noConversion"/>
  </si>
  <si>
    <t>01</t>
    <phoneticPr fontId="1" type="noConversion"/>
  </si>
  <si>
    <t>10</t>
    <phoneticPr fontId="1" type="noConversion"/>
  </si>
  <si>
    <t>23</t>
    <phoneticPr fontId="1" type="noConversion"/>
  </si>
  <si>
    <t>步数</t>
    <phoneticPr fontId="1" type="noConversion"/>
  </si>
  <si>
    <t>档速</t>
    <phoneticPr fontId="1" type="noConversion"/>
  </si>
  <si>
    <t>时间</t>
    <phoneticPr fontId="1" type="noConversion"/>
  </si>
  <si>
    <t>锁定</t>
    <phoneticPr fontId="1" type="noConversion"/>
  </si>
  <si>
    <t>时间/10ms</t>
    <phoneticPr fontId="1" type="noConversion"/>
  </si>
  <si>
    <t>起始</t>
    <phoneticPr fontId="1" type="noConversion"/>
  </si>
  <si>
    <t>控制</t>
    <phoneticPr fontId="1" type="noConversion"/>
  </si>
  <si>
    <t>类型</t>
    <phoneticPr fontId="1" type="noConversion"/>
  </si>
  <si>
    <t>通道号</t>
    <phoneticPr fontId="1" type="noConversion"/>
  </si>
  <si>
    <t>校验</t>
    <phoneticPr fontId="1" type="noConversion"/>
  </si>
  <si>
    <t>结束</t>
    <phoneticPr fontId="1" type="noConversion"/>
  </si>
  <si>
    <t>参数(没有就不写)</t>
    <phoneticPr fontId="1" type="noConversion"/>
  </si>
  <si>
    <t>串口黏贴内容</t>
    <phoneticPr fontId="1" type="noConversion"/>
  </si>
  <si>
    <t>00</t>
    <phoneticPr fontId="1" type="noConversion"/>
  </si>
  <si>
    <t>电机组1~x</t>
    <phoneticPr fontId="1" type="noConversion"/>
  </si>
  <si>
    <t>参数(没有就不写)</t>
    <phoneticPr fontId="1" type="noConversion"/>
  </si>
  <si>
    <t>校验</t>
    <phoneticPr fontId="1" type="noConversion"/>
  </si>
  <si>
    <t>结束</t>
    <phoneticPr fontId="1" type="noConversion"/>
  </si>
  <si>
    <t>00</t>
    <phoneticPr fontId="1" type="noConversion"/>
  </si>
  <si>
    <t>23</t>
    <phoneticPr fontId="1" type="noConversion"/>
  </si>
  <si>
    <t>55</t>
    <phoneticPr fontId="1" type="noConversion"/>
  </si>
  <si>
    <t>08</t>
    <phoneticPr fontId="1" type="noConversion"/>
  </si>
  <si>
    <t>时序-&gt;0x41、0x42、0x43</t>
    <phoneticPr fontId="1" type="noConversion"/>
  </si>
  <si>
    <t>时序号</t>
    <phoneticPr fontId="1" type="noConversion"/>
  </si>
  <si>
    <t>命令号</t>
    <phoneticPr fontId="1" type="noConversion"/>
  </si>
  <si>
    <t>帧数</t>
    <phoneticPr fontId="1" type="noConversion"/>
  </si>
  <si>
    <t>41</t>
    <phoneticPr fontId="1" type="noConversion"/>
  </si>
  <si>
    <t>42</t>
    <phoneticPr fontId="1" type="noConversion"/>
  </si>
  <si>
    <t>43</t>
    <phoneticPr fontId="1" type="noConversion"/>
  </si>
  <si>
    <t>命令号</t>
    <phoneticPr fontId="1" type="noConversion"/>
  </si>
  <si>
    <t>帧数</t>
    <phoneticPr fontId="1" type="noConversion"/>
  </si>
  <si>
    <t>包尾</t>
    <phoneticPr fontId="1" type="noConversion"/>
  </si>
  <si>
    <t>启动时序x</t>
    <phoneticPr fontId="1" type="noConversion"/>
  </si>
  <si>
    <t>注释</t>
    <phoneticPr fontId="1" type="noConversion"/>
  </si>
  <si>
    <t>停止时序运行</t>
    <phoneticPr fontId="1" type="noConversion"/>
  </si>
  <si>
    <t>电源电压监测-&gt;E1</t>
    <phoneticPr fontId="1" type="noConversion"/>
  </si>
  <si>
    <t>参数(没有就不写)</t>
    <phoneticPr fontId="1" type="noConversion"/>
  </si>
  <si>
    <t>查询指定通道的电源电压，返回两个字节的电源电压测量值，高位在前低位在后,-&gt;12V电压值</t>
    <phoneticPr fontId="1" type="noConversion"/>
  </si>
  <si>
    <t>查询指定通道的电源电压，返回两个字节的电源电压测量值，高位在前低位在后,-&gt;24V电压值</t>
    <phoneticPr fontId="1" type="noConversion"/>
  </si>
  <si>
    <t>温度控制</t>
    <phoneticPr fontId="1" type="noConversion"/>
  </si>
  <si>
    <t>62</t>
    <phoneticPr fontId="1" type="noConversion"/>
  </si>
  <si>
    <t>状态</t>
    <phoneticPr fontId="1" type="noConversion"/>
  </si>
  <si>
    <t xml:space="preserve">温度控制，状态：0x00—关闭温度控制，0x01—打开温度控制； </t>
    <phoneticPr fontId="1" type="noConversion"/>
  </si>
  <si>
    <t>参数（没有就不填）</t>
    <phoneticPr fontId="1" type="noConversion"/>
  </si>
  <si>
    <t>查询指定通道温度补偿后的温度值，返回2字节温度补偿后的温度值</t>
    <phoneticPr fontId="1" type="noConversion"/>
  </si>
  <si>
    <t>打开 阀4</t>
  </si>
  <si>
    <t>打开 阀5</t>
  </si>
  <si>
    <t>打开 阀7</t>
  </si>
  <si>
    <t>打开 阀8</t>
  </si>
  <si>
    <t>打开 阀9</t>
  </si>
  <si>
    <t>05</t>
  </si>
  <si>
    <t>06</t>
  </si>
  <si>
    <t>07</t>
  </si>
  <si>
    <t>08</t>
  </si>
  <si>
    <t>09</t>
  </si>
  <si>
    <t>打开 阀10</t>
  </si>
  <si>
    <t>打开 阀11</t>
  </si>
  <si>
    <t>打开 阀12</t>
  </si>
  <si>
    <t>打开 阀13</t>
  </si>
  <si>
    <t>打开 阀14</t>
  </si>
  <si>
    <t>打开 阀15</t>
  </si>
  <si>
    <t>打开 阀16</t>
  </si>
  <si>
    <t>打开 阀17</t>
  </si>
  <si>
    <t>打开 阀18</t>
  </si>
  <si>
    <t>打开 阀19</t>
  </si>
  <si>
    <t>打开 阀20</t>
  </si>
  <si>
    <t>打开 阀21</t>
  </si>
  <si>
    <t>打开 阀22</t>
  </si>
  <si>
    <t>打开 阀23</t>
  </si>
  <si>
    <t>打开 阀24</t>
  </si>
  <si>
    <t>打开 阀25</t>
  </si>
  <si>
    <t>打开 阀26</t>
  </si>
  <si>
    <t>打开 阀27</t>
  </si>
  <si>
    <t>打开 阀28</t>
  </si>
  <si>
    <t>打开 阀29</t>
  </si>
  <si>
    <t>打开 阀30</t>
  </si>
  <si>
    <t>打开 阀31</t>
  </si>
  <si>
    <t>打开 阀32</t>
  </si>
  <si>
    <t>打开 阀33</t>
  </si>
  <si>
    <t>打开 阀34</t>
  </si>
  <si>
    <t>打开 阀35</t>
  </si>
  <si>
    <t>打开 阀36</t>
  </si>
  <si>
    <t>打开 阀37</t>
  </si>
  <si>
    <t>打开 阀38</t>
  </si>
  <si>
    <t>打开 阀39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</si>
  <si>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</si>
  <si>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</si>
  <si>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</si>
  <si>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</si>
  <si>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</si>
  <si>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</si>
  <si>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</si>
  <si>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</si>
  <si>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</si>
  <si>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</si>
  <si>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</si>
  <si>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</si>
  <si>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</si>
  <si>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</si>
  <si>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</si>
  <si>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</si>
  <si>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</si>
  <si>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</si>
  <si>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</si>
  <si>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</si>
  <si>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</si>
  <si>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</si>
  <si>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</si>
  <si>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</si>
  <si>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</si>
  <si>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</si>
  <si>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</si>
  <si>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</si>
  <si>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</si>
  <si>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</si>
  <si>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打开 阀40</t>
  </si>
  <si>
    <t>打开 阀42</t>
  </si>
  <si>
    <t>打开 阀43</t>
  </si>
  <si>
    <t>打开 阀44</t>
  </si>
  <si>
    <t>打开 阀45</t>
  </si>
  <si>
    <t>打开 阀46</t>
  </si>
  <si>
    <t>打开 阀47</t>
  </si>
  <si>
    <t>打开 阀48</t>
  </si>
  <si>
    <t>打开 阀49</t>
  </si>
  <si>
    <t>打开 阀50</t>
  </si>
  <si>
    <t>打开 阀51</t>
  </si>
  <si>
    <t>打开 阀52</t>
  </si>
  <si>
    <t>打开 阀53</t>
  </si>
  <si>
    <t>打开 阀54</t>
  </si>
  <si>
    <t>打开 阀55</t>
  </si>
  <si>
    <t>打开 阀56</t>
  </si>
  <si>
    <t>打开 阀57</t>
  </si>
  <si>
    <t>打开 阀58</t>
  </si>
  <si>
    <t>打开 阀59</t>
  </si>
  <si>
    <t>打开 阀60</t>
  </si>
  <si>
    <t>0A</t>
  </si>
  <si>
    <t>0B</t>
  </si>
  <si>
    <t>0C</t>
  </si>
  <si>
    <t>0D</t>
  </si>
  <si>
    <t>0F</t>
  </si>
  <si>
    <t>1A</t>
  </si>
  <si>
    <t>1B</t>
  </si>
  <si>
    <t>1C</t>
  </si>
  <si>
    <t>1D</t>
  </si>
  <si>
    <t>1E</t>
  </si>
  <si>
    <t>1F</t>
  </si>
  <si>
    <t>2A</t>
  </si>
  <si>
    <t>2B</t>
  </si>
  <si>
    <t>2C</t>
  </si>
  <si>
    <t>2D</t>
  </si>
  <si>
    <t>2E</t>
  </si>
  <si>
    <t>2F</t>
  </si>
  <si>
    <t>3A</t>
  </si>
  <si>
    <t>3B</t>
  </si>
  <si>
    <t>3C</t>
  </si>
  <si>
    <t>0E</t>
    <phoneticPr fontId="1" type="noConversion"/>
  </si>
  <si>
    <t>启动通道1压力监测</t>
  </si>
  <si>
    <t>类型</t>
    <phoneticPr fontId="1" type="noConversion"/>
  </si>
  <si>
    <t>电机组1~x</t>
    <phoneticPr fontId="1" type="noConversion"/>
  </si>
  <si>
    <t>命令号</t>
    <phoneticPr fontId="1" type="noConversion"/>
  </si>
  <si>
    <t>档速</t>
    <phoneticPr fontId="1" type="noConversion"/>
  </si>
  <si>
    <t>时间</t>
    <phoneticPr fontId="1" type="noConversion"/>
  </si>
  <si>
    <t>锁定</t>
    <phoneticPr fontId="1" type="noConversion"/>
  </si>
  <si>
    <t>阻尼</t>
    <phoneticPr fontId="1" type="noConversion"/>
  </si>
  <si>
    <t>串口黏贴内容</t>
    <phoneticPr fontId="1" type="noConversion"/>
  </si>
  <si>
    <t>时间/10ms</t>
    <phoneticPr fontId="1" type="noConversion"/>
  </si>
  <si>
    <t>0a</t>
    <phoneticPr fontId="1" type="noConversion"/>
  </si>
  <si>
    <t>电机以指定的档速走指定步数-&gt;正向走</t>
    <phoneticPr fontId="1" type="noConversion"/>
  </si>
  <si>
    <t>电机以指定的档速走指定步数-&gt;反向走</t>
    <phoneticPr fontId="1" type="noConversion"/>
  </si>
  <si>
    <t>电机初始化</t>
    <phoneticPr fontId="1" type="noConversion"/>
  </si>
  <si>
    <t>位置</t>
    <phoneticPr fontId="1" type="noConversion"/>
  </si>
  <si>
    <t>01</t>
    <phoneticPr fontId="1" type="noConversion"/>
  </si>
  <si>
    <t>14</t>
    <phoneticPr fontId="1" type="noConversion"/>
  </si>
  <si>
    <t>电机以指定的档速运动到指定位置-垂直</t>
    <phoneticPr fontId="1" type="noConversion"/>
  </si>
  <si>
    <t>查询指定通道0温度值，返回2字节温度值（说明2）</t>
    <phoneticPr fontId="1" type="noConversion"/>
  </si>
  <si>
    <t>查询指定通道1温度值，返回2字节温度值（说明2）</t>
    <phoneticPr fontId="1" type="noConversion"/>
  </si>
  <si>
    <t>查询指定通道2温度值，返回2字节温度值（说明2）</t>
    <phoneticPr fontId="1" type="noConversion"/>
  </si>
  <si>
    <t>查询指定通道3温度值，返回2字节温度值（说明2）</t>
    <phoneticPr fontId="1" type="noConversion"/>
  </si>
  <si>
    <t>查询指定通道4温度值，返回2字节温度值（说明2）</t>
    <phoneticPr fontId="1" type="noConversion"/>
  </si>
  <si>
    <t>aa</t>
  </si>
  <si>
    <t>注释</t>
  </si>
  <si>
    <t>注释</t>
    <phoneticPr fontId="1" type="noConversion"/>
  </si>
  <si>
    <t>aa</t>
    <phoneticPr fontId="1" type="noConversion"/>
  </si>
  <si>
    <t>62</t>
  </si>
  <si>
    <t>00</t>
  </si>
  <si>
    <t>01</t>
    <phoneticPr fontId="1" type="noConversion"/>
  </si>
  <si>
    <t>12</t>
    <phoneticPr fontId="1" type="noConversion"/>
  </si>
  <si>
    <t>00</t>
    <phoneticPr fontId="1" type="noConversion"/>
  </si>
  <si>
    <t>起始</t>
    <phoneticPr fontId="1" type="noConversion"/>
  </si>
  <si>
    <t>控制</t>
    <phoneticPr fontId="1" type="noConversion"/>
  </si>
  <si>
    <t>长度</t>
    <phoneticPr fontId="1" type="noConversion"/>
  </si>
  <si>
    <t>类型</t>
    <phoneticPr fontId="1" type="noConversion"/>
  </si>
  <si>
    <t>通道号</t>
    <phoneticPr fontId="1" type="noConversion"/>
  </si>
  <si>
    <t>命令码</t>
    <phoneticPr fontId="1" type="noConversion"/>
  </si>
  <si>
    <t>合成给串口发送区</t>
    <phoneticPr fontId="1" type="noConversion"/>
  </si>
  <si>
    <t>协议参数动态修改区</t>
    <phoneticPr fontId="1" type="noConversion"/>
  </si>
  <si>
    <t>注释区</t>
    <phoneticPr fontId="1" type="noConversion"/>
  </si>
  <si>
    <t>05</t>
    <phoneticPr fontId="1" type="noConversion"/>
  </si>
  <si>
    <t>时序号</t>
    <phoneticPr fontId="1" type="noConversion"/>
  </si>
  <si>
    <t>时序号</t>
    <phoneticPr fontId="1" type="noConversion"/>
  </si>
  <si>
    <t>串口黏贴内容</t>
    <phoneticPr fontId="1" type="noConversion"/>
  </si>
  <si>
    <t>查询指定通道0温度值，返回2字节温度值（说明2）</t>
  </si>
  <si>
    <t>实例1-》没有参数</t>
    <phoneticPr fontId="1" type="noConversion"/>
  </si>
  <si>
    <t>协议参数区-&gt;起始，校验，结束码不可修改</t>
    <phoneticPr fontId="1" type="noConversion"/>
  </si>
  <si>
    <t>串口黏贴内容-&gt;自动生成</t>
    <phoneticPr fontId="1" type="noConversion"/>
  </si>
  <si>
    <t>实例2-》时序号分解到参数中去</t>
    <phoneticPr fontId="1" type="noConversion"/>
  </si>
  <si>
    <t>启动时序x</t>
    <phoneticPr fontId="1" type="noConversion"/>
  </si>
  <si>
    <t>查询所有泵状态</t>
  </si>
  <si>
    <t>查询所有泵状态</t>
    <phoneticPr fontId="1" type="noConversion"/>
  </si>
  <si>
    <t>阀-&gt;0x21</t>
    <phoneticPr fontId="1" type="noConversion"/>
  </si>
  <si>
    <t>阀控制</t>
    <phoneticPr fontId="1" type="noConversion"/>
  </si>
  <si>
    <t>关闭 阀2</t>
  </si>
  <si>
    <t>打开 阀2</t>
  </si>
  <si>
    <t>关闭 阀3</t>
  </si>
  <si>
    <t>打开 阀3</t>
  </si>
  <si>
    <t>打开 阀41</t>
    <phoneticPr fontId="1" type="noConversion"/>
  </si>
  <si>
    <t>查询阀组状态</t>
    <phoneticPr fontId="1" type="noConversion"/>
  </si>
  <si>
    <t>查询某个阀状态</t>
    <phoneticPr fontId="1" type="noConversion"/>
  </si>
  <si>
    <t>查询阀1状态</t>
    <phoneticPr fontId="1" type="noConversion"/>
  </si>
  <si>
    <t>查询阀2状态</t>
  </si>
  <si>
    <t>查询阀3状态</t>
  </si>
  <si>
    <t>阀查询</t>
    <phoneticPr fontId="1" type="noConversion"/>
  </si>
  <si>
    <t>启动时间</t>
    <phoneticPr fontId="1" type="noConversion"/>
  </si>
  <si>
    <t>包头</t>
    <phoneticPr fontId="1" type="noConversion"/>
  </si>
  <si>
    <t>1114调试-》电机以指定的档速运动到指定位置-水平正向走</t>
    <phoneticPr fontId="1" type="noConversion"/>
  </si>
  <si>
    <t>温度控制</t>
    <phoneticPr fontId="1" type="noConversion"/>
  </si>
  <si>
    <t>温度监控</t>
    <phoneticPr fontId="1" type="noConversion"/>
  </si>
  <si>
    <t>查询温度</t>
    <phoneticPr fontId="1" type="noConversion"/>
  </si>
  <si>
    <t>查询指定通道补偿值</t>
    <phoneticPr fontId="1" type="noConversion"/>
  </si>
  <si>
    <t>协议组</t>
    <phoneticPr fontId="1" type="noConversion"/>
  </si>
  <si>
    <t>文件说明</t>
    <phoneticPr fontId="1" type="noConversion"/>
  </si>
  <si>
    <t>aa 00 04 21 04 00 01 2A 55</t>
  </si>
  <si>
    <t>aa 00 04 21 05 00 01 2B 55</t>
  </si>
  <si>
    <t>aa 00 04 21 06 00 01 2C 55</t>
  </si>
  <si>
    <t>aa 00 04 21 07 00 01 2D 55</t>
  </si>
  <si>
    <t>aa 00 04 21 08 00 01 2E 55</t>
  </si>
  <si>
    <t>aa 00 04 21 09 00 01 2F 55</t>
  </si>
  <si>
    <t>aa 00 04 21 0A 00 01 30 55</t>
  </si>
  <si>
    <t>aa 00 04 21 0B 00 01 31 55</t>
  </si>
  <si>
    <t>aa 00 04 21 0C 00 01 32 55</t>
  </si>
  <si>
    <t>aa 00 04 21 0D 00 01 33 55</t>
  </si>
  <si>
    <t>aa 00 04 21 0E 00 01 34 55</t>
  </si>
  <si>
    <t>aa 00 04 21 0F 00 01 35 55</t>
  </si>
  <si>
    <t>aa 00 04 21 10 00 01 36 55</t>
  </si>
  <si>
    <t>aa 00 04 21 11 00 01 37 55</t>
  </si>
  <si>
    <t>aa 00 04 21 12 00 01 38 55</t>
  </si>
  <si>
    <t>aa 00 04 21 13 00 01 39 55</t>
  </si>
  <si>
    <t>aa 00 04 21 14 00 01 3A 55</t>
  </si>
  <si>
    <t>aa 00 04 21 15 00 01 3B 55</t>
  </si>
  <si>
    <t>aa 00 04 21 16 00 01 3C 55</t>
  </si>
  <si>
    <t>aa 00 04 21 17 00 01 3D 55</t>
  </si>
  <si>
    <t>aa 00 04 21 18 00 01 3E 55</t>
  </si>
  <si>
    <t>aa 00 04 21 19 00 01 3F 55</t>
  </si>
  <si>
    <t>aa 00 04 21 1A 00 01 40 55</t>
  </si>
  <si>
    <t>aa 00 04 21 1B 00 01 41 55</t>
  </si>
  <si>
    <t>aa 00 04 21 1C 00 01 42 55</t>
  </si>
  <si>
    <t>aa 00 04 21 1D 00 01 43 55</t>
  </si>
  <si>
    <t>aa 00 04 21 1E 00 01 44 55</t>
  </si>
  <si>
    <t>aa 00 04 21 1F 00 01 45 55</t>
  </si>
  <si>
    <t>aa 00 04 21 20 00 01 46 55</t>
  </si>
  <si>
    <t>aa 00 04 21 21 00 01 47 55</t>
  </si>
  <si>
    <t>aa 00 04 21 22 00 01 48 55</t>
  </si>
  <si>
    <t>aa 00 04 21 24 00 01 4A 55</t>
  </si>
  <si>
    <t>aa 00 04 21 25 00 01 4B 55</t>
  </si>
  <si>
    <t>aa 00 04 21 26 00 01 4C 55</t>
  </si>
  <si>
    <t>aa 00 04 21 27 00 01 4D 55</t>
  </si>
  <si>
    <t>aa 00 04 21 23 00 01 49 55</t>
    <phoneticPr fontId="1" type="noConversion"/>
  </si>
  <si>
    <t>多行数据合并-&gt;</t>
    <phoneticPr fontId="1" type="noConversion"/>
  </si>
  <si>
    <t>启动时间/10ms</t>
    <phoneticPr fontId="1" type="noConversion"/>
  </si>
  <si>
    <t>包体1-&gt;打开阀10</t>
    <phoneticPr fontId="1" type="noConversion"/>
  </si>
  <si>
    <t>包体2-&gt;关闭阀10</t>
    <phoneticPr fontId="1" type="noConversion"/>
  </si>
  <si>
    <t>01</t>
    <phoneticPr fontId="1" type="noConversion"/>
  </si>
  <si>
    <t>00</t>
    <phoneticPr fontId="1" type="noConversion"/>
  </si>
  <si>
    <t>08</t>
    <phoneticPr fontId="1" type="noConversion"/>
  </si>
  <si>
    <t>01</t>
    <phoneticPr fontId="1" type="noConversion"/>
  </si>
  <si>
    <t>包体3-&gt;打开泵1</t>
    <phoneticPr fontId="1" type="noConversion"/>
  </si>
  <si>
    <t>包体6-&gt;关闭泵1</t>
    <phoneticPr fontId="1" type="noConversion"/>
  </si>
  <si>
    <t>包体5-&gt;查询12V电压值</t>
    <phoneticPr fontId="1" type="noConversion"/>
  </si>
  <si>
    <t>包体4-&gt;查询ARM软件版本，返回4字节版本信息</t>
    <phoneticPr fontId="1" type="noConversion"/>
  </si>
  <si>
    <t>0B</t>
    <phoneticPr fontId="1" type="noConversion"/>
  </si>
  <si>
    <t>0C</t>
    <phoneticPr fontId="1" type="noConversion"/>
  </si>
  <si>
    <t>0D</t>
    <phoneticPr fontId="1" type="noConversion"/>
  </si>
  <si>
    <t>电机组1~x</t>
    <phoneticPr fontId="1" type="noConversion"/>
  </si>
  <si>
    <t>0E</t>
    <phoneticPr fontId="1" type="noConversion"/>
  </si>
  <si>
    <t>包体7-&gt;打开阀11</t>
    <phoneticPr fontId="1" type="noConversion"/>
  </si>
  <si>
    <t>包体8-&gt;关闭阀11</t>
    <phoneticPr fontId="1" type="noConversion"/>
  </si>
  <si>
    <t>包体-&gt;关闭阀12</t>
    <phoneticPr fontId="1" type="noConversion"/>
  </si>
  <si>
    <t>包体-&gt;打开阀13</t>
  </si>
  <si>
    <t>包体-&gt;关闭阀13</t>
  </si>
  <si>
    <t>包体-&gt;打开阀14</t>
  </si>
  <si>
    <t>包体-&gt;关闭阀14</t>
  </si>
  <si>
    <t>0F</t>
    <phoneticPr fontId="1" type="noConversion"/>
  </si>
  <si>
    <t>包体-&gt;打开阀15</t>
  </si>
  <si>
    <t>包体-&gt;关闭阀15</t>
  </si>
  <si>
    <t>包体-&gt;打开阀12</t>
    <phoneticPr fontId="1" type="noConversion"/>
  </si>
  <si>
    <t>包体-&gt;打开阀16</t>
  </si>
  <si>
    <t>包体-&gt;关闭阀16</t>
  </si>
  <si>
    <t>包体-&gt;打开阀17</t>
  </si>
  <si>
    <t>包体-&gt;关闭阀17</t>
  </si>
  <si>
    <t>包体-&gt;打开阀18</t>
  </si>
  <si>
    <t>包体-&gt;关闭阀18</t>
  </si>
  <si>
    <t>包体-&gt;打开阀19</t>
  </si>
  <si>
    <t>包体-&gt;关闭阀19</t>
  </si>
  <si>
    <t>10</t>
    <phoneticPr fontId="1" type="noConversion"/>
  </si>
  <si>
    <t>12</t>
    <phoneticPr fontId="1" type="noConversion"/>
  </si>
  <si>
    <t>13</t>
    <phoneticPr fontId="1" type="noConversion"/>
  </si>
  <si>
    <t>长度</t>
    <phoneticPr fontId="1" type="noConversion"/>
  </si>
  <si>
    <t>备注：本EXCEL 表格中，校验和是自动计算的，但是其他参数的输入要以16进制输入</t>
    <phoneticPr fontId="1" type="noConversion"/>
  </si>
  <si>
    <t>查询指定通道试剂状态，返回1字节状态值</t>
    <phoneticPr fontId="1" type="noConversion"/>
  </si>
  <si>
    <t>64</t>
    <phoneticPr fontId="1" type="noConversion"/>
  </si>
  <si>
    <t>查询指定通道试剂状态，返回1字节状态值</t>
    <phoneticPr fontId="1" type="noConversion"/>
  </si>
  <si>
    <t>00</t>
    <phoneticPr fontId="1" type="noConversion"/>
  </si>
  <si>
    <t>55</t>
    <phoneticPr fontId="1" type="noConversion"/>
  </si>
  <si>
    <t>启动通道1 建压6KPa</t>
    <phoneticPr fontId="1" type="noConversion"/>
  </si>
  <si>
    <t>建压时间/ms</t>
    <phoneticPr fontId="1" type="noConversion"/>
  </si>
  <si>
    <t>储液灌注 0xE2</t>
    <phoneticPr fontId="1" type="noConversion"/>
  </si>
  <si>
    <t>E2</t>
    <phoneticPr fontId="1" type="noConversion"/>
  </si>
  <si>
    <t>排液时间</t>
    <phoneticPr fontId="1" type="noConversion"/>
  </si>
  <si>
    <t>吸液时间</t>
    <phoneticPr fontId="1" type="noConversion"/>
  </si>
  <si>
    <t>通道0 开启灌注</t>
    <phoneticPr fontId="1" type="noConversion"/>
  </si>
  <si>
    <t>协议参数动态修改区
时间单位：10ms</t>
    <phoneticPr fontId="1" type="noConversion"/>
  </si>
  <si>
    <t>废液排空 0xE3</t>
    <phoneticPr fontId="1" type="noConversion"/>
  </si>
  <si>
    <t>最大时间</t>
    <phoneticPr fontId="1" type="noConversion"/>
  </si>
  <si>
    <t>E3</t>
    <phoneticPr fontId="1" type="noConversion"/>
  </si>
  <si>
    <t>打开 阀6</t>
    <phoneticPr fontId="1" type="noConversion"/>
  </si>
  <si>
    <t>试剂检测 0x64</t>
    <phoneticPr fontId="1" type="noConversion"/>
  </si>
  <si>
    <t>查询指定开关通道的状态，0x00表示非正常状态，0x01表示正常状态</t>
    <phoneticPr fontId="1" type="noConversion"/>
  </si>
  <si>
    <t>查询指定开关通道的状态，0x00表示非正常状态，0x02表示正常状态</t>
  </si>
  <si>
    <t>查询指定开关通道的状态，0x00表示非正常状态，0x03表示正常状态</t>
  </si>
  <si>
    <t>查询指定开关通道的状态，0x00表示非正常状态，0x04表示正常状态</t>
  </si>
  <si>
    <t>查询指定开关通道的状态，0x00表示非正常状态，0x05表示正常状态</t>
  </si>
  <si>
    <t>21</t>
    <phoneticPr fontId="1" type="noConversion"/>
  </si>
  <si>
    <t>E0</t>
    <phoneticPr fontId="1" type="noConversion"/>
  </si>
  <si>
    <t>开关检测 0xE0</t>
    <phoneticPr fontId="1" type="noConversion"/>
  </si>
  <si>
    <t>00</t>
    <phoneticPr fontId="1" type="noConversion"/>
  </si>
  <si>
    <t>01</t>
    <phoneticPr fontId="1" type="noConversion"/>
  </si>
  <si>
    <t>查询指定光耦号的电机光耦的状态。</t>
    <phoneticPr fontId="1" type="noConversion"/>
  </si>
  <si>
    <t>61</t>
    <phoneticPr fontId="1" type="noConversion"/>
  </si>
  <si>
    <t>B8</t>
    <phoneticPr fontId="1" type="noConversion"/>
  </si>
  <si>
    <t>00</t>
    <phoneticPr fontId="1" type="noConversion"/>
  </si>
  <si>
    <t>电机控制-&gt;0x23</t>
    <phoneticPr fontId="1" type="noConversion"/>
  </si>
  <si>
    <t>装载组件-&gt;0x70</t>
    <phoneticPr fontId="1" type="noConversion"/>
  </si>
  <si>
    <t>初始化装载组件</t>
    <phoneticPr fontId="1" type="noConversion"/>
  </si>
  <si>
    <t>配置装载组件的电机号（电机号1-7）及运行档速（1-20)</t>
    <phoneticPr fontId="1" type="noConversion"/>
  </si>
  <si>
    <t>装载试管架</t>
    <phoneticPr fontId="1" type="noConversion"/>
  </si>
  <si>
    <t>电机号</t>
    <phoneticPr fontId="1" type="noConversion"/>
  </si>
  <si>
    <t>运行档速</t>
    <phoneticPr fontId="1" type="noConversion"/>
  </si>
  <si>
    <t>70</t>
    <phoneticPr fontId="1" type="noConversion"/>
  </si>
  <si>
    <t>给进组件-&gt;0x71</t>
    <phoneticPr fontId="1" type="noConversion"/>
  </si>
  <si>
    <t>配置进给组件的电机号（电机号1-7）及运行档速（1-20）</t>
    <phoneticPr fontId="1" type="noConversion"/>
  </si>
  <si>
    <t>初始化进给组件</t>
    <phoneticPr fontId="1" type="noConversion"/>
  </si>
  <si>
    <t>试管架移动1个试管位</t>
    <phoneticPr fontId="1" type="noConversion"/>
  </si>
  <si>
    <t>卸载组件-&gt;0x72</t>
    <phoneticPr fontId="1" type="noConversion"/>
  </si>
  <si>
    <t>配置卸载组件的电机号（电机号1-7）及运行档速（1-20）</t>
    <phoneticPr fontId="1" type="noConversion"/>
  </si>
  <si>
    <t>初始化卸载组件</t>
    <phoneticPr fontId="1" type="noConversion"/>
  </si>
  <si>
    <t>卸载试管架</t>
    <phoneticPr fontId="1" type="noConversion"/>
  </si>
  <si>
    <t>71</t>
    <phoneticPr fontId="1" type="noConversion"/>
  </si>
  <si>
    <t>72</t>
    <phoneticPr fontId="1" type="noConversion"/>
  </si>
  <si>
    <t>03</t>
    <phoneticPr fontId="1" type="noConversion"/>
  </si>
  <si>
    <t>06</t>
    <phoneticPr fontId="1" type="noConversion"/>
  </si>
  <si>
    <t xml:space="preserve"> 条码扫描器-&gt;0x024</t>
    <phoneticPr fontId="1" type="noConversion"/>
  </si>
  <si>
    <t>24</t>
    <phoneticPr fontId="1" type="noConversion"/>
  </si>
  <si>
    <t>启动读取条码扫描器，返回读取状态和1-20字节条码数据</t>
    <phoneticPr fontId="1" type="noConversion"/>
  </si>
  <si>
    <t>关闭激光器</t>
    <phoneticPr fontId="1" type="noConversion"/>
  </si>
  <si>
    <t>打开激光器</t>
    <phoneticPr fontId="1" type="noConversion"/>
  </si>
  <si>
    <t>设置条码扫描仪类型(说明2)，返回1个字节的扫描仪检测结果
0x00：无条码扫描器
0x01: 有条码扫描仪</t>
    <phoneticPr fontId="1" type="noConversion"/>
  </si>
  <si>
    <t>说明</t>
  </si>
  <si>
    <t>0x01</t>
  </si>
  <si>
    <t>条码扫描仪设置为MS-3</t>
  </si>
  <si>
    <t>0x02</t>
  </si>
  <si>
    <t>条码扫描仪设置为MS954</t>
  </si>
  <si>
    <t>0x03</t>
  </si>
  <si>
    <t>条码扫描仪类型</t>
    <phoneticPr fontId="1" type="noConversion"/>
  </si>
  <si>
    <t>码制</t>
  </si>
  <si>
    <t>码制</t>
    <phoneticPr fontId="1" type="noConversion"/>
  </si>
  <si>
    <t>0x04</t>
  </si>
  <si>
    <t>0x08</t>
  </si>
  <si>
    <t>0x10</t>
  </si>
  <si>
    <t>支持CODE128</t>
  </si>
  <si>
    <t>支持CODE93</t>
  </si>
  <si>
    <t>支持CODE39</t>
  </si>
  <si>
    <t>支持CODABAR</t>
  </si>
  <si>
    <t>支持ITF</t>
  </si>
  <si>
    <t>支持条码长度</t>
  </si>
  <si>
    <t>0xFFFF</t>
  </si>
  <si>
    <t>0x0001</t>
  </si>
  <si>
    <t>0x0002</t>
  </si>
  <si>
    <t>0x0001&lt;&lt; (i-1)</t>
  </si>
  <si>
    <t>0x0003</t>
  </si>
  <si>
    <t>支持条码长度1~20</t>
  </si>
  <si>
    <t>仅支持条码长度1</t>
  </si>
  <si>
    <t>仅支持条码长度2</t>
  </si>
  <si>
    <t>仅支持条码长度i，i取值1~20</t>
  </si>
  <si>
    <t>支持条码长度1和2</t>
  </si>
  <si>
    <t>条码长度</t>
    <phoneticPr fontId="1" type="noConversion"/>
  </si>
  <si>
    <t>0000FFFF</t>
    <phoneticPr fontId="1" type="noConversion"/>
  </si>
  <si>
    <t>扫描器型号：MS954</t>
    <phoneticPr fontId="1" type="noConversion"/>
  </si>
  <si>
    <t>协议参数区-&gt;数据长度，数据1,2,3...校验</t>
    <phoneticPr fontId="1" type="noConversion"/>
  </si>
  <si>
    <t>合成给串口发送区:波特率=9600</t>
    <phoneticPr fontId="1" type="noConversion"/>
  </si>
  <si>
    <t>注释：这里是把扫描仪直接接到串口</t>
    <phoneticPr fontId="1" type="noConversion"/>
  </si>
  <si>
    <t>采用组件</t>
    <phoneticPr fontId="1" type="noConversion"/>
  </si>
  <si>
    <t>光耦号</t>
    <phoneticPr fontId="1" type="noConversion"/>
  </si>
  <si>
    <t>获取电机组件1的位置1对应的光耦号</t>
    <phoneticPr fontId="1" type="noConversion"/>
  </si>
  <si>
    <t>01</t>
    <phoneticPr fontId="1" type="noConversion"/>
  </si>
  <si>
    <t>混匀组件-&gt;0x73</t>
    <phoneticPr fontId="1" type="noConversion"/>
  </si>
  <si>
    <t>73</t>
    <phoneticPr fontId="1" type="noConversion"/>
  </si>
  <si>
    <t>20</t>
    <phoneticPr fontId="1" type="noConversion"/>
  </si>
  <si>
    <t>初始化混匀组件</t>
  </si>
  <si>
    <t>启动试管混匀（完成所有动作）</t>
  </si>
  <si>
    <t>启动初始化抓取机构</t>
  </si>
  <si>
    <t>抓取试管</t>
  </si>
  <si>
    <t>启动初始化升降机构</t>
  </si>
  <si>
    <t>举起试管</t>
  </si>
  <si>
    <t>启动速初始化摆动机构</t>
  </si>
  <si>
    <t>摆动试管</t>
  </si>
  <si>
    <t>查询混匀组件是否在初始位，返回1字节状态值（0x00：混匀组件在初始位，0x01：混匀组件不在初始位）</t>
  </si>
  <si>
    <t>自动进样组件-&gt;0x11</t>
    <phoneticPr fontId="1" type="noConversion"/>
  </si>
  <si>
    <t>启动通道0压力监测</t>
    <phoneticPr fontId="1" type="noConversion"/>
  </si>
  <si>
    <t>停止自动进样（正常），推出横向所有试管架且不装载试管架</t>
    <phoneticPr fontId="1" type="noConversion"/>
  </si>
  <si>
    <t>自动进样结束命令</t>
    <phoneticPr fontId="1" type="noConversion"/>
  </si>
  <si>
    <t>自动进样混匀动作结束命令</t>
    <phoneticPr fontId="1" type="noConversion"/>
  </si>
  <si>
    <t>查询自动进样器状态，返回1字节状态值（0x00：在初始位，0x01：不在初始位）</t>
    <phoneticPr fontId="1" type="noConversion"/>
  </si>
  <si>
    <t>调试命令1</t>
    <phoneticPr fontId="1" type="noConversion"/>
  </si>
  <si>
    <t>F0</t>
    <phoneticPr fontId="1" type="noConversion"/>
  </si>
  <si>
    <t>80</t>
    <phoneticPr fontId="1" type="noConversion"/>
  </si>
  <si>
    <r>
      <t>自动进样时启动试管的</t>
    </r>
    <r>
      <rPr>
        <sz val="8"/>
        <color rgb="FFFF0000"/>
        <rFont val="宋体"/>
        <family val="3"/>
        <charset val="134"/>
        <scheme val="minor"/>
      </rPr>
      <t>混匀</t>
    </r>
    <phoneticPr fontId="1" type="noConversion"/>
  </si>
  <si>
    <t>查询条码扫描器状态，返回1个字节状态数据
0x00：无条码扫描器
0x01: 条码扫描仪是MS-3，
0x02:条码扫描仪是MS954
0x03：条码扫描仪是CR100系列</t>
    <phoneticPr fontId="1" type="noConversion"/>
  </si>
  <si>
    <t>条码扫描仪设置为CR100系列</t>
    <phoneticPr fontId="1" type="noConversion"/>
  </si>
  <si>
    <r>
      <t>查询混匀位试管信息</t>
    </r>
    <r>
      <rPr>
        <sz val="8"/>
        <color rgb="FFFF0000"/>
        <rFont val="宋体"/>
        <family val="3"/>
        <charset val="134"/>
        <scheme val="minor"/>
      </rPr>
      <t>(1114新增)</t>
    </r>
    <phoneticPr fontId="1" type="noConversion"/>
  </si>
  <si>
    <r>
      <t>混匀组件</t>
    </r>
    <r>
      <rPr>
        <sz val="8"/>
        <color rgb="FFFF0000"/>
        <rFont val="宋体"/>
        <family val="3"/>
        <charset val="134"/>
        <scheme val="minor"/>
      </rPr>
      <t>复位</t>
    </r>
    <r>
      <rPr>
        <sz val="8"/>
        <color theme="1"/>
        <rFont val="宋体"/>
        <family val="2"/>
        <charset val="134"/>
        <scheme val="minor"/>
      </rPr>
      <t>命令</t>
    </r>
    <phoneticPr fontId="1" type="noConversion"/>
  </si>
  <si>
    <t>01</t>
    <phoneticPr fontId="1" type="noConversion"/>
  </si>
  <si>
    <t>设置MS-3</t>
    <phoneticPr fontId="1" type="noConversion"/>
  </si>
  <si>
    <t>设置CR100</t>
    <phoneticPr fontId="1" type="noConversion"/>
  </si>
  <si>
    <t>05</t>
    <phoneticPr fontId="1" type="noConversion"/>
  </si>
  <si>
    <t>F6</t>
    <phoneticPr fontId="1" type="noConversion"/>
  </si>
  <si>
    <t>01</t>
    <phoneticPr fontId="1" type="noConversion"/>
  </si>
  <si>
    <t>获取电机属性信息；返回3字节数据：最大电流（xx）+锁定（xx）+方向（xx）</t>
    <phoneticPr fontId="1" type="noConversion"/>
  </si>
  <si>
    <t>电流</t>
    <phoneticPr fontId="1" type="noConversion"/>
  </si>
  <si>
    <t>方向</t>
    <phoneticPr fontId="1" type="noConversion"/>
  </si>
  <si>
    <t>00</t>
    <phoneticPr fontId="1" type="noConversion"/>
  </si>
  <si>
    <t>07</t>
    <phoneticPr fontId="1" type="noConversion"/>
  </si>
  <si>
    <t>目标温度值</t>
    <phoneticPr fontId="1" type="noConversion"/>
  </si>
  <si>
    <t>设置目标温度值</t>
    <phoneticPr fontId="1" type="noConversion"/>
  </si>
  <si>
    <t>温度</t>
    <phoneticPr fontId="1" type="noConversion"/>
  </si>
  <si>
    <t>指定档速初始化-&gt;稀释</t>
    <phoneticPr fontId="1" type="noConversion"/>
  </si>
  <si>
    <t>指定档速初始化-&gt;样本</t>
    <phoneticPr fontId="1" type="noConversion"/>
  </si>
  <si>
    <t>02</t>
    <phoneticPr fontId="1" type="noConversion"/>
  </si>
  <si>
    <t>垂直号</t>
    <phoneticPr fontId="1" type="noConversion"/>
  </si>
  <si>
    <t>水平号</t>
    <phoneticPr fontId="1" type="noConversion"/>
  </si>
  <si>
    <r>
      <t>本文件为了解决以下几个问题：
1.解决制作can的协议时</t>
    </r>
    <r>
      <rPr>
        <sz val="11"/>
        <color rgb="FFFF0000"/>
        <rFont val="宋体"/>
        <family val="3"/>
        <charset val="134"/>
        <scheme val="minor"/>
      </rPr>
      <t>校验码</t>
    </r>
    <r>
      <rPr>
        <sz val="11"/>
        <color theme="1"/>
        <rFont val="宋体"/>
        <family val="2"/>
        <charset val="134"/>
        <scheme val="minor"/>
      </rPr>
      <t>的复杂计算,长度也是自动计算的
  通过excel的自动计算功能将前面填入的参数自动计算出校验码，并且生成一个可以直接黏贴到串口单元格数据（绿色单元格）。可以通过复制和excel的复制累加功能快速生成1~160的阀操作指令。
2.解决串口sscom中只有32条字符串发送并且多次需要复制粘贴的问题。
  在使用这个功能之前必须先打开“zheng.exe”软件，</t>
    </r>
    <r>
      <rPr>
        <sz val="11"/>
        <color theme="1"/>
        <rFont val="宋体"/>
        <family val="3"/>
        <charset val="134"/>
        <scheme val="minor"/>
      </rPr>
      <t xml:space="preserve">右击单元格就可以发送单元格的内容，发送内容以绿色单元格格式为基准，一个单元格只能放一条指令，但可以多个单元格一起发送，这在时序发送时应该可以派上用场。
使用注意：1.如果提示不能使用宏，打开宏信任。操作方法：文件-&gt;选项-&gt;信任中心-&gt;中心设置-&gt;宏设置-&gt;启用所有宏。
</t>
    </r>
    <phoneticPr fontId="1" type="noConversion"/>
  </si>
  <si>
    <t>档速</t>
  </si>
  <si>
    <t>最大时间</t>
  </si>
  <si>
    <t>速度</t>
    <phoneticPr fontId="1" type="noConversion"/>
  </si>
  <si>
    <t>水平电机号</t>
    <phoneticPr fontId="1" type="noConversion"/>
  </si>
  <si>
    <t>垂直电机号</t>
    <phoneticPr fontId="1" type="noConversion"/>
  </si>
  <si>
    <t>15</t>
    <phoneticPr fontId="1" type="noConversion"/>
  </si>
  <si>
    <t>水平-&gt;  特定蛋白池6(MR6)</t>
    <phoneticPr fontId="1" type="noConversion"/>
  </si>
  <si>
    <t>水平-&gt;  特定蛋白池5(MR5)</t>
    <phoneticPr fontId="1" type="noConversion"/>
  </si>
  <si>
    <t>水平-&gt;  特定蛋白池4(MR4)</t>
    <phoneticPr fontId="1" type="noConversion"/>
  </si>
  <si>
    <t>水平-&gt;  特定蛋白池3(MR3)</t>
    <phoneticPr fontId="1" type="noConversion"/>
  </si>
  <si>
    <t>水平-&gt;  特定蛋白池2(MR2)</t>
    <phoneticPr fontId="1" type="noConversion"/>
  </si>
  <si>
    <t>水平-&gt;  特定蛋白池1(MR1)</t>
    <phoneticPr fontId="1" type="noConversion"/>
  </si>
  <si>
    <t>水平-&gt;  RBC池位</t>
    <phoneticPr fontId="1" type="noConversion"/>
  </si>
  <si>
    <t>水平-&gt;  WBC池位</t>
    <phoneticPr fontId="1" type="noConversion"/>
  </si>
  <si>
    <t>水平-&gt;  DIFF池位</t>
    <phoneticPr fontId="1" type="noConversion"/>
  </si>
  <si>
    <t>水平-&gt;  自动采样位</t>
    <phoneticPr fontId="1" type="noConversion"/>
  </si>
  <si>
    <t>水平-&gt;  开放采样位</t>
    <phoneticPr fontId="1" type="noConversion"/>
  </si>
  <si>
    <r>
      <t>指定档速初始化-&gt;</t>
    </r>
    <r>
      <rPr>
        <b/>
        <sz val="11"/>
        <color theme="1"/>
        <rFont val="宋体"/>
        <family val="3"/>
        <charset val="134"/>
        <scheme val="minor"/>
      </rPr>
      <t>水平</t>
    </r>
    <phoneticPr fontId="1" type="noConversion"/>
  </si>
  <si>
    <t>10</t>
    <phoneticPr fontId="1" type="noConversion"/>
  </si>
  <si>
    <t>电机属性配置；锁定：0x00--电机不锁定，
0x01--电机锁定方向表示远离初始位的方向</t>
    <phoneticPr fontId="1" type="noConversion"/>
  </si>
  <si>
    <t>垂直-》  初始位</t>
    <phoneticPr fontId="1" type="noConversion"/>
  </si>
  <si>
    <t>查询指定压力 通道0（6Kpa）</t>
    <phoneticPr fontId="1" type="noConversion"/>
  </si>
  <si>
    <t>查询指定压力 通道1（60Kpa）</t>
    <phoneticPr fontId="1" type="noConversion"/>
  </si>
  <si>
    <t>查询指定压力 通道2（-30Kpa）</t>
    <phoneticPr fontId="1" type="noConversion"/>
  </si>
  <si>
    <t>查询指定压力 通道3（鞘流）</t>
    <phoneticPr fontId="1" type="noConversion"/>
  </si>
  <si>
    <t>从站相关-&gt;0x01</t>
    <phoneticPr fontId="1" type="noConversion"/>
  </si>
  <si>
    <t>查询从站PCB版本信息，返回4字节版本信息</t>
    <phoneticPr fontId="1" type="noConversion"/>
  </si>
  <si>
    <t>查询ARM软件版本，返回4字节版本信息</t>
    <phoneticPr fontId="1" type="noConversion"/>
  </si>
  <si>
    <t>查询FPGA版本，返回4字节版本信息</t>
    <phoneticPr fontId="1" type="noConversion"/>
  </si>
  <si>
    <t>获取时间，返回6字节时间数据：年、月、日、时、分、秒</t>
    <phoneticPr fontId="1" type="noConversion"/>
  </si>
  <si>
    <t>设置时间</t>
  </si>
  <si>
    <t>年</t>
    <phoneticPr fontId="1" type="noConversion"/>
  </si>
  <si>
    <t>月</t>
    <phoneticPr fontId="1" type="noConversion"/>
  </si>
  <si>
    <t>日</t>
    <phoneticPr fontId="1" type="noConversion"/>
  </si>
  <si>
    <t>时</t>
    <phoneticPr fontId="1" type="noConversion"/>
  </si>
  <si>
    <t>分</t>
    <phoneticPr fontId="1" type="noConversion"/>
  </si>
  <si>
    <t>秒</t>
    <phoneticPr fontId="1" type="noConversion"/>
  </si>
  <si>
    <t>02</t>
    <phoneticPr fontId="1" type="noConversion"/>
  </si>
  <si>
    <t>设置时间</t>
    <phoneticPr fontId="1" type="noConversion"/>
  </si>
  <si>
    <t>关闭所有阀</t>
    <phoneticPr fontId="1" type="noConversion"/>
  </si>
  <si>
    <t>打开 阀61</t>
  </si>
  <si>
    <t>打开 阀62</t>
  </si>
  <si>
    <t>打开 阀63</t>
  </si>
  <si>
    <t>打开 阀64</t>
  </si>
  <si>
    <t>打开 阀65</t>
  </si>
  <si>
    <t>打开 阀66</t>
  </si>
  <si>
    <t>打开 阀67</t>
  </si>
  <si>
    <t>打开 阀68</t>
  </si>
  <si>
    <t>3D</t>
    <phoneticPr fontId="1" type="noConversion"/>
  </si>
  <si>
    <t>3E</t>
    <phoneticPr fontId="1" type="noConversion"/>
  </si>
  <si>
    <t>3F</t>
    <phoneticPr fontId="1" type="noConversion"/>
  </si>
  <si>
    <t>40</t>
    <phoneticPr fontId="1" type="noConversion"/>
  </si>
  <si>
    <t>41</t>
  </si>
  <si>
    <t>42</t>
  </si>
  <si>
    <t>43</t>
  </si>
  <si>
    <t>44</t>
  </si>
  <si>
    <t>45</t>
  </si>
  <si>
    <t>aa 00 04 21 00 00 00 25 55</t>
  </si>
  <si>
    <t>电机以指定的档速走指定步数-&gt;正向走</t>
    <phoneticPr fontId="1" type="noConversion"/>
  </si>
  <si>
    <t>10</t>
    <phoneticPr fontId="1" type="noConversion"/>
  </si>
  <si>
    <t>14</t>
    <phoneticPr fontId="1" type="noConversion"/>
  </si>
  <si>
    <t>00</t>
    <phoneticPr fontId="1" type="noConversion"/>
  </si>
  <si>
    <t>55</t>
    <phoneticPr fontId="1" type="noConversion"/>
  </si>
  <si>
    <t>查询指定长度的试剂检测通道组的状态。参数表示指定长度。返回 数据长度 + 数据长度字节的试剂检测通道组的状态，其中，状态字段的第一字节表示0~7号试剂检测通道的状态；字节低位表示低位号试剂通道的状态。0表示无试剂，1表示有试剂。注：试剂有无与光耦的状态相反。该条指令返回的是实际光耦状态的取反。（说明1）没有超限的情况下返回的数据长度字节等于指定长度字节，如果超限，返回最大组。</t>
    <phoneticPr fontId="1" type="noConversion"/>
  </si>
  <si>
    <t>10</t>
    <phoneticPr fontId="1" type="noConversion"/>
  </si>
  <si>
    <t>校验</t>
    <phoneticPr fontId="1" type="noConversion"/>
  </si>
  <si>
    <t>校验</t>
    <phoneticPr fontId="1" type="noConversion"/>
  </si>
  <si>
    <t>04</t>
    <phoneticPr fontId="1" type="noConversion"/>
  </si>
  <si>
    <t>00</t>
    <phoneticPr fontId="1" type="noConversion"/>
  </si>
  <si>
    <t>02</t>
    <phoneticPr fontId="1" type="noConversion"/>
  </si>
  <si>
    <t>08</t>
    <phoneticPr fontId="1" type="noConversion"/>
  </si>
  <si>
    <t>电机档速</t>
    <phoneticPr fontId="1" type="noConversion"/>
  </si>
  <si>
    <t>细分数</t>
    <phoneticPr fontId="1" type="noConversion"/>
  </si>
  <si>
    <t>电机档速和细分配置</t>
    <phoneticPr fontId="1" type="noConversion"/>
  </si>
  <si>
    <t>0x00 半步；0x01 4细分；0x02 8细分；0x03 16细分；</t>
    <phoneticPr fontId="1" type="noConversion"/>
  </si>
  <si>
    <t>设置MS954</t>
    <phoneticPr fontId="1" type="noConversion"/>
  </si>
  <si>
    <t>01</t>
    <phoneticPr fontId="1" type="noConversion"/>
  </si>
  <si>
    <t>0C</t>
    <phoneticPr fontId="1" type="noConversion"/>
  </si>
  <si>
    <t>消除装载不到位故障(使能自动装载)</t>
    <phoneticPr fontId="1" type="noConversion"/>
  </si>
  <si>
    <t>35</t>
    <phoneticPr fontId="1" type="noConversion"/>
  </si>
  <si>
    <t>0F</t>
    <phoneticPr fontId="1" type="noConversion"/>
  </si>
  <si>
    <t>设置条码扫描仪支持的码制以及是否有校验（说明1），返回1个字节的状态数据
0x00 无条码扫描仪
0x01: 有条码扫描仪</t>
    <phoneticPr fontId="1" type="noConversion"/>
  </si>
  <si>
    <t>36</t>
    <phoneticPr fontId="1" type="noConversion"/>
  </si>
  <si>
    <t>01</t>
    <phoneticPr fontId="1" type="noConversion"/>
  </si>
  <si>
    <t>测试旋转扫描组件</t>
    <phoneticPr fontId="1" type="noConversion"/>
  </si>
  <si>
    <t>测试末梢混匀组件</t>
    <phoneticPr fontId="1" type="noConversion"/>
  </si>
  <si>
    <t>自动进样时启动试管架移动（横向试管架向前移动一个试管位）</t>
    <phoneticPr fontId="1" type="noConversion"/>
  </si>
  <si>
    <t>查询从站版本信息，返回12/8字节版本信息：PCB+ARM+FPGA</t>
    <phoneticPr fontId="1" type="noConversion"/>
  </si>
  <si>
    <t>KB值自动转换到参数区（10000倍）</t>
    <phoneticPr fontId="1" type="noConversion"/>
  </si>
  <si>
    <t>10</t>
    <phoneticPr fontId="1" type="noConversion"/>
  </si>
  <si>
    <r>
      <t>指定档速初始化-&gt;</t>
    </r>
    <r>
      <rPr>
        <b/>
        <sz val="11"/>
        <color theme="1"/>
        <rFont val="宋体"/>
        <family val="3"/>
        <charset val="134"/>
        <scheme val="minor"/>
      </rPr>
      <t>垂直</t>
    </r>
    <phoneticPr fontId="1" type="noConversion"/>
  </si>
  <si>
    <t>0D</t>
    <phoneticPr fontId="1" type="noConversion"/>
  </si>
  <si>
    <t>01</t>
    <phoneticPr fontId="1" type="noConversion"/>
  </si>
  <si>
    <t>00</t>
    <phoneticPr fontId="1" type="noConversion"/>
  </si>
  <si>
    <t>00</t>
    <phoneticPr fontId="1" type="noConversion"/>
  </si>
  <si>
    <t>03</t>
    <phoneticPr fontId="1" type="noConversion"/>
  </si>
  <si>
    <t>转动时间</t>
    <phoneticPr fontId="1" type="noConversion"/>
  </si>
  <si>
    <t>摆动次数</t>
    <phoneticPr fontId="1" type="noConversion"/>
  </si>
  <si>
    <t>34</t>
    <phoneticPr fontId="1" type="noConversion"/>
  </si>
  <si>
    <t>0B</t>
    <phoneticPr fontId="1" type="noConversion"/>
  </si>
  <si>
    <t>63</t>
  </si>
  <si>
    <t>FF</t>
  </si>
  <si>
    <t>F6</t>
  </si>
  <si>
    <t>B1</t>
  </si>
  <si>
    <t>9C</t>
  </si>
  <si>
    <t>40</t>
  </si>
  <si>
    <t>54</t>
  </si>
  <si>
    <t>55</t>
  </si>
  <si>
    <t>前摆</t>
    <phoneticPr fontId="1" type="noConversion"/>
  </si>
  <si>
    <t>后摆</t>
    <phoneticPr fontId="1" type="noConversion"/>
  </si>
  <si>
    <t>次数</t>
    <phoneticPr fontId="1" type="noConversion"/>
  </si>
  <si>
    <t>采样组件水平摆动</t>
    <phoneticPr fontId="1" type="noConversion"/>
  </si>
  <si>
    <t>清空自动进样器</t>
    <phoneticPr fontId="1" type="noConversion"/>
  </si>
  <si>
    <t>自动进样中，启动末梢混匀。步骤1：底下夹起试管架（主机-&gt;驱动板）</t>
    <phoneticPr fontId="1" type="noConversion"/>
  </si>
  <si>
    <t xml:space="preserve">自动进样中，启动末梢混匀。步骤3：放试管到末梢混匀(主机-&gt;驱动板) </t>
    <phoneticPr fontId="1" type="noConversion"/>
  </si>
  <si>
    <r>
      <t>自动进样中，启动末梢混匀。步骤4：末梢混匀震动</t>
    </r>
    <r>
      <rPr>
        <sz val="8"/>
        <color rgb="FFFF0000"/>
        <rFont val="宋体"/>
        <family val="3"/>
        <charset val="134"/>
        <scheme val="minor"/>
      </rPr>
      <t>(主机-&gt;自动进样)</t>
    </r>
    <phoneticPr fontId="1" type="noConversion"/>
  </si>
  <si>
    <t>自动进样中，启动末梢混匀。步骤5：中间夹起试管(主机-&gt;驱动板)</t>
    <phoneticPr fontId="1" type="noConversion"/>
  </si>
  <si>
    <r>
      <t>自动进样中，启动末梢混匀。步骤6：末梢混匀后退离开</t>
    </r>
    <r>
      <rPr>
        <sz val="8"/>
        <color rgb="FFFF0000"/>
        <rFont val="宋体"/>
        <family val="3"/>
        <charset val="134"/>
        <scheme val="minor"/>
      </rPr>
      <t>(主机-&gt;自动进样)</t>
    </r>
    <phoneticPr fontId="1" type="noConversion"/>
  </si>
  <si>
    <t>自动进样中，启动末梢混匀。步骤7：放试管回试管架(主机-&gt;驱动板)</t>
    <phoneticPr fontId="1" type="noConversion"/>
  </si>
  <si>
    <t>37</t>
    <phoneticPr fontId="1" type="noConversion"/>
  </si>
  <si>
    <t>指定档速初始化-&gt;鞘流</t>
    <phoneticPr fontId="1" type="noConversion"/>
  </si>
  <si>
    <t>指定档速初始化-&gt;电机6</t>
    <phoneticPr fontId="1" type="noConversion"/>
  </si>
  <si>
    <t>指定档速初始化-&gt;电机7</t>
    <phoneticPr fontId="1" type="noConversion"/>
  </si>
  <si>
    <t>指定档速初始化-&gt;电机8</t>
    <phoneticPr fontId="1" type="noConversion"/>
  </si>
  <si>
    <t>指定档速初始化-&gt;电机9</t>
    <phoneticPr fontId="1" type="noConversion"/>
  </si>
  <si>
    <t>初始化自动进样器</t>
    <phoneticPr fontId="1" type="noConversion"/>
  </si>
  <si>
    <r>
      <t>自动进样中，启动末梢混匀。步骤2：末梢混匀前进接管</t>
    </r>
    <r>
      <rPr>
        <sz val="8"/>
        <color rgb="FFFF0000"/>
        <rFont val="宋体"/>
        <family val="3"/>
        <charset val="134"/>
        <scheme val="minor"/>
      </rPr>
      <t>(主机-&gt;自动进样)</t>
    </r>
    <phoneticPr fontId="1" type="noConversion"/>
  </si>
  <si>
    <t>01</t>
    <phoneticPr fontId="1" type="noConversion"/>
  </si>
  <si>
    <t>末梢清空。步骤1：末梢电机初始化(主机-&gt;自动进样)</t>
    <phoneticPr fontId="1" type="noConversion"/>
  </si>
  <si>
    <t xml:space="preserve">末梢清空。步骤2：全血混匀复位(主机-&gt;驱动板) </t>
    <phoneticPr fontId="1" type="noConversion"/>
  </si>
  <si>
    <t>末梢清空。步骤3：末梢混匀前进(主机-&gt;自动进样)</t>
    <phoneticPr fontId="1" type="noConversion"/>
  </si>
  <si>
    <t>末梢清空。步骤4：全血混匀夹起试管(主机-&gt;驱动板)</t>
    <phoneticPr fontId="1" type="noConversion"/>
  </si>
  <si>
    <t>末梢清空。步骤5：末梢混匀后退离开(主机-&gt;自动进样)</t>
    <phoneticPr fontId="1" type="noConversion"/>
  </si>
  <si>
    <t>末梢清空。步骤6：末梢混匀退回(主机-&gt;驱动板)</t>
    <phoneticPr fontId="1" type="noConversion"/>
  </si>
  <si>
    <r>
      <t>混匀组件</t>
    </r>
    <r>
      <rPr>
        <sz val="8"/>
        <color rgb="FFFF0000"/>
        <rFont val="宋体"/>
        <family val="3"/>
        <charset val="134"/>
        <scheme val="minor"/>
      </rPr>
      <t>复位</t>
    </r>
    <r>
      <rPr>
        <sz val="8"/>
        <color theme="1"/>
        <rFont val="宋体"/>
        <family val="2"/>
        <charset val="134"/>
        <scheme val="minor"/>
      </rPr>
      <t>命令</t>
    </r>
    <phoneticPr fontId="1" type="noConversion"/>
  </si>
  <si>
    <t>14</t>
    <phoneticPr fontId="1" type="noConversion"/>
  </si>
  <si>
    <t>14</t>
    <phoneticPr fontId="1" type="noConversion"/>
  </si>
  <si>
    <t>查询指定通道的电源电压，返回两个字节的电源电压测量值，高位在前低位在后,-&gt;5V电压值</t>
    <phoneticPr fontId="1" type="noConversion"/>
  </si>
  <si>
    <t>试剂封闭</t>
    <phoneticPr fontId="1" type="noConversion"/>
  </si>
  <si>
    <t>02</t>
    <phoneticPr fontId="1" type="noConversion"/>
  </si>
  <si>
    <t>从站（读卡器）关闭射频</t>
    <phoneticPr fontId="1" type="noConversion"/>
  </si>
  <si>
    <t>从站（读卡器）读卡器芯片复位</t>
    <phoneticPr fontId="1" type="noConversion"/>
  </si>
  <si>
    <t>x</t>
    <phoneticPr fontId="1" type="noConversion"/>
  </si>
  <si>
    <t>x</t>
    <phoneticPr fontId="1" type="noConversion"/>
  </si>
  <si>
    <t>主站下发16字节指定目录下的外部认证密钥给从站(读卡器)，返回0x01--设置成功，0x00--设置失败</t>
    <phoneticPr fontId="1" type="noConversion"/>
  </si>
  <si>
    <t>主站下发16字节指定目录下的文件线路保护密钥给从站(读卡器) ，返回0x01--设置成功，0x00--设置失败</t>
    <phoneticPr fontId="1" type="noConversion"/>
  </si>
  <si>
    <t>从偏移地址XX处写入长度为XX的数据信息到智能卡上。注目前读卡器版本支持偏移地址小于256，数据长度不大于64，总数据信息不大于256.</t>
    <phoneticPr fontId="1" type="noConversion"/>
  </si>
  <si>
    <t>从偏移地址XX处读出长度为XX的卡上存储的数据。注意目前版本读卡器支持偏移地址小于256，数据信息长度不大于64.</t>
    <phoneticPr fontId="1" type="noConversion"/>
  </si>
  <si>
    <t>主站下发创建卡命令（发卡）。此时的卡是空卡，需烧写试剂信息</t>
    <phoneticPr fontId="1" type="noConversion"/>
  </si>
  <si>
    <t>查询卡的版本号（说明6），从站返回1字节的卡版本，
0x00 -- 1.0卡或2.0卡，0x01 -- 3.0卡</t>
    <phoneticPr fontId="1" type="noConversion"/>
  </si>
  <si>
    <r>
      <t xml:space="preserve">主站下发试剂信息存放在哪个目录下
</t>
    </r>
    <r>
      <rPr>
        <sz val="8"/>
        <color rgb="FFFF0000"/>
        <rFont val="宋体"/>
        <family val="3"/>
        <charset val="134"/>
        <scheme val="minor"/>
      </rPr>
      <t>0x00</t>
    </r>
    <r>
      <rPr>
        <sz val="8"/>
        <color theme="1"/>
        <rFont val="宋体"/>
        <family val="2"/>
        <charset val="134"/>
        <scheme val="minor"/>
      </rPr>
      <t xml:space="preserve">-- 试剂信息存放在主目录下的EF文件中；
</t>
    </r>
    <r>
      <rPr>
        <sz val="8"/>
        <color rgb="FFFF0000"/>
        <rFont val="宋体"/>
        <family val="3"/>
        <charset val="134"/>
        <scheme val="minor"/>
      </rPr>
      <t>0x01</t>
    </r>
    <r>
      <rPr>
        <sz val="8"/>
        <color theme="1"/>
        <rFont val="宋体"/>
        <family val="2"/>
        <charset val="134"/>
        <scheme val="minor"/>
      </rPr>
      <t>--试剂信息存放在主目录下文件标识符为002的目录下的EF文件中</t>
    </r>
    <phoneticPr fontId="1" type="noConversion"/>
  </si>
  <si>
    <t>09</t>
    <phoneticPr fontId="1" type="noConversion"/>
  </si>
  <si>
    <t>主站写读卡器设备，成功返回0x01，失败返回0x00.</t>
    <phoneticPr fontId="1" type="noConversion"/>
  </si>
  <si>
    <t>X</t>
    <phoneticPr fontId="1" type="noConversion"/>
  </si>
  <si>
    <t>主站读取卡号，成功返回5字节的卡号，失败返回0x00</t>
    <phoneticPr fontId="1" type="noConversion"/>
  </si>
  <si>
    <t>主站下发OEM代号，不同的OEM，读卡器的密钥不同</t>
    <phoneticPr fontId="1" type="noConversion"/>
  </si>
  <si>
    <t>注释区</t>
    <phoneticPr fontId="1" type="noConversion"/>
  </si>
  <si>
    <t>FF</t>
    <phoneticPr fontId="1" type="noConversion"/>
  </si>
  <si>
    <t>主站打开读卡器设备（读卡器设备开始读卡），
成功返回0x01，失败返回0x00</t>
    <phoneticPr fontId="1" type="noConversion"/>
  </si>
  <si>
    <t>主站关闭读卡器设备（读卡器设备停止读卡），
成功返回0x01，失败返回0x00</t>
    <phoneticPr fontId="1" type="noConversion"/>
  </si>
  <si>
    <t>01</t>
    <phoneticPr fontId="1" type="noConversion"/>
  </si>
  <si>
    <t>30</t>
    <phoneticPr fontId="1" type="noConversion"/>
  </si>
  <si>
    <t>02</t>
    <phoneticPr fontId="1" type="noConversion"/>
  </si>
  <si>
    <t>驱动LED1</t>
    <phoneticPr fontId="1" type="noConversion"/>
  </si>
  <si>
    <t>驱动LED2</t>
    <phoneticPr fontId="1" type="noConversion"/>
  </si>
  <si>
    <t>01</t>
    <phoneticPr fontId="1" type="noConversion"/>
  </si>
  <si>
    <t>驱动LED0</t>
    <phoneticPr fontId="1" type="noConversion"/>
  </si>
  <si>
    <t>E0</t>
    <phoneticPr fontId="1" type="noConversion"/>
  </si>
  <si>
    <t>设置PID</t>
    <phoneticPr fontId="1" type="noConversion"/>
  </si>
  <si>
    <t>I</t>
    <phoneticPr fontId="1" type="noConversion"/>
  </si>
  <si>
    <t>D</t>
    <phoneticPr fontId="1" type="noConversion"/>
  </si>
  <si>
    <t>P</t>
    <phoneticPr fontId="1" type="noConversion"/>
  </si>
  <si>
    <t>00</t>
    <phoneticPr fontId="1" type="noConversion"/>
  </si>
  <si>
    <t>水平-&gt;  清洗池位</t>
    <phoneticPr fontId="1" type="noConversion"/>
  </si>
  <si>
    <t>0A</t>
    <phoneticPr fontId="1" type="noConversion"/>
  </si>
  <si>
    <t>0B</t>
    <phoneticPr fontId="1" type="noConversion"/>
  </si>
  <si>
    <t>0C</t>
    <phoneticPr fontId="1" type="noConversion"/>
  </si>
  <si>
    <t>垂直-》  2隔离</t>
    <phoneticPr fontId="1" type="noConversion"/>
  </si>
  <si>
    <t>垂直-》  3DIFF</t>
    <phoneticPr fontId="1" type="noConversion"/>
  </si>
  <si>
    <t>垂直-》  4RBC</t>
    <phoneticPr fontId="1" type="noConversion"/>
  </si>
  <si>
    <t>垂直-》  5开放</t>
    <phoneticPr fontId="1" type="noConversion"/>
  </si>
  <si>
    <t>垂直-》  6自动</t>
    <phoneticPr fontId="1" type="noConversion"/>
  </si>
  <si>
    <t>垂直-》  7蛋白</t>
    <phoneticPr fontId="1" type="noConversion"/>
  </si>
  <si>
    <t>查询指定压力 通道4（250KPa）</t>
    <phoneticPr fontId="1" type="noConversion"/>
  </si>
  <si>
    <t>04</t>
    <phoneticPr fontId="1" type="noConversion"/>
  </si>
  <si>
    <t>28</t>
    <phoneticPr fontId="1" type="noConversion"/>
  </si>
  <si>
    <t>试剂检测 0x64</t>
    <phoneticPr fontId="1" type="noConversion"/>
  </si>
  <si>
    <t>00</t>
    <phoneticPr fontId="1" type="noConversion"/>
  </si>
  <si>
    <t>0a</t>
    <phoneticPr fontId="1" type="noConversion"/>
  </si>
  <si>
    <t>查询指定开关通道的状态，0x00表示非正常状态，0x01表示正常状态</t>
    <phoneticPr fontId="1" type="noConversion"/>
  </si>
  <si>
    <t>自动建压：关机</t>
    <phoneticPr fontId="1" type="noConversion"/>
  </si>
  <si>
    <t>34</t>
    <phoneticPr fontId="1" type="noConversion"/>
  </si>
  <si>
    <t>00</t>
    <phoneticPr fontId="1" type="noConversion"/>
  </si>
  <si>
    <t>00</t>
    <phoneticPr fontId="1" type="noConversion"/>
  </si>
  <si>
    <t>04</t>
    <phoneticPr fontId="1" type="noConversion"/>
  </si>
  <si>
    <t>自动建压：待机</t>
    <phoneticPr fontId="1" type="noConversion"/>
  </si>
  <si>
    <t>自动建压：开机</t>
    <phoneticPr fontId="1" type="noConversion"/>
  </si>
  <si>
    <t>01</t>
    <phoneticPr fontId="1" type="noConversion"/>
  </si>
  <si>
    <t>02</t>
    <phoneticPr fontId="1" type="noConversion"/>
  </si>
  <si>
    <t>打开 泵1
（大气泵）</t>
    <phoneticPr fontId="1" type="noConversion"/>
  </si>
  <si>
    <t>启动通道4压力监测</t>
    <phoneticPr fontId="1" type="noConversion"/>
  </si>
  <si>
    <t>04</t>
    <phoneticPr fontId="1" type="noConversion"/>
  </si>
  <si>
    <t>启动通道4 建压</t>
    <phoneticPr fontId="1" type="noConversion"/>
  </si>
  <si>
    <t>通道0 开启排空</t>
    <phoneticPr fontId="1" type="noConversion"/>
  </si>
  <si>
    <t>00</t>
    <phoneticPr fontId="1" type="noConversion"/>
  </si>
  <si>
    <t>配置自动进样配件</t>
    <phoneticPr fontId="1" type="noConversion"/>
  </si>
  <si>
    <t>其他</t>
    <phoneticPr fontId="1" type="noConversion"/>
  </si>
  <si>
    <t>50</t>
    <phoneticPr fontId="1" type="noConversion"/>
  </si>
  <si>
    <t>占空比</t>
    <phoneticPr fontId="1" type="noConversion"/>
  </si>
  <si>
    <t>开无刷电机</t>
    <phoneticPr fontId="1" type="noConversion"/>
  </si>
  <si>
    <t>时间</t>
    <phoneticPr fontId="1" type="noConversion"/>
  </si>
  <si>
    <t>01</t>
    <phoneticPr fontId="1" type="noConversion"/>
  </si>
  <si>
    <t>固定时间内，开无刷电机
方向 0=逆时针转，1=顺时针转
占空比=0~100
时间单位为10ms</t>
    <phoneticPr fontId="1" type="noConversion"/>
  </si>
  <si>
    <t>无刷电机摆动</t>
    <phoneticPr fontId="1" type="noConversion"/>
  </si>
  <si>
    <t>51</t>
    <phoneticPr fontId="1" type="noConversion"/>
  </si>
  <si>
    <t>次数</t>
    <phoneticPr fontId="1" type="noConversion"/>
  </si>
  <si>
    <t>无刷摆动
次数=（1~255）
占空比=0~100
时间单位为10ms</t>
    <phoneticPr fontId="1" type="noConversion"/>
  </si>
  <si>
    <t>关无刷电机</t>
  </si>
  <si>
    <t>关无刷电机</t>
    <phoneticPr fontId="1" type="noConversion"/>
  </si>
  <si>
    <t>52</t>
    <phoneticPr fontId="1" type="noConversion"/>
  </si>
  <si>
    <t>占空比</t>
    <phoneticPr fontId="1" type="noConversion"/>
  </si>
  <si>
    <t>占空比</t>
    <phoneticPr fontId="1" type="noConversion"/>
  </si>
  <si>
    <t>查询指定长度的电机位置光耦组的状态。参数表示指定长度。返回 数据长度 + 数据长度字节的电机位置光耦组状态，其中，第一字节表示1~8号电机位置光耦的状态；字节低位表示低位号光耦状态。0表示未遮挡，1表示遮挡。没有超限的情况下返回的数据长度字节等于指定长度字节，如果超限，返回最大组。</t>
    <phoneticPr fontId="1" type="noConversion"/>
  </si>
  <si>
    <t>温度范围0 判断命令。状态：0x00-判断关温度范围判断命令。状态：0x00-判断关闭；0x01-判断打开</t>
    <phoneticPr fontId="1" type="noConversion"/>
  </si>
  <si>
    <t>固定时间内，开直流电机
方向 0=逆时针转，1=顺时针转
时间单位为10ms</t>
    <phoneticPr fontId="1" type="noConversion"/>
  </si>
  <si>
    <t>开直流减速电机</t>
    <phoneticPr fontId="1" type="noConversion"/>
  </si>
  <si>
    <t>关直流减速电机</t>
    <phoneticPr fontId="1" type="noConversion"/>
  </si>
  <si>
    <t>关直流减速电机</t>
    <phoneticPr fontId="1" type="noConversion"/>
  </si>
  <si>
    <t>末梢单向转动时间</t>
  </si>
  <si>
    <t>占空比</t>
    <phoneticPr fontId="1" type="noConversion"/>
  </si>
  <si>
    <t>启动自动进样-&gt;不扫描</t>
    <phoneticPr fontId="1" type="noConversion"/>
  </si>
  <si>
    <t>启动自动进样-&gt;全扫描</t>
    <phoneticPr fontId="1" type="noConversion"/>
  </si>
  <si>
    <t>03</t>
    <phoneticPr fontId="1" type="noConversion"/>
  </si>
  <si>
    <t>1107启动自动进样</t>
    <phoneticPr fontId="1" type="noConversion"/>
  </si>
  <si>
    <t>00</t>
    <phoneticPr fontId="1" type="noConversion"/>
  </si>
  <si>
    <t>末梢组件-&gt;0x</t>
    <phoneticPr fontId="1" type="noConversion"/>
  </si>
  <si>
    <t>配置</t>
    <phoneticPr fontId="1" type="noConversion"/>
  </si>
  <si>
    <t>2b</t>
    <phoneticPr fontId="1" type="noConversion"/>
  </si>
  <si>
    <t>2c</t>
    <phoneticPr fontId="1" type="noConversion"/>
  </si>
  <si>
    <t>初始化末梢组件</t>
    <phoneticPr fontId="1" type="noConversion"/>
  </si>
  <si>
    <t>启动末梢混匀（完成所有动作）</t>
    <phoneticPr fontId="1" type="noConversion"/>
  </si>
  <si>
    <t>18</t>
    <phoneticPr fontId="1" type="noConversion"/>
  </si>
  <si>
    <t>卸载试管架</t>
    <phoneticPr fontId="1" type="noConversion"/>
  </si>
  <si>
    <t>抓取试管</t>
    <phoneticPr fontId="1" type="noConversion"/>
  </si>
  <si>
    <t>启动初始化升降机构</t>
    <phoneticPr fontId="1" type="noConversion"/>
  </si>
  <si>
    <t>举起试管</t>
    <phoneticPr fontId="1" type="noConversion"/>
  </si>
  <si>
    <t>启动速初始化摆动机构</t>
    <phoneticPr fontId="1" type="noConversion"/>
  </si>
  <si>
    <t>摆动试管</t>
    <phoneticPr fontId="1" type="noConversion"/>
  </si>
  <si>
    <t>接管试管架</t>
    <phoneticPr fontId="1" type="noConversion"/>
  </si>
  <si>
    <t>时间</t>
    <phoneticPr fontId="1" type="noConversion"/>
  </si>
  <si>
    <t>单次摆动时间</t>
    <phoneticPr fontId="1" type="noConversion"/>
  </si>
  <si>
    <t>26</t>
    <phoneticPr fontId="1" type="noConversion"/>
  </si>
  <si>
    <t>举起试管到末梢位</t>
    <phoneticPr fontId="1" type="noConversion"/>
  </si>
  <si>
    <t>试剂有无检测</t>
    <phoneticPr fontId="1" type="noConversion"/>
  </si>
  <si>
    <t>检测时间
1ms</t>
    <phoneticPr fontId="1" type="noConversion"/>
  </si>
  <si>
    <t>占空时间
1ms</t>
    <phoneticPr fontId="1" type="noConversion"/>
  </si>
  <si>
    <t>试剂有无监控</t>
    <phoneticPr fontId="1" type="noConversion"/>
  </si>
  <si>
    <t>columnCount</t>
  </si>
  <si>
    <t>columnWidth</t>
  </si>
  <si>
    <t>headerItemText</t>
  </si>
  <si>
    <t>命令</t>
    <phoneticPr fontId="1" type="noConversion"/>
  </si>
  <si>
    <t>中文注释</t>
    <phoneticPr fontId="1" type="noConversion"/>
  </si>
  <si>
    <t>+</t>
    <phoneticPr fontId="1" type="noConversion"/>
  </si>
  <si>
    <t>-</t>
    <phoneticPr fontId="1" type="noConversion"/>
  </si>
  <si>
    <t>test</t>
  </si>
  <si>
    <t>备注:
1.这个文件只能被Qt代码读取，不要被写入
2.这个文件用于将EXCEL数据转为tree文件
3.第一列数据代表递归关系，数字0代表不用
4.关于注释，ord代表命令注释，rep代表回复注释，no代表没有参数
4.1.子内容存放“数据长度，数据解释，数据解析格式”
4.2.“数据解析格式”：10+-=十进制(有正负数) 10 = 十进制(只有正数)，，16 = 16进制，100 = 匹配子对象内容
4.3.“匹配子对象内容”采用不区分大小写但要求字符个数完全匹配的格式，所以要完整写“01”或“0011”的完整个数，不能漏“0”</t>
    <phoneticPr fontId="1" type="noConversion"/>
  </si>
  <si>
    <t>从站</t>
  </si>
  <si>
    <r>
      <t>备注：本EXCEL 表格中，</t>
    </r>
    <r>
      <rPr>
        <sz val="11"/>
        <color rgb="FF0070C0"/>
        <rFont val="宋体"/>
        <family val="3"/>
        <charset val="134"/>
        <scheme val="minor"/>
      </rPr>
      <t>长度</t>
    </r>
    <r>
      <rPr>
        <sz val="11"/>
        <color theme="1"/>
        <rFont val="宋体"/>
        <family val="2"/>
        <charset val="134"/>
        <scheme val="minor"/>
      </rPr>
      <t>与</t>
    </r>
    <r>
      <rPr>
        <sz val="11"/>
        <color rgb="FF0070C0"/>
        <rFont val="宋体"/>
        <family val="3"/>
        <charset val="134"/>
        <scheme val="minor"/>
      </rPr>
      <t>校验</t>
    </r>
    <r>
      <rPr>
        <sz val="11"/>
        <color theme="1"/>
        <rFont val="宋体"/>
        <family val="2"/>
        <charset val="134"/>
        <scheme val="minor"/>
      </rPr>
      <t>和是自动计算的，但是其他参数的输入要以16进制输入</t>
    </r>
    <phoneticPr fontId="1" type="noConversion"/>
  </si>
  <si>
    <t>备用</t>
    <phoneticPr fontId="1" type="noConversion"/>
  </si>
  <si>
    <t>留白</t>
    <phoneticPr fontId="1" type="noConversion"/>
  </si>
  <si>
    <t>起始</t>
    <phoneticPr fontId="1" type="noConversion"/>
  </si>
  <si>
    <t>控制</t>
    <phoneticPr fontId="1" type="noConversion"/>
  </si>
  <si>
    <t>长度</t>
    <phoneticPr fontId="1" type="noConversion"/>
  </si>
  <si>
    <t>类型</t>
    <phoneticPr fontId="1" type="noConversion"/>
  </si>
  <si>
    <t>通道号</t>
    <phoneticPr fontId="1" type="noConversion"/>
  </si>
  <si>
    <t>命令码</t>
    <phoneticPr fontId="1" type="noConversion"/>
  </si>
  <si>
    <t>参数(没有就不写)</t>
    <phoneticPr fontId="1" type="noConversion"/>
  </si>
  <si>
    <t>校验</t>
    <phoneticPr fontId="1" type="noConversion"/>
  </si>
  <si>
    <t>结束</t>
    <phoneticPr fontId="1" type="noConversion"/>
  </si>
  <si>
    <t>源</t>
    <phoneticPr fontId="1" type="noConversion"/>
  </si>
  <si>
    <t>目的</t>
    <phoneticPr fontId="1" type="noConversion"/>
  </si>
  <si>
    <t>ID码</t>
    <phoneticPr fontId="1" type="noConversion"/>
  </si>
  <si>
    <t>0x00</t>
    <phoneticPr fontId="1" type="noConversion"/>
  </si>
  <si>
    <t>0x01</t>
    <phoneticPr fontId="1" type="noConversion"/>
  </si>
  <si>
    <t>0x00</t>
    <phoneticPr fontId="1" type="noConversion"/>
  </si>
  <si>
    <t>时间</t>
    <phoneticPr fontId="1" type="noConversion"/>
  </si>
  <si>
    <t>压力</t>
    <phoneticPr fontId="1" type="noConversion"/>
  </si>
  <si>
    <t>查询指定压力 通道0（6Kpa）</t>
  </si>
  <si>
    <t>查询指定压力 通道1（60Kpa）</t>
  </si>
  <si>
    <t>查询指定压力 通道2（-30Kpa）</t>
  </si>
  <si>
    <t>查询指定压力 通道3（鞘流）</t>
  </si>
  <si>
    <t>查询指定压力 通道4（250KPa）</t>
  </si>
  <si>
    <t>查询指定压力通道压力值，返回3字节压力数据</t>
    <phoneticPr fontId="1" type="noConversion"/>
  </si>
  <si>
    <t>查询指定压力通道压力值，返回2字节压力数据</t>
    <phoneticPr fontId="1" type="noConversion"/>
  </si>
  <si>
    <t>查询指定通道压力的K值和B值，返回8字节数据</t>
    <phoneticPr fontId="1" type="noConversion"/>
  </si>
  <si>
    <t>电机</t>
    <phoneticPr fontId="1" type="noConversion"/>
  </si>
  <si>
    <t>电机初始化</t>
    <phoneticPr fontId="1" type="noConversion"/>
  </si>
  <si>
    <t>电机以指定的档速走指定步数-&gt;正向走</t>
  </si>
  <si>
    <t>1114调试-》电机以指定的档速运动到指定位置-水平正向走</t>
  </si>
  <si>
    <t>电机以指定的档速运动到指定位置-垂直</t>
  </si>
  <si>
    <t>灌注</t>
    <phoneticPr fontId="1" type="noConversion"/>
  </si>
  <si>
    <t>07</t>
    <phoneticPr fontId="1" type="noConversion"/>
  </si>
  <si>
    <t>会报警的灌注-1114</t>
    <phoneticPr fontId="1" type="noConversion"/>
  </si>
  <si>
    <t>不会报警的灌注-1114</t>
    <phoneticPr fontId="1" type="noConversion"/>
  </si>
  <si>
    <t>临时测试1</t>
    <phoneticPr fontId="1" type="noConversion"/>
  </si>
  <si>
    <t>临时测试2</t>
  </si>
  <si>
    <t>临时测试3</t>
  </si>
  <si>
    <t>临时测试4</t>
  </si>
  <si>
    <t>临时测试5</t>
  </si>
  <si>
    <t>未完待续</t>
    <phoneticPr fontId="1" type="noConversion"/>
  </si>
  <si>
    <t>自动建压</t>
  </si>
  <si>
    <t>自动建压</t>
    <phoneticPr fontId="1" type="noConversion"/>
  </si>
  <si>
    <t>自动建压：关机</t>
  </si>
  <si>
    <t>自动建压：待机</t>
  </si>
  <si>
    <t>自动建压：开机</t>
  </si>
  <si>
    <t>查询压力值</t>
    <phoneticPr fontId="1" type="noConversion"/>
  </si>
  <si>
    <t>查询指定通道压力的K值和B值，返回8字节数据</t>
  </si>
  <si>
    <t>查询通道0的K值和B值</t>
  </si>
  <si>
    <t>采样</t>
    <phoneticPr fontId="1" type="noConversion"/>
  </si>
  <si>
    <t>以指定档速水平初始化采样组件（垂直电机必须在上位）</t>
  </si>
  <si>
    <t>以指定档速垂直初始化采样组件（水平电机必须在光耦位）</t>
  </si>
  <si>
    <t>以指定的档速水平运动到指定位置（垂直电机必须在上位）</t>
  </si>
  <si>
    <t>以指定的档速垂直运动到指定位置（水平电机必须在光耦位）</t>
  </si>
  <si>
    <t>配置采样组件的水平电机号与垂直电机号（电机号1-8）。</t>
  </si>
  <si>
    <t>以指定的档速水平运动到指定位置（垂直电机必须在上位）</t>
    <phoneticPr fontId="1" type="noConversion"/>
  </si>
  <si>
    <t>0x04</t>
    <phoneticPr fontId="1" type="noConversion"/>
  </si>
  <si>
    <t>阀</t>
    <phoneticPr fontId="1" type="noConversion"/>
  </si>
  <si>
    <t>关闭所有阀</t>
  </si>
  <si>
    <t>打开所有阀</t>
  </si>
  <si>
    <t>关闭 阀1</t>
  </si>
  <si>
    <t>打开 阀1</t>
  </si>
  <si>
    <t>打开 阀6</t>
  </si>
  <si>
    <t>打开 阀41</t>
  </si>
  <si>
    <t>阀1~40</t>
    <phoneticPr fontId="1" type="noConversion"/>
  </si>
  <si>
    <t>阀61~80</t>
    <phoneticPr fontId="1" type="noConversion"/>
  </si>
  <si>
    <t>阀41~60</t>
    <phoneticPr fontId="1" type="noConversion"/>
  </si>
  <si>
    <t>0A</t>
    <phoneticPr fontId="1" type="noConversion"/>
  </si>
  <si>
    <t>指定档速初始化-&gt;电机10</t>
    <phoneticPr fontId="1" type="noConversion"/>
  </si>
  <si>
    <t>关闭所有泵</t>
  </si>
  <si>
    <t>打开所有泵</t>
  </si>
  <si>
    <t>关闭 泵1</t>
  </si>
  <si>
    <t>打开 泵1
（大气泵）</t>
  </si>
  <si>
    <t>泵</t>
    <phoneticPr fontId="1" type="noConversion"/>
  </si>
  <si>
    <t>未完待续2</t>
    <phoneticPr fontId="1" type="noConversion"/>
  </si>
  <si>
    <t>查询从站PCB版本信息，返回4字节版本信息</t>
  </si>
  <si>
    <t>查询ARM软件版本，返回4字节版本信息</t>
  </si>
  <si>
    <t>查询FPGA版本，返回4字节版本信息</t>
  </si>
  <si>
    <t>查询从站版本信息，返回12/8字节版本信息：PCB+ARM+FPGA</t>
  </si>
  <si>
    <t>获取时间，返回6字节时间数据：年、月、日、时、分、秒</t>
  </si>
  <si>
    <t>年月日时分秒</t>
  </si>
  <si>
    <t>20228235958设置时间</t>
  </si>
  <si>
    <t>驱动LED0</t>
  </si>
  <si>
    <t>驱动LED1</t>
  </si>
  <si>
    <t>驱动LED2</t>
  </si>
  <si>
    <t>试剂检查</t>
    <phoneticPr fontId="1" type="noConversion"/>
  </si>
  <si>
    <t>·</t>
    <phoneticPr fontId="1" type="noConversion"/>
  </si>
  <si>
    <t>开关检测</t>
    <phoneticPr fontId="1" type="noConversion"/>
  </si>
  <si>
    <t>从站信息</t>
    <phoneticPr fontId="1" type="noConversion"/>
  </si>
  <si>
    <t>查询指定开关通道的状态，0x00表示非正常状态，0x01表示正常状态</t>
    <phoneticPr fontId="1" type="noConversion"/>
  </si>
  <si>
    <t>查询指定通道0温度值，返回2字节温度值</t>
    <phoneticPr fontId="1" type="noConversion"/>
  </si>
  <si>
    <t>查询指定通道1温度值，返回2字节温度值</t>
    <phoneticPr fontId="1" type="noConversion"/>
  </si>
  <si>
    <t>查询指定通道2温度值，返回2字节温度值</t>
    <phoneticPr fontId="1" type="noConversion"/>
  </si>
  <si>
    <t>查询指定通道4温度值，返回2字节温度值</t>
    <phoneticPr fontId="1" type="noConversion"/>
  </si>
  <si>
    <t>查询指定通道3温度值，返回2字节温度值</t>
    <phoneticPr fontId="1" type="noConversion"/>
  </si>
  <si>
    <t>温度控制</t>
    <phoneticPr fontId="1" type="noConversion"/>
  </si>
  <si>
    <t>设置通道1目标温度值</t>
  </si>
  <si>
    <t>设置通道2目标温度值</t>
  </si>
  <si>
    <t>设置通道3目标温度值</t>
  </si>
  <si>
    <t>设置通道4目标温度值</t>
  </si>
  <si>
    <t>设置通道5目标温度值</t>
  </si>
  <si>
    <t>设置通道6目标温度值</t>
  </si>
  <si>
    <t>设置通道0目标温度值</t>
    <phoneticPr fontId="1" type="noConversion"/>
  </si>
  <si>
    <t>设置PID值</t>
    <phoneticPr fontId="1" type="noConversion"/>
  </si>
  <si>
    <t>自动进样</t>
    <phoneticPr fontId="1" type="noConversion"/>
  </si>
  <si>
    <t>装载组件</t>
    <phoneticPr fontId="1" type="noConversion"/>
  </si>
  <si>
    <t>·</t>
    <phoneticPr fontId="1" type="noConversion"/>
  </si>
  <si>
    <t>装载试管架</t>
  </si>
  <si>
    <t>装载试管架</t>
    <phoneticPr fontId="1" type="noConversion"/>
  </si>
  <si>
    <t>初始化装载组件</t>
  </si>
  <si>
    <t>卸载组件</t>
    <phoneticPr fontId="1" type="noConversion"/>
  </si>
  <si>
    <t>配置装载组件的电机号（电机号1-7）及运行档速（1-20)</t>
    <phoneticPr fontId="1" type="noConversion"/>
  </si>
  <si>
    <t>试管架移动一个试管位</t>
    <phoneticPr fontId="1" type="noConversion"/>
  </si>
  <si>
    <t>配置卸载组件的电机号（电机号1-7）及运行档速（1-20)</t>
    <phoneticPr fontId="1" type="noConversion"/>
  </si>
  <si>
    <t>进给组件</t>
    <phoneticPr fontId="1" type="noConversion"/>
  </si>
  <si>
    <t>配置进给组件的电机号（电机号1-7）及运行档速（1-20)</t>
    <phoneticPr fontId="1" type="noConversion"/>
  </si>
  <si>
    <t>初始化进给组件</t>
    <phoneticPr fontId="1" type="noConversion"/>
  </si>
  <si>
    <t>初始化装载组件</t>
    <phoneticPr fontId="1" type="noConversion"/>
  </si>
  <si>
    <t>卸载试管架</t>
    <phoneticPr fontId="1" type="noConversion"/>
  </si>
  <si>
    <t>混匀组件</t>
    <phoneticPr fontId="1" type="noConversion"/>
  </si>
  <si>
    <t>末梢组件-&gt;0x</t>
    <phoneticPr fontId="1" type="noConversion"/>
  </si>
  <si>
    <t>混匀组件复位命令</t>
  </si>
  <si>
    <t>举起试管到末梢位</t>
  </si>
  <si>
    <t>查询混匀组件是否在初始位，返回1字节状态值（0x00：混匀组件在初始位，0x01：混匀组件不在初始位）</t>
    <phoneticPr fontId="1" type="noConversion"/>
  </si>
  <si>
    <t>末梢组件</t>
    <phoneticPr fontId="1" type="noConversion"/>
  </si>
  <si>
    <t>初始化末梢组件</t>
  </si>
  <si>
    <t>接管试管架</t>
  </si>
  <si>
    <t>启动末梢混匀（完成所有动作）</t>
  </si>
  <si>
    <t>初始化自动进样器</t>
  </si>
  <si>
    <t>清空自动进样器</t>
  </si>
  <si>
    <t>启动自动进样-&gt;不扫描</t>
  </si>
  <si>
    <t>启动自动进样-&gt;全扫描</t>
  </si>
  <si>
    <t>1107启动自动进样</t>
  </si>
  <si>
    <t>自动进样时启动试管架移动（横向试管架向前移动一个试管位）</t>
  </si>
  <si>
    <t>自动进样时启动试管的混匀</t>
  </si>
  <si>
    <t>停止自动进样（正常），推出横向所有试管架且不装载试管架</t>
  </si>
  <si>
    <t>自动进样结束命令</t>
  </si>
  <si>
    <t>自动进样混匀动作结束命令</t>
  </si>
  <si>
    <t>查询自动进样器状态，返回1字节状态值（0x00：在初始位，0x01：不在初始位）</t>
  </si>
  <si>
    <t>查询混匀位试管信息(1114新增)</t>
  </si>
  <si>
    <t>消除装载不到位故障(使能自动装载)</t>
  </si>
  <si>
    <t>自动进样中，启动末梢混匀。步骤1：底下夹起试管架（主机-&gt;驱动板）</t>
  </si>
  <si>
    <t>自动进样中，启动末梢混匀。步骤2：末梢混匀前进接管(主机-&gt;自动进样)</t>
  </si>
  <si>
    <t xml:space="preserve">自动进样中，启动末梢混匀。步骤3：放试管到末梢混匀(主机-&gt;驱动板) </t>
  </si>
  <si>
    <t>自动进样中，启动末梢混匀。步骤4：末梢混匀震动(主机-&gt;自动进样)</t>
  </si>
  <si>
    <t>自动进样中，启动末梢混匀。步骤5：中间夹起试管(主机-&gt;驱动板)</t>
  </si>
  <si>
    <t>自动进样中，启动末梢混匀。步骤6：末梢混匀后退离开(主机-&gt;自动进样)</t>
  </si>
  <si>
    <t>自动进样中，启动末梢混匀。步骤7：放试管回试管架(主机-&gt;驱动板)</t>
  </si>
  <si>
    <t>末梢清空。步骤1：末梢电机初始化(主机-&gt;自动进样)</t>
  </si>
  <si>
    <t xml:space="preserve">末梢清空。步骤2：全血混匀复位(主机-&gt;驱动板) </t>
  </si>
  <si>
    <t>末梢清空。步骤3：末梢混匀前进(主机-&gt;自动进样)</t>
  </si>
  <si>
    <t>末梢清空。步骤4：全血混匀夹起试管(主机-&gt;驱动板)</t>
  </si>
  <si>
    <t>末梢清空。步骤5：末梢混匀后退离开(主机-&gt;自动进样)</t>
  </si>
  <si>
    <t>末梢清空。步骤6：末梢混匀退回(主机-&gt;驱动板)</t>
  </si>
  <si>
    <t>配置自动进样配件</t>
  </si>
  <si>
    <t>测试旋转扫描组件</t>
  </si>
  <si>
    <t>测试末梢混匀组件</t>
  </si>
  <si>
    <t>自动进样组件</t>
    <phoneticPr fontId="1" type="noConversion"/>
  </si>
  <si>
    <t>查询指定通道温度补偿后的温度值，返回2字节温度补偿后的温度值</t>
  </si>
  <si>
    <t>电压</t>
    <phoneticPr fontId="1" type="noConversion"/>
  </si>
  <si>
    <t>查询指定通道的电源电压，返回两个字节的电源电压测量值，高位在前低位在后,-&gt;5V电压值</t>
  </si>
  <si>
    <t>查询指定通道的电源电压，返回两个字节的电源电压测量值，高位在前低位在后,-&gt;12V电压值</t>
  </si>
  <si>
    <t>查询指定通道的电源电压，返回两个字节的电源电压测量值，高位在前低位在后,-&gt;24V电压值</t>
  </si>
  <si>
    <t>设置条码扫描仪支持的码制，返回0x00 无条码扫描仪
0x01: 有条码扫描仪</t>
    <phoneticPr fontId="1" type="noConversion"/>
  </si>
  <si>
    <t>查询条码扫描器状态，0x00：无条码扫描器,0x01: 条码扫描仪是MS-3，0x02:条码扫描仪是MS954,0x03：条码扫描仪是CR100系列</t>
    <phoneticPr fontId="1" type="noConversion"/>
  </si>
  <si>
    <t>启动读取条码扫描器，返回读取状态和1-20字节条码数据</t>
  </si>
  <si>
    <t>关闭激光器</t>
  </si>
  <si>
    <t>打开激光器</t>
  </si>
  <si>
    <t>条码扫描仪支持的条码长度（说明1的支持条码长度）</t>
    <phoneticPr fontId="1" type="noConversion"/>
  </si>
  <si>
    <t>条码扫描仪支持的条码长度</t>
    <phoneticPr fontId="1" type="noConversion"/>
  </si>
  <si>
    <t>条码仪</t>
    <phoneticPr fontId="1" type="noConversion"/>
  </si>
  <si>
    <t>复位mcu</t>
    <phoneticPr fontId="1" type="noConversion"/>
  </si>
  <si>
    <t>20</t>
    <phoneticPr fontId="1" type="noConversion"/>
  </si>
  <si>
    <t>0x00</t>
    <phoneticPr fontId="1" type="noConversion"/>
  </si>
  <si>
    <t>0x04</t>
    <phoneticPr fontId="1" type="noConversion"/>
  </si>
  <si>
    <t>温度范围判断命令。状态：0x00-判断关闭；0x01-判断打开</t>
  </si>
  <si>
    <t>温度控制，状态：0x00—关闭温度控制，0x00—打开温度控制；</t>
    <phoneticPr fontId="1" type="noConversion"/>
  </si>
  <si>
    <t>温度控制，状态：0x00—关闭温度控制，0x00—打开温度控制；</t>
    <phoneticPr fontId="1" type="noConversion"/>
  </si>
  <si>
    <t>查询指定通道目标温度值，返回2字节</t>
    <phoneticPr fontId="1" type="noConversion"/>
  </si>
  <si>
    <t>查询温度是否在工作范围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</si>
</sst>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6"/>
      <color theme="1"/>
      <name val="宋体"/>
      <family val="3"/>
      <charset val="134"/>
      <scheme val="minor"/>
    </font>
    <font>
      <sz val="8"/>
      <color theme="1"/>
      <name val="宋体"/>
      <family val="3"/>
      <charset val="134"/>
      <scheme val="minor"/>
    </font>
    <font>
      <i/>
      <sz val="11"/>
      <color theme="1"/>
      <name val="宋体"/>
      <family val="3"/>
      <charset val="134"/>
      <scheme val="minor"/>
    </font>
    <font>
      <sz val="18"/>
      <color theme="1"/>
      <name val="宋体"/>
      <family val="2"/>
      <charset val="134"/>
      <scheme val="minor"/>
    </font>
    <font>
      <sz val="8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11"/>
      <color rgb="FF00B050"/>
      <name val="宋体"/>
      <family val="2"/>
      <charset val="134"/>
      <scheme val="minor"/>
    </font>
    <font>
      <sz val="11"/>
      <color rgb="FF00B05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i/>
      <sz val="11"/>
      <name val="宋体"/>
      <family val="3"/>
      <charset val="134"/>
      <scheme val="minor"/>
    </font>
    <font>
      <sz val="8"/>
      <name val="宋体"/>
      <family val="2"/>
      <charset val="134"/>
      <scheme val="minor"/>
    </font>
    <font>
      <sz val="8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8"/>
      <name val="宋体"/>
      <family val="3"/>
      <charset val="134"/>
      <scheme val="minor"/>
    </font>
    <font>
      <sz val="6"/>
      <name val="宋体"/>
      <family val="2"/>
      <charset val="134"/>
      <scheme val="minor"/>
    </font>
    <font>
      <sz val="6"/>
      <name val="宋体"/>
      <family val="3"/>
      <charset val="134"/>
      <scheme val="minor"/>
    </font>
    <font>
      <sz val="6"/>
      <color rgb="FF00B050"/>
      <name val="宋体"/>
      <family val="3"/>
      <charset val="134"/>
      <scheme val="minor"/>
    </font>
    <font>
      <sz val="6"/>
      <color rgb="FF00B050"/>
      <name val="宋体"/>
      <family val="2"/>
      <charset val="134"/>
      <scheme val="minor"/>
    </font>
    <font>
      <sz val="18"/>
      <color theme="1"/>
      <name val="宋体"/>
      <family val="3"/>
      <charset val="134"/>
      <scheme val="minor"/>
    </font>
    <font>
      <sz val="8"/>
      <color rgb="FFFF0000"/>
      <name val="宋体"/>
      <family val="2"/>
      <charset val="134"/>
      <scheme val="minor"/>
    </font>
    <font>
      <b/>
      <sz val="9"/>
      <color theme="1"/>
      <name val="黑体"/>
      <family val="3"/>
      <charset val="134"/>
    </font>
    <font>
      <sz val="6"/>
      <color theme="1"/>
      <name val="宋体"/>
      <family val="2"/>
      <charset val="134"/>
      <scheme val="minor"/>
    </font>
    <font>
      <sz val="8"/>
      <color rgb="FFFF0000"/>
      <name val="宋体"/>
      <family val="3"/>
      <charset val="134"/>
      <scheme val="minor"/>
    </font>
    <font>
      <b/>
      <sz val="8"/>
      <color theme="1"/>
      <name val="宋体"/>
      <family val="3"/>
      <charset val="134"/>
      <scheme val="minor"/>
    </font>
    <font>
      <b/>
      <i/>
      <sz val="12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8"/>
      <color rgb="FF00B050"/>
      <name val="宋体"/>
      <family val="2"/>
      <charset val="134"/>
      <scheme val="minor"/>
    </font>
    <font>
      <sz val="10"/>
      <color rgb="FF00B050"/>
      <name val="宋体"/>
      <family val="3"/>
      <charset val="134"/>
      <scheme val="minor"/>
    </font>
    <font>
      <sz val="10"/>
      <color rgb="FF00B050"/>
      <name val="宋体"/>
      <family val="2"/>
      <charset val="134"/>
      <scheme val="minor"/>
    </font>
    <font>
      <sz val="8"/>
      <color rgb="FF00B050"/>
      <name val="宋体"/>
      <family val="3"/>
      <charset val="134"/>
      <scheme val="minor"/>
    </font>
    <font>
      <sz val="11"/>
      <color rgb="FF0070C0"/>
      <name val="宋体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40">
    <xf numFmtId="0" fontId="0" fillId="0" borderId="0" xfId="0">
      <alignment vertical="center"/>
    </xf>
    <xf numFmtId="0" fontId="0" fillId="4" borderId="1" xfId="0" quotePrefix="1" applyFill="1" applyBorder="1">
      <alignment vertical="center"/>
    </xf>
    <xf numFmtId="0" fontId="2" fillId="4" borderId="1" xfId="0" quotePrefix="1" applyFont="1" applyFill="1" applyBorder="1">
      <alignment vertical="center"/>
    </xf>
    <xf numFmtId="0" fontId="5" fillId="4" borderId="1" xfId="0" quotePrefix="1" applyFont="1" applyFill="1" applyBorder="1">
      <alignment vertical="center"/>
    </xf>
    <xf numFmtId="0" fontId="5" fillId="4" borderId="1" xfId="0" quotePrefix="1" applyFont="1" applyFill="1" applyBorder="1" applyAlignment="1">
      <alignment vertical="center"/>
    </xf>
    <xf numFmtId="0" fontId="0" fillId="5" borderId="1" xfId="0" quotePrefix="1" applyFill="1" applyBorder="1">
      <alignment vertical="center"/>
    </xf>
    <xf numFmtId="0" fontId="2" fillId="5" borderId="1" xfId="0" quotePrefix="1" applyFont="1" applyFill="1" applyBorder="1">
      <alignment vertical="center"/>
    </xf>
    <xf numFmtId="0" fontId="8" fillId="4" borderId="1" xfId="0" applyFont="1" applyFill="1" applyBorder="1">
      <alignment vertical="center"/>
    </xf>
    <xf numFmtId="0" fontId="9" fillId="4" borderId="1" xfId="0" quotePrefix="1" applyFont="1" applyFill="1" applyBorder="1">
      <alignment vertical="center"/>
    </xf>
    <xf numFmtId="0" fontId="8" fillId="4" borderId="1" xfId="0" quotePrefix="1" applyFont="1" applyFill="1" applyBorder="1">
      <alignment vertical="center"/>
    </xf>
    <xf numFmtId="0" fontId="10" fillId="4" borderId="1" xfId="0" quotePrefix="1" applyFont="1" applyFill="1" applyBorder="1">
      <alignment vertical="center"/>
    </xf>
    <xf numFmtId="0" fontId="11" fillId="4" borderId="1" xfId="0" quotePrefix="1" applyFont="1" applyFill="1" applyBorder="1">
      <alignment vertical="center"/>
    </xf>
    <xf numFmtId="0" fontId="7" fillId="6" borderId="1" xfId="0" applyFont="1" applyFill="1" applyBorder="1" applyAlignment="1">
      <alignment horizontal="center" vertical="center"/>
    </xf>
    <xf numFmtId="0" fontId="12" fillId="4" borderId="1" xfId="0" quotePrefix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17" fillId="6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2" fillId="2" borderId="1" xfId="0" quotePrefix="1" applyFont="1" applyFill="1" applyBorder="1" applyAlignment="1">
      <alignment horizontal="center" vertical="center"/>
    </xf>
    <xf numFmtId="0" fontId="13" fillId="2" borderId="1" xfId="0" quotePrefix="1" applyFont="1" applyFill="1" applyBorder="1" applyAlignment="1">
      <alignment horizontal="center" vertical="center"/>
    </xf>
    <xf numFmtId="0" fontId="16" fillId="2" borderId="1" xfId="0" quotePrefix="1" applyFont="1" applyFill="1" applyBorder="1" applyAlignment="1">
      <alignment horizontal="center" vertical="center"/>
    </xf>
    <xf numFmtId="0" fontId="19" fillId="2" borderId="1" xfId="0" quotePrefix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0" fontId="4" fillId="8" borderId="1" xfId="0" applyFont="1" applyFill="1" applyBorder="1" applyAlignment="1">
      <alignment horizontal="center" vertical="center"/>
    </xf>
    <xf numFmtId="0" fontId="0" fillId="8" borderId="1" xfId="0" quotePrefix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12" fillId="0" borderId="0" xfId="0" quotePrefix="1" applyFont="1" applyFill="1" applyBorder="1" applyAlignment="1">
      <alignment vertical="center"/>
    </xf>
    <xf numFmtId="0" fontId="14" fillId="2" borderId="1" xfId="0" quotePrefix="1" applyFont="1" applyFill="1" applyBorder="1" applyAlignment="1">
      <alignment vertical="center"/>
    </xf>
    <xf numFmtId="0" fontId="16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4" borderId="1" xfId="0" quotePrefix="1" applyFill="1" applyBorder="1" applyAlignment="1">
      <alignment vertical="center"/>
    </xf>
    <xf numFmtId="0" fontId="4" fillId="4" borderId="1" xfId="0" quotePrefix="1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14" fillId="0" borderId="5" xfId="0" quotePrefix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16" fillId="2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12" fillId="4" borderId="1" xfId="0" quotePrefix="1" applyFont="1" applyFill="1" applyBorder="1" applyAlignment="1" applyProtection="1">
      <alignment horizontal="center" vertical="center"/>
    </xf>
    <xf numFmtId="0" fontId="0" fillId="0" borderId="0" xfId="0" applyProtection="1">
      <alignment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3" fillId="8" borderId="1" xfId="0" applyFont="1" applyFill="1" applyBorder="1" applyAlignment="1" applyProtection="1">
      <alignment horizontal="center" vertical="center" wrapText="1"/>
      <protection locked="0"/>
    </xf>
    <xf numFmtId="0" fontId="12" fillId="4" borderId="10" xfId="0" quotePrefix="1" applyFont="1" applyFill="1" applyBorder="1" applyAlignment="1" applyProtection="1">
      <alignment horizontal="center" vertical="center"/>
      <protection locked="0"/>
    </xf>
    <xf numFmtId="0" fontId="13" fillId="4" borderId="10" xfId="0" quotePrefix="1" applyFont="1" applyFill="1" applyBorder="1" applyAlignment="1" applyProtection="1">
      <alignment horizontal="center" vertical="center"/>
      <protection locked="0"/>
    </xf>
    <xf numFmtId="0" fontId="12" fillId="4" borderId="10" xfId="0" quotePrefix="1" applyFont="1" applyFill="1" applyBorder="1" applyAlignment="1" applyProtection="1">
      <alignment horizontal="center" vertical="center"/>
    </xf>
    <xf numFmtId="0" fontId="7" fillId="6" borderId="10" xfId="0" applyFont="1" applyFill="1" applyBorder="1" applyAlignment="1" applyProtection="1">
      <alignment horizontal="center" vertical="center"/>
    </xf>
    <xf numFmtId="0" fontId="0" fillId="8" borderId="10" xfId="0" quotePrefix="1" applyFill="1" applyBorder="1" applyAlignment="1">
      <alignment horizontal="center" vertical="center"/>
    </xf>
    <xf numFmtId="0" fontId="4" fillId="6" borderId="1" xfId="0" applyFont="1" applyFill="1" applyBorder="1" applyAlignment="1" applyProtection="1">
      <alignment horizontal="center" vertical="center" wrapText="1"/>
      <protection locked="0"/>
    </xf>
    <xf numFmtId="0" fontId="20" fillId="4" borderId="1" xfId="0" applyFont="1" applyFill="1" applyBorder="1" applyAlignment="1" applyProtection="1">
      <alignment horizontal="center" vertical="center" wrapText="1"/>
      <protection locked="0"/>
    </xf>
    <xf numFmtId="0" fontId="7" fillId="0" borderId="1" xfId="0" applyFont="1" applyFill="1" applyBorder="1" applyAlignment="1" applyProtection="1">
      <alignment horizontal="center" vertical="center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7" fillId="6" borderId="1" xfId="0" applyFont="1" applyFill="1" applyBorder="1" applyAlignment="1" applyProtection="1">
      <alignment horizontal="center" vertical="center"/>
    </xf>
    <xf numFmtId="0" fontId="12" fillId="0" borderId="1" xfId="0" quotePrefix="1" applyFont="1" applyFill="1" applyBorder="1" applyAlignment="1" applyProtection="1">
      <alignment vertical="center"/>
    </xf>
    <xf numFmtId="0" fontId="14" fillId="4" borderId="23" xfId="0" quotePrefix="1" applyFont="1" applyFill="1" applyBorder="1" applyAlignment="1" applyProtection="1">
      <alignment horizontal="center" vertical="center"/>
      <protection locked="0"/>
    </xf>
    <xf numFmtId="0" fontId="0" fillId="0" borderId="1" xfId="0" quotePrefix="1" applyFill="1" applyBorder="1">
      <alignment vertical="center"/>
    </xf>
    <xf numFmtId="0" fontId="2" fillId="0" borderId="1" xfId="0" quotePrefix="1" applyFont="1" applyFill="1" applyBorder="1">
      <alignment vertical="center"/>
    </xf>
    <xf numFmtId="0" fontId="5" fillId="0" borderId="1" xfId="0" quotePrefix="1" applyFont="1" applyFill="1" applyBorder="1" applyAlignment="1">
      <alignment vertical="center"/>
    </xf>
    <xf numFmtId="0" fontId="14" fillId="0" borderId="23" xfId="0" quotePrefix="1" applyFont="1" applyFill="1" applyBorder="1" applyAlignment="1" applyProtection="1">
      <alignment horizontal="center" vertical="center"/>
      <protection locked="0"/>
    </xf>
    <xf numFmtId="0" fontId="12" fillId="0" borderId="1" xfId="0" quotePrefix="1" applyFont="1" applyFill="1" applyBorder="1" applyAlignment="1" applyProtection="1">
      <alignment horizontal="center" vertical="center"/>
    </xf>
    <xf numFmtId="0" fontId="0" fillId="0" borderId="0" xfId="0" quotePrefix="1" applyFill="1" applyBorder="1">
      <alignment vertical="center"/>
    </xf>
    <xf numFmtId="0" fontId="2" fillId="0" borderId="0" xfId="0" quotePrefix="1" applyFont="1" applyFill="1" applyBorder="1">
      <alignment vertical="center"/>
    </xf>
    <xf numFmtId="0" fontId="14" fillId="0" borderId="0" xfId="0" quotePrefix="1" applyFont="1" applyFill="1" applyBorder="1" applyAlignment="1" applyProtection="1">
      <alignment horizontal="center" vertical="center"/>
      <protection locked="0"/>
    </xf>
    <xf numFmtId="0" fontId="12" fillId="0" borderId="0" xfId="0" quotePrefix="1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14" fillId="4" borderId="1" xfId="0" quotePrefix="1" applyFont="1" applyFill="1" applyBorder="1" applyAlignment="1">
      <alignment vertical="center"/>
    </xf>
    <xf numFmtId="0" fontId="0" fillId="4" borderId="4" xfId="0" quotePrefix="1" applyFill="1" applyBorder="1" applyAlignment="1">
      <alignment vertical="center"/>
    </xf>
    <xf numFmtId="0" fontId="0" fillId="8" borderId="1" xfId="0" quotePrefix="1" applyFill="1" applyBorder="1">
      <alignment vertical="center"/>
    </xf>
    <xf numFmtId="0" fontId="21" fillId="2" borderId="1" xfId="0" applyFont="1" applyFill="1" applyBorder="1" applyAlignment="1">
      <alignment horizontal="center" vertical="center"/>
    </xf>
    <xf numFmtId="0" fontId="12" fillId="4" borderId="1" xfId="0" quotePrefix="1" applyFont="1" applyFill="1" applyBorder="1" applyAlignment="1" applyProtection="1">
      <alignment horizontal="center" vertical="center"/>
      <protection locked="0"/>
    </xf>
    <xf numFmtId="0" fontId="13" fillId="4" borderId="1" xfId="0" quotePrefix="1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Alignment="1" applyProtection="1">
      <alignment vertical="center"/>
      <protection locked="0"/>
    </xf>
    <xf numFmtId="0" fontId="12" fillId="0" borderId="5" xfId="0" quotePrefix="1" applyFont="1" applyFill="1" applyBorder="1" applyAlignment="1">
      <alignment horizontal="center" vertical="center"/>
    </xf>
    <xf numFmtId="0" fontId="13" fillId="0" borderId="5" xfId="0" quotePrefix="1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vertical="center"/>
    </xf>
    <xf numFmtId="0" fontId="15" fillId="7" borderId="6" xfId="0" applyFont="1" applyFill="1" applyBorder="1" applyAlignment="1">
      <alignment vertical="center"/>
    </xf>
    <xf numFmtId="0" fontId="22" fillId="4" borderId="1" xfId="0" applyFont="1" applyFill="1" applyBorder="1" applyAlignment="1" applyProtection="1">
      <alignment horizontal="center" vertical="center" wrapText="1"/>
      <protection locked="0"/>
    </xf>
    <xf numFmtId="0" fontId="11" fillId="4" borderId="1" xfId="0" quotePrefix="1" applyFont="1" applyFill="1" applyBorder="1" applyAlignment="1" applyProtection="1">
      <alignment horizontal="center" vertical="center"/>
    </xf>
    <xf numFmtId="0" fontId="11" fillId="4" borderId="10" xfId="0" quotePrefix="1" applyFont="1" applyFill="1" applyBorder="1" applyAlignment="1" applyProtection="1">
      <alignment horizontal="center" vertical="center"/>
    </xf>
    <xf numFmtId="0" fontId="23" fillId="4" borderId="1" xfId="0" applyFont="1" applyFill="1" applyBorder="1" applyAlignment="1" applyProtection="1">
      <alignment horizontal="center" vertical="center" wrapText="1"/>
      <protection locked="0"/>
    </xf>
    <xf numFmtId="0" fontId="23" fillId="4" borderId="14" xfId="0" applyFont="1" applyFill="1" applyBorder="1" applyAlignment="1" applyProtection="1">
      <alignment horizontal="center" vertical="center" wrapText="1"/>
      <protection locked="0"/>
    </xf>
    <xf numFmtId="0" fontId="11" fillId="4" borderId="15" xfId="0" quotePrefix="1" applyFont="1" applyFill="1" applyBorder="1" applyAlignment="1" applyProtection="1">
      <alignment horizontal="center" vertical="center"/>
    </xf>
    <xf numFmtId="0" fontId="12" fillId="0" borderId="0" xfId="0" quotePrefix="1" applyFont="1" applyFill="1" applyBorder="1" applyAlignment="1">
      <alignment horizontal="center" vertical="center"/>
    </xf>
    <xf numFmtId="0" fontId="13" fillId="0" borderId="0" xfId="0" quotePrefix="1" applyFont="1" applyFill="1" applyBorder="1" applyAlignment="1">
      <alignment horizontal="center" vertical="center"/>
    </xf>
    <xf numFmtId="0" fontId="14" fillId="0" borderId="0" xfId="0" quotePrefix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Alignment="1" applyProtection="1">
      <alignment vertical="center" wrapText="1"/>
      <protection locked="0"/>
    </xf>
    <xf numFmtId="0" fontId="0" fillId="6" borderId="1" xfId="0" applyFill="1" applyBorder="1" applyAlignment="1" applyProtection="1">
      <alignment horizontal="center" vertical="center" wrapText="1"/>
      <protection locked="0"/>
    </xf>
    <xf numFmtId="0" fontId="0" fillId="9" borderId="1" xfId="0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4" fillId="2" borderId="1" xfId="0" quotePrefix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3" fillId="4" borderId="1" xfId="0" applyFont="1" applyFill="1" applyBorder="1">
      <alignment vertical="center"/>
    </xf>
    <xf numFmtId="0" fontId="14" fillId="2" borderId="1" xfId="0" quotePrefix="1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0" fillId="8" borderId="23" xfId="0" applyFill="1" applyBorder="1" applyAlignment="1" applyProtection="1">
      <alignment vertical="center"/>
      <protection locked="0"/>
    </xf>
    <xf numFmtId="0" fontId="14" fillId="2" borderId="23" xfId="0" quotePrefix="1" applyFont="1" applyFill="1" applyBorder="1" applyAlignment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0" fillId="8" borderId="4" xfId="0" applyFill="1" applyBorder="1" applyAlignment="1" applyProtection="1">
      <alignment horizontal="right" vertical="center"/>
      <protection locked="0"/>
    </xf>
    <xf numFmtId="0" fontId="0" fillId="8" borderId="30" xfId="0" applyFill="1" applyBorder="1" applyAlignment="1" applyProtection="1">
      <alignment vertical="center"/>
      <protection locked="0"/>
    </xf>
    <xf numFmtId="0" fontId="3" fillId="8" borderId="3" xfId="0" applyFont="1" applyFill="1" applyBorder="1" applyAlignment="1" applyProtection="1">
      <alignment horizontal="center" vertical="center" wrapText="1"/>
      <protection locked="0"/>
    </xf>
    <xf numFmtId="0" fontId="13" fillId="4" borderId="4" xfId="0" quotePrefix="1" applyFont="1" applyFill="1" applyBorder="1" applyAlignment="1" applyProtection="1">
      <alignment horizontal="center" vertical="center"/>
      <protection locked="0"/>
    </xf>
    <xf numFmtId="0" fontId="14" fillId="4" borderId="30" xfId="0" quotePrefix="1" applyFont="1" applyFill="1" applyBorder="1" applyAlignment="1" applyProtection="1">
      <alignment horizontal="center" vertical="center"/>
      <protection locked="0"/>
    </xf>
    <xf numFmtId="0" fontId="0" fillId="8" borderId="4" xfId="0" applyFill="1" applyBorder="1" applyAlignment="1" applyProtection="1">
      <alignment horizontal="center" vertical="center"/>
      <protection locked="0"/>
    </xf>
    <xf numFmtId="0" fontId="0" fillId="8" borderId="1" xfId="0" applyFill="1" applyBorder="1" applyAlignment="1" applyProtection="1">
      <alignment horizontal="center" vertical="center"/>
      <protection locked="0"/>
    </xf>
    <xf numFmtId="0" fontId="8" fillId="4" borderId="1" xfId="0" quotePrefix="1" applyFont="1" applyFill="1" applyBorder="1" applyAlignment="1">
      <alignment vertical="center"/>
    </xf>
    <xf numFmtId="0" fontId="25" fillId="6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11" fillId="2" borderId="1" xfId="0" quotePrefix="1" applyFont="1" applyFill="1" applyBorder="1" applyAlignment="1" applyProtection="1">
      <alignment horizontal="center" vertical="center"/>
    </xf>
    <xf numFmtId="0" fontId="4" fillId="4" borderId="1" xfId="0" applyFont="1" applyFill="1" applyBorder="1" applyAlignment="1">
      <alignment vertical="center"/>
    </xf>
    <xf numFmtId="0" fontId="20" fillId="2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11" fillId="0" borderId="1" xfId="0" quotePrefix="1" applyFont="1" applyFill="1" applyBorder="1" applyAlignment="1" applyProtection="1">
      <alignment horizontal="center" vertical="center"/>
    </xf>
    <xf numFmtId="0" fontId="12" fillId="0" borderId="1" xfId="0" quotePrefix="1" applyFont="1" applyFill="1" applyBorder="1" applyAlignment="1" applyProtection="1">
      <alignment horizontal="center" vertical="center"/>
      <protection locked="0"/>
    </xf>
    <xf numFmtId="0" fontId="13" fillId="0" borderId="1" xfId="0" quotePrefix="1" applyFont="1" applyFill="1" applyBorder="1" applyAlignment="1" applyProtection="1">
      <alignment horizontal="center" vertical="center"/>
      <protection locked="0"/>
    </xf>
    <xf numFmtId="0" fontId="14" fillId="0" borderId="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0" fontId="7" fillId="0" borderId="6" xfId="0" applyFont="1" applyFill="1" applyBorder="1" applyAlignment="1" applyProtection="1">
      <alignment horizontal="left" vertical="center"/>
      <protection locked="0"/>
    </xf>
    <xf numFmtId="0" fontId="7" fillId="0" borderId="25" xfId="0" applyFont="1" applyFill="1" applyBorder="1" applyAlignment="1" applyProtection="1">
      <alignment horizontal="left" vertical="center"/>
      <protection locked="0"/>
    </xf>
    <xf numFmtId="0" fontId="26" fillId="3" borderId="1" xfId="0" applyFont="1" applyFill="1" applyBorder="1" applyAlignment="1">
      <alignment horizontal="center" vertical="center" wrapText="1"/>
    </xf>
    <xf numFmtId="0" fontId="0" fillId="0" borderId="24" xfId="0" applyFill="1" applyBorder="1" applyAlignment="1" applyProtection="1">
      <alignment vertical="center"/>
      <protection locked="0"/>
    </xf>
    <xf numFmtId="0" fontId="0" fillId="0" borderId="25" xfId="0" applyFill="1" applyBorder="1" applyAlignment="1" applyProtection="1">
      <alignment vertical="center"/>
      <protection locked="0"/>
    </xf>
    <xf numFmtId="0" fontId="7" fillId="0" borderId="25" xfId="0" applyFont="1" applyFill="1" applyBorder="1" applyAlignment="1" applyProtection="1">
      <alignment horizontal="left" vertical="center" wrapText="1"/>
      <protection locked="0"/>
    </xf>
    <xf numFmtId="0" fontId="7" fillId="0" borderId="1" xfId="0" applyFont="1" applyFill="1" applyBorder="1" applyAlignment="1" applyProtection="1">
      <alignment vertical="center" wrapText="1"/>
      <protection locked="0"/>
    </xf>
    <xf numFmtId="0" fontId="7" fillId="0" borderId="1" xfId="0" applyFont="1" applyFill="1" applyBorder="1" applyAlignment="1" applyProtection="1">
      <alignment vertical="center"/>
      <protection locked="0"/>
    </xf>
    <xf numFmtId="0" fontId="4" fillId="0" borderId="1" xfId="0" applyFont="1" applyFill="1" applyBorder="1" applyAlignment="1" applyProtection="1">
      <alignment vertical="center" wrapText="1"/>
      <protection locked="0"/>
    </xf>
    <xf numFmtId="0" fontId="4" fillId="0" borderId="1" xfId="0" applyFont="1" applyFill="1" applyBorder="1" applyAlignment="1" applyProtection="1">
      <alignment vertical="center"/>
      <protection locked="0"/>
    </xf>
    <xf numFmtId="0" fontId="0" fillId="0" borderId="1" xfId="0" applyBorder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quotePrefix="1" applyFont="1" applyFill="1" applyBorder="1" applyAlignment="1">
      <alignment vertical="center"/>
    </xf>
    <xf numFmtId="0" fontId="5" fillId="0" borderId="0" xfId="0" quotePrefix="1" applyFont="1" applyFill="1" applyBorder="1">
      <alignment vertical="center"/>
    </xf>
    <xf numFmtId="0" fontId="11" fillId="0" borderId="0" xfId="0" quotePrefix="1" applyFont="1" applyFill="1" applyBorder="1">
      <alignment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14" fillId="4" borderId="3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>
      <alignment vertical="center"/>
    </xf>
    <xf numFmtId="0" fontId="0" fillId="0" borderId="1" xfId="0" applyFill="1" applyBorder="1" applyAlignment="1" applyProtection="1">
      <alignment horizontal="center" vertical="center"/>
      <protection locked="0"/>
    </xf>
    <xf numFmtId="0" fontId="26" fillId="0" borderId="1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 applyProtection="1">
      <alignment horizontal="center" vertical="center" wrapText="1"/>
      <protection locked="0"/>
    </xf>
    <xf numFmtId="0" fontId="21" fillId="0" borderId="0" xfId="0" applyFont="1" applyFill="1" applyBorder="1" applyAlignment="1" applyProtection="1">
      <alignment horizontal="center" vertical="center" wrapText="1"/>
      <protection locked="0"/>
    </xf>
    <xf numFmtId="0" fontId="22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Fill="1" applyBorder="1" applyAlignment="1" applyProtection="1">
      <alignment horizontal="center" vertical="center" wrapText="1"/>
      <protection locked="0"/>
    </xf>
    <xf numFmtId="0" fontId="11" fillId="0" borderId="0" xfId="0" quotePrefix="1" applyFont="1" applyFill="1" applyBorder="1" applyAlignment="1" applyProtection="1">
      <alignment horizontal="center" vertical="center"/>
    </xf>
    <xf numFmtId="0" fontId="12" fillId="0" borderId="0" xfId="0" quotePrefix="1" applyFont="1" applyFill="1" applyBorder="1" applyAlignment="1" applyProtection="1">
      <alignment horizontal="center" vertical="center"/>
      <protection locked="0"/>
    </xf>
    <xf numFmtId="0" fontId="13" fillId="0" borderId="0" xfId="0" quotePrefix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8" borderId="4" xfId="0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 wrapText="1"/>
      <protection locked="0"/>
    </xf>
    <xf numFmtId="0" fontId="4" fillId="3" borderId="1" xfId="0" applyFont="1" applyFill="1" applyBorder="1">
      <alignment vertical="center"/>
    </xf>
    <xf numFmtId="0" fontId="4" fillId="3" borderId="1" xfId="0" applyFont="1" applyFill="1" applyBorder="1" applyAlignment="1">
      <alignment vertical="center" wrapText="1"/>
    </xf>
    <xf numFmtId="0" fontId="15" fillId="6" borderId="1" xfId="0" applyFont="1" applyFill="1" applyBorder="1" applyAlignment="1" applyProtection="1">
      <alignment horizontal="center" vertical="center"/>
    </xf>
    <xf numFmtId="0" fontId="25" fillId="8" borderId="1" xfId="0" applyFont="1" applyFill="1" applyBorder="1" applyAlignment="1" applyProtection="1">
      <alignment vertical="center"/>
      <protection locked="0"/>
    </xf>
    <xf numFmtId="0" fontId="28" fillId="8" borderId="1" xfId="0" applyFont="1" applyFill="1" applyBorder="1" applyAlignment="1" applyProtection="1">
      <alignment vertical="center"/>
      <protection locked="0"/>
    </xf>
    <xf numFmtId="0" fontId="15" fillId="7" borderId="5" xfId="0" applyFont="1" applyFill="1" applyBorder="1" applyAlignment="1">
      <alignment horizontal="center" vertical="center"/>
    </xf>
    <xf numFmtId="0" fontId="12" fillId="0" borderId="4" xfId="0" quotePrefix="1" applyFont="1" applyFill="1" applyBorder="1" applyAlignment="1">
      <alignment horizontal="center" vertical="center"/>
    </xf>
    <xf numFmtId="0" fontId="12" fillId="0" borderId="5" xfId="0" quotePrefix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12" fillId="0" borderId="5" xfId="0" quotePrefix="1" applyFont="1" applyFill="1" applyBorder="1" applyAlignment="1">
      <alignment vertical="center"/>
    </xf>
    <xf numFmtId="0" fontId="12" fillId="0" borderId="6" xfId="0" quotePrefix="1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3" borderId="4" xfId="0" applyFont="1" applyFill="1" applyBorder="1" applyAlignment="1" applyProtection="1">
      <alignment horizontal="left" vertical="center"/>
      <protection locked="0"/>
    </xf>
    <xf numFmtId="0" fontId="7" fillId="3" borderId="5" xfId="0" applyFont="1" applyFill="1" applyBorder="1" applyAlignment="1" applyProtection="1">
      <alignment horizontal="left" vertical="center"/>
      <protection locked="0"/>
    </xf>
    <xf numFmtId="0" fontId="7" fillId="3" borderId="6" xfId="0" applyFont="1" applyFill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14" fillId="4" borderId="10" xfId="0" quotePrefix="1" applyFont="1" applyFill="1" applyBorder="1" applyAlignment="1" applyProtection="1">
      <alignment horizontal="center" vertical="center"/>
      <protection locked="0"/>
    </xf>
    <xf numFmtId="0" fontId="4" fillId="8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vertical="center"/>
      <protection locked="0"/>
    </xf>
    <xf numFmtId="0" fontId="21" fillId="4" borderId="1" xfId="0" applyFont="1" applyFill="1" applyBorder="1" applyAlignment="1" applyProtection="1">
      <alignment vertical="center" wrapText="1"/>
      <protection locked="0"/>
    </xf>
    <xf numFmtId="0" fontId="23" fillId="4" borderId="3" xfId="0" applyFont="1" applyFill="1" applyBorder="1" applyAlignment="1" applyProtection="1">
      <alignment horizontal="center" vertical="center" wrapText="1"/>
      <protection locked="0"/>
    </xf>
    <xf numFmtId="0" fontId="21" fillId="4" borderId="3" xfId="0" applyFont="1" applyFill="1" applyBorder="1" applyAlignment="1" applyProtection="1">
      <alignment vertical="center" wrapText="1"/>
      <protection locked="0"/>
    </xf>
    <xf numFmtId="0" fontId="22" fillId="4" borderId="3" xfId="0" applyFont="1" applyFill="1" applyBorder="1" applyAlignment="1" applyProtection="1">
      <alignment horizontal="center" vertical="center" wrapText="1"/>
      <protection locked="0"/>
    </xf>
    <xf numFmtId="0" fontId="4" fillId="8" borderId="3" xfId="0" applyFont="1" applyFill="1" applyBorder="1" applyAlignment="1">
      <alignment horizontal="center" vertical="center"/>
    </xf>
    <xf numFmtId="0" fontId="11" fillId="4" borderId="11" xfId="0" quotePrefix="1" applyFont="1" applyFill="1" applyBorder="1" applyAlignment="1" applyProtection="1">
      <alignment horizontal="center" vertical="center"/>
    </xf>
    <xf numFmtId="0" fontId="12" fillId="4" borderId="12" xfId="0" quotePrefix="1" applyFont="1" applyFill="1" applyBorder="1" applyAlignment="1" applyProtection="1">
      <alignment horizontal="center" vertical="center"/>
      <protection locked="0"/>
    </xf>
    <xf numFmtId="0" fontId="13" fillId="4" borderId="12" xfId="0" quotePrefix="1" applyFont="1" applyFill="1" applyBorder="1" applyAlignment="1" applyProtection="1">
      <alignment horizontal="center" vertical="center"/>
      <protection locked="0"/>
    </xf>
    <xf numFmtId="0" fontId="14" fillId="4" borderId="12" xfId="0" quotePrefix="1" applyFont="1" applyFill="1" applyBorder="1" applyAlignment="1" applyProtection="1">
      <alignment vertical="center"/>
      <protection locked="0"/>
    </xf>
    <xf numFmtId="0" fontId="11" fillId="4" borderId="12" xfId="0" quotePrefix="1" applyFont="1" applyFill="1" applyBorder="1" applyAlignment="1" applyProtection="1">
      <alignment horizontal="center" vertical="center"/>
    </xf>
    <xf numFmtId="0" fontId="7" fillId="6" borderId="12" xfId="0" applyFont="1" applyFill="1" applyBorder="1" applyAlignment="1" applyProtection="1">
      <alignment horizontal="center" vertical="center"/>
    </xf>
    <xf numFmtId="0" fontId="0" fillId="8" borderId="12" xfId="0" applyFill="1" applyBorder="1" applyAlignment="1" applyProtection="1">
      <alignment horizontal="center" vertical="center"/>
      <protection locked="0"/>
    </xf>
    <xf numFmtId="0" fontId="11" fillId="4" borderId="14" xfId="0" quotePrefix="1" applyFont="1" applyFill="1" applyBorder="1" applyAlignment="1" applyProtection="1">
      <alignment horizontal="center" vertical="center"/>
    </xf>
    <xf numFmtId="0" fontId="14" fillId="4" borderId="10" xfId="0" quotePrefix="1" applyFont="1" applyFill="1" applyBorder="1" applyAlignment="1" applyProtection="1">
      <alignment vertical="center"/>
      <protection locked="0"/>
    </xf>
    <xf numFmtId="0" fontId="0" fillId="8" borderId="10" xfId="0" applyFill="1" applyBorder="1" applyAlignment="1" applyProtection="1">
      <alignment horizontal="center" vertical="center"/>
      <protection locked="0"/>
    </xf>
    <xf numFmtId="0" fontId="0" fillId="0" borderId="35" xfId="0" applyBorder="1">
      <alignment vertical="center"/>
    </xf>
    <xf numFmtId="0" fontId="0" fillId="0" borderId="36" xfId="0" applyBorder="1">
      <alignment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32" fillId="4" borderId="1" xfId="0" quotePrefix="1" applyFont="1" applyFill="1" applyBorder="1">
      <alignment vertical="center"/>
    </xf>
    <xf numFmtId="0" fontId="33" fillId="4" borderId="1" xfId="0" quotePrefix="1" applyFont="1" applyFill="1" applyBorder="1">
      <alignment vertical="center"/>
    </xf>
    <xf numFmtId="0" fontId="11" fillId="0" borderId="0" xfId="0" applyFont="1">
      <alignment vertical="center"/>
    </xf>
    <xf numFmtId="0" fontId="11" fillId="0" borderId="1" xfId="0" applyFont="1" applyBorder="1">
      <alignment vertical="center"/>
    </xf>
    <xf numFmtId="0" fontId="11" fillId="0" borderId="0" xfId="0" quotePrefix="1" applyFont="1" applyFill="1" applyBorder="1" applyAlignment="1">
      <alignment horizontal="center" vertical="center"/>
    </xf>
    <xf numFmtId="0" fontId="11" fillId="0" borderId="0" xfId="0" applyFont="1" applyFill="1" applyBorder="1">
      <alignment vertical="center"/>
    </xf>
    <xf numFmtId="0" fontId="0" fillId="0" borderId="1" xfId="0" applyBorder="1" applyProtection="1">
      <alignment vertical="center"/>
      <protection locked="0"/>
    </xf>
    <xf numFmtId="0" fontId="14" fillId="4" borderId="10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15" fillId="4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3" fillId="4" borderId="1" xfId="0" quotePrefix="1" applyFont="1" applyFill="1" applyBorder="1" applyAlignment="1">
      <alignment horizontal="center" vertical="center"/>
    </xf>
    <xf numFmtId="0" fontId="21" fillId="0" borderId="0" xfId="0" applyFont="1" applyFill="1" applyBorder="1" applyAlignment="1" applyProtection="1">
      <alignment vertical="center" wrapText="1"/>
      <protection locked="0"/>
    </xf>
    <xf numFmtId="0" fontId="10" fillId="4" borderId="1" xfId="0" quotePrefix="1" applyFont="1" applyFill="1" applyBorder="1" applyAlignment="1">
      <alignment vertical="center"/>
    </xf>
    <xf numFmtId="0" fontId="34" fillId="4" borderId="1" xfId="0" applyFont="1" applyFill="1" applyBorder="1" applyAlignment="1">
      <alignment vertical="center"/>
    </xf>
    <xf numFmtId="0" fontId="33" fillId="4" borderId="1" xfId="0" applyFont="1" applyFill="1" applyBorder="1" applyAlignment="1">
      <alignment vertical="center"/>
    </xf>
    <xf numFmtId="0" fontId="33" fillId="4" borderId="1" xfId="0" quotePrefix="1" applyFont="1" applyFill="1" applyBorder="1" applyAlignment="1">
      <alignment vertical="center"/>
    </xf>
    <xf numFmtId="0" fontId="11" fillId="4" borderId="1" xfId="0" quotePrefix="1" applyFont="1" applyFill="1" applyBorder="1" applyAlignment="1">
      <alignment vertical="center"/>
    </xf>
    <xf numFmtId="0" fontId="11" fillId="4" borderId="1" xfId="0" applyFont="1" applyFill="1" applyBorder="1" applyAlignment="1">
      <alignment vertical="center"/>
    </xf>
    <xf numFmtId="0" fontId="35" fillId="4" borderId="1" xfId="0" applyFont="1" applyFill="1" applyBorder="1" applyAlignment="1">
      <alignment vertical="center"/>
    </xf>
    <xf numFmtId="0" fontId="0" fillId="4" borderId="1" xfId="0" applyFill="1" applyBorder="1">
      <alignment vertical="center"/>
    </xf>
    <xf numFmtId="0" fontId="35" fillId="4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7" fillId="3" borderId="0" xfId="0" applyFont="1" applyFill="1" applyBorder="1" applyAlignment="1" applyProtection="1">
      <alignment horizontal="left" vertical="center" wrapText="1"/>
      <protection locked="0"/>
    </xf>
    <xf numFmtId="0" fontId="4" fillId="3" borderId="0" xfId="0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11" fillId="4" borderId="3" xfId="0" quotePrefix="1" applyFont="1" applyFill="1" applyBorder="1" applyAlignment="1" applyProtection="1">
      <alignment horizontal="center" vertical="center"/>
    </xf>
    <xf numFmtId="0" fontId="12" fillId="4" borderId="3" xfId="0" quotePrefix="1" applyFont="1" applyFill="1" applyBorder="1" applyAlignment="1" applyProtection="1">
      <alignment horizontal="center" vertical="center"/>
      <protection locked="0"/>
    </xf>
    <xf numFmtId="0" fontId="7" fillId="6" borderId="3" xfId="0" applyFont="1" applyFill="1" applyBorder="1" applyAlignment="1" applyProtection="1">
      <alignment horizontal="center" vertical="center"/>
    </xf>
    <xf numFmtId="0" fontId="7" fillId="6" borderId="38" xfId="0" applyFont="1" applyFill="1" applyBorder="1" applyAlignment="1" applyProtection="1">
      <alignment horizontal="center" vertical="center"/>
    </xf>
    <xf numFmtId="0" fontId="10" fillId="4" borderId="4" xfId="0" quotePrefix="1" applyFont="1" applyFill="1" applyBorder="1">
      <alignment vertical="center"/>
    </xf>
    <xf numFmtId="0" fontId="7" fillId="6" borderId="39" xfId="0" applyFont="1" applyFill="1" applyBorder="1" applyAlignment="1" applyProtection="1">
      <alignment horizontal="center" vertical="center"/>
    </xf>
    <xf numFmtId="0" fontId="7" fillId="6" borderId="40" xfId="0" applyFont="1" applyFill="1" applyBorder="1" applyAlignment="1" applyProtection="1">
      <alignment horizontal="center" vertical="center"/>
    </xf>
    <xf numFmtId="0" fontId="7" fillId="6" borderId="41" xfId="0" applyFont="1" applyFill="1" applyBorder="1" applyAlignment="1" applyProtection="1">
      <alignment horizontal="center" vertical="center"/>
    </xf>
    <xf numFmtId="0" fontId="10" fillId="4" borderId="3" xfId="0" quotePrefix="1" applyFont="1" applyFill="1" applyBorder="1">
      <alignment vertical="center"/>
    </xf>
    <xf numFmtId="0" fontId="0" fillId="4" borderId="3" xfId="0" quotePrefix="1" applyFill="1" applyBorder="1">
      <alignment vertical="center"/>
    </xf>
    <xf numFmtId="0" fontId="2" fillId="4" borderId="3" xfId="0" quotePrefix="1" applyFont="1" applyFill="1" applyBorder="1">
      <alignment vertical="center"/>
    </xf>
    <xf numFmtId="0" fontId="5" fillId="4" borderId="3" xfId="0" quotePrefix="1" applyFont="1" applyFill="1" applyBorder="1">
      <alignment vertical="center"/>
    </xf>
    <xf numFmtId="0" fontId="11" fillId="4" borderId="3" xfId="0" quotePrefix="1" applyFont="1" applyFill="1" applyBorder="1" applyAlignment="1">
      <alignment vertical="center"/>
    </xf>
    <xf numFmtId="0" fontId="11" fillId="4" borderId="3" xfId="0" applyFont="1" applyFill="1" applyBorder="1" applyAlignment="1">
      <alignment vertical="center"/>
    </xf>
    <xf numFmtId="0" fontId="11" fillId="4" borderId="3" xfId="0" quotePrefix="1" applyFont="1" applyFill="1" applyBorder="1">
      <alignment vertical="center"/>
    </xf>
    <xf numFmtId="0" fontId="0" fillId="8" borderId="3" xfId="0" applyFill="1" applyBorder="1" applyAlignment="1">
      <alignment horizontal="center" vertical="center"/>
    </xf>
    <xf numFmtId="0" fontId="5" fillId="4" borderId="4" xfId="0" quotePrefix="1" applyFont="1" applyFill="1" applyBorder="1">
      <alignment vertical="center"/>
    </xf>
    <xf numFmtId="0" fontId="5" fillId="4" borderId="6" xfId="0" quotePrefix="1" applyFont="1" applyFill="1" applyBorder="1" applyAlignment="1">
      <alignment vertical="center"/>
    </xf>
    <xf numFmtId="0" fontId="5" fillId="4" borderId="38" xfId="0" quotePrefix="1" applyFont="1" applyFill="1" applyBorder="1" applyAlignment="1">
      <alignment vertical="center"/>
    </xf>
    <xf numFmtId="0" fontId="5" fillId="4" borderId="42" xfId="0" quotePrefix="1" applyFont="1" applyFill="1" applyBorder="1" applyAlignment="1">
      <alignment vertical="center"/>
    </xf>
    <xf numFmtId="0" fontId="5" fillId="4" borderId="43" xfId="0" quotePrefix="1" applyFont="1" applyFill="1" applyBorder="1" applyAlignment="1">
      <alignment vertical="center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8" borderId="1" xfId="0" applyFont="1" applyFill="1" applyBorder="1" applyAlignment="1" applyProtection="1">
      <alignment horizontal="left" vertical="center"/>
      <protection locked="0"/>
    </xf>
    <xf numFmtId="0" fontId="7" fillId="3" borderId="4" xfId="0" applyFont="1" applyFill="1" applyBorder="1" applyAlignment="1" applyProtection="1">
      <alignment vertical="center"/>
      <protection locked="0"/>
    </xf>
    <xf numFmtId="0" fontId="7" fillId="3" borderId="5" xfId="0" applyFont="1" applyFill="1" applyBorder="1" applyAlignment="1" applyProtection="1">
      <alignment vertical="center"/>
      <protection locked="0"/>
    </xf>
    <xf numFmtId="0" fontId="29" fillId="6" borderId="1" xfId="0" applyFont="1" applyFill="1" applyBorder="1" applyAlignment="1" applyProtection="1">
      <alignment horizontal="center" vertical="center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vertical="center" wrapText="1"/>
      <protection locked="0"/>
    </xf>
    <xf numFmtId="0" fontId="7" fillId="3" borderId="13" xfId="0" applyFont="1" applyFill="1" applyBorder="1" applyAlignment="1" applyProtection="1">
      <alignment vertical="center" wrapText="1"/>
      <protection locked="0"/>
    </xf>
    <xf numFmtId="0" fontId="7" fillId="3" borderId="8" xfId="0" applyFont="1" applyFill="1" applyBorder="1" applyAlignment="1" applyProtection="1">
      <alignment vertical="center" wrapText="1"/>
      <protection locked="0"/>
    </xf>
    <xf numFmtId="0" fontId="7" fillId="3" borderId="16" xfId="0" applyFont="1" applyFill="1" applyBorder="1" applyAlignment="1" applyProtection="1">
      <alignment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12" fillId="2" borderId="3" xfId="0" quotePrefix="1" applyFont="1" applyFill="1" applyBorder="1" applyAlignment="1">
      <alignment horizontal="center" vertical="center"/>
    </xf>
    <xf numFmtId="0" fontId="13" fillId="2" borderId="3" xfId="0" quotePrefix="1" applyFont="1" applyFill="1" applyBorder="1" applyAlignment="1">
      <alignment horizontal="center" vertical="center"/>
    </xf>
    <xf numFmtId="0" fontId="14" fillId="2" borderId="3" xfId="0" quotePrefix="1" applyFont="1" applyFill="1" applyBorder="1" applyAlignment="1">
      <alignment vertical="center"/>
    </xf>
    <xf numFmtId="0" fontId="0" fillId="0" borderId="3" xfId="0" applyBorder="1">
      <alignment vertical="center"/>
    </xf>
    <xf numFmtId="0" fontId="17" fillId="3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>
      <alignment horizontal="center" vertical="center"/>
    </xf>
    <xf numFmtId="0" fontId="0" fillId="8" borderId="4" xfId="0" quotePrefix="1" applyFill="1" applyBorder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21" fillId="2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25" fillId="8" borderId="4" xfId="0" applyFont="1" applyFill="1" applyBorder="1" applyAlignment="1" applyProtection="1">
      <alignment vertical="center"/>
      <protection locked="0"/>
    </xf>
    <xf numFmtId="0" fontId="28" fillId="8" borderId="5" xfId="0" applyFont="1" applyFill="1" applyBorder="1" applyAlignment="1" applyProtection="1">
      <alignment vertical="center"/>
      <protection locked="0"/>
    </xf>
    <xf numFmtId="0" fontId="14" fillId="4" borderId="1" xfId="0" applyFont="1" applyFill="1" applyBorder="1" applyAlignment="1" applyProtection="1">
      <alignment horizontal="center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7" fillId="3" borderId="1" xfId="0" applyFont="1" applyFill="1" applyBorder="1" applyAlignment="1" applyProtection="1">
      <alignment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27" fillId="3" borderId="4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11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10" borderId="1" xfId="0" applyFill="1" applyBorder="1" applyAlignment="1">
      <alignment horizontal="center" vertical="center"/>
    </xf>
    <xf numFmtId="0" fontId="7" fillId="3" borderId="17" xfId="0" applyFont="1" applyFill="1" applyBorder="1" applyAlignment="1" applyProtection="1">
      <alignment vertical="center"/>
      <protection locked="0"/>
    </xf>
    <xf numFmtId="0" fontId="7" fillId="3" borderId="18" xfId="0" applyFont="1" applyFill="1" applyBorder="1" applyAlignment="1" applyProtection="1">
      <alignment vertical="center"/>
      <protection locked="0"/>
    </xf>
    <xf numFmtId="0" fontId="7" fillId="3" borderId="19" xfId="0" applyFont="1" applyFill="1" applyBorder="1" applyAlignment="1" applyProtection="1">
      <alignment vertical="center"/>
      <protection locked="0"/>
    </xf>
    <xf numFmtId="0" fontId="0" fillId="12" borderId="1" xfId="0" applyFill="1" applyBorder="1" applyAlignment="1" applyProtection="1">
      <alignment horizontal="center" vertical="center"/>
      <protection locked="0"/>
    </xf>
    <xf numFmtId="0" fontId="7" fillId="3" borderId="9" xfId="0" applyFont="1" applyFill="1" applyBorder="1" applyAlignment="1" applyProtection="1">
      <alignment vertical="center"/>
      <protection locked="0"/>
    </xf>
    <xf numFmtId="0" fontId="0" fillId="13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12" borderId="1" xfId="0" applyFill="1" applyBorder="1" applyAlignment="1" applyProtection="1">
      <alignment vertical="center"/>
      <protection locked="0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4" fillId="3" borderId="4" xfId="0" applyFont="1" applyFill="1" applyBorder="1" applyAlignment="1">
      <alignment vertical="center"/>
    </xf>
    <xf numFmtId="0" fontId="4" fillId="3" borderId="6" xfId="0" applyFont="1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vertical="center"/>
    </xf>
    <xf numFmtId="0" fontId="8" fillId="8" borderId="38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7" fillId="3" borderId="1" xfId="0" applyFont="1" applyFill="1" applyBorder="1" applyAlignment="1" applyProtection="1">
      <alignment vertical="center"/>
      <protection locked="0"/>
    </xf>
    <xf numFmtId="0" fontId="0" fillId="0" borderId="1" xfId="0" applyBorder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0" fontId="21" fillId="4" borderId="3" xfId="0" applyFont="1" applyFill="1" applyBorder="1" applyAlignment="1" applyProtection="1">
      <alignment horizontal="center" vertical="center" wrapText="1"/>
      <protection locked="0"/>
    </xf>
    <xf numFmtId="0" fontId="29" fillId="3" borderId="1" xfId="0" applyFont="1" applyFill="1" applyBorder="1" applyAlignment="1" applyProtection="1">
      <alignment horizontal="center" vertical="center"/>
      <protection locked="0"/>
    </xf>
    <xf numFmtId="0" fontId="0" fillId="12" borderId="4" xfId="0" applyFill="1" applyBorder="1" applyAlignment="1" applyProtection="1">
      <alignment horizontal="center" vertical="center"/>
      <protection locked="0"/>
    </xf>
    <xf numFmtId="0" fontId="0" fillId="11" borderId="6" xfId="0" applyFill="1" applyBorder="1" applyAlignment="1">
      <alignment horizontal="center" vertical="center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3" borderId="1" xfId="0" applyFill="1" applyBorder="1" applyAlignment="1">
      <alignment vertical="center" wrapText="1"/>
    </xf>
    <xf numFmtId="0" fontId="0" fillId="3" borderId="1" xfId="0" applyFill="1" applyBorder="1">
      <alignment vertical="center"/>
    </xf>
    <xf numFmtId="0" fontId="0" fillId="0" borderId="6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14" fillId="4" borderId="10" xfId="0" quotePrefix="1" applyFont="1" applyFill="1" applyBorder="1" applyAlignment="1" applyProtection="1">
      <alignment horizontal="center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0" borderId="6" xfId="0" applyBorder="1">
      <alignment vertical="center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>
      <alignment vertical="center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12" fillId="0" borderId="5" xfId="0" quotePrefix="1" applyFont="1" applyFill="1" applyBorder="1" applyAlignment="1">
      <alignment horizontal="center" vertical="center"/>
    </xf>
    <xf numFmtId="0" fontId="0" fillId="12" borderId="6" xfId="0" applyFill="1" applyBorder="1" applyAlignment="1" applyProtection="1">
      <alignment horizontal="center" vertical="center"/>
      <protection locked="0"/>
    </xf>
    <xf numFmtId="0" fontId="0" fillId="12" borderId="6" xfId="0" applyFill="1" applyBorder="1" applyAlignment="1" applyProtection="1">
      <alignment vertical="center"/>
      <protection locked="0"/>
    </xf>
    <xf numFmtId="0" fontId="0" fillId="0" borderId="44" xfId="0" applyBorder="1" applyAlignment="1">
      <alignment horizontal="center" vertical="center"/>
    </xf>
    <xf numFmtId="0" fontId="0" fillId="0" borderId="44" xfId="0" applyBorder="1">
      <alignment vertical="center"/>
    </xf>
    <xf numFmtId="0" fontId="0" fillId="0" borderId="44" xfId="0" applyBorder="1" applyAlignment="1">
      <alignment horizontal="left" vertical="center"/>
    </xf>
    <xf numFmtId="0" fontId="0" fillId="0" borderId="45" xfId="0" applyBorder="1">
      <alignment vertical="center"/>
    </xf>
    <xf numFmtId="0" fontId="0" fillId="4" borderId="6" xfId="0" quotePrefix="1" applyFill="1" applyBorder="1">
      <alignment vertical="center"/>
    </xf>
    <xf numFmtId="0" fontId="0" fillId="14" borderId="1" xfId="0" applyFill="1" applyBorder="1">
      <alignment vertical="center"/>
    </xf>
    <xf numFmtId="0" fontId="0" fillId="3" borderId="0" xfId="0" applyFill="1">
      <alignment vertical="center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13" borderId="3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7" borderId="3" xfId="0" applyFill="1" applyBorder="1" applyAlignment="1">
      <alignment horizontal="center" vertical="center"/>
    </xf>
    <xf numFmtId="0" fontId="0" fillId="7" borderId="46" xfId="0" applyFill="1" applyBorder="1" applyAlignment="1">
      <alignment horizontal="center" vertical="center"/>
    </xf>
    <xf numFmtId="0" fontId="0" fillId="0" borderId="38" xfId="0" applyBorder="1">
      <alignment vertical="center"/>
    </xf>
    <xf numFmtId="0" fontId="0" fillId="8" borderId="1" xfId="0" applyFill="1" applyBorder="1">
      <alignment vertical="center"/>
    </xf>
    <xf numFmtId="0" fontId="7" fillId="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0" fillId="7" borderId="1" xfId="0" applyFill="1" applyBorder="1" applyAlignment="1">
      <alignment horizontal="center" vertical="center"/>
    </xf>
    <xf numFmtId="0" fontId="0" fillId="7" borderId="0" xfId="0" applyFill="1">
      <alignment vertical="center"/>
    </xf>
    <xf numFmtId="0" fontId="7" fillId="6" borderId="4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7" fillId="7" borderId="10" xfId="0" applyFont="1" applyFill="1" applyBorder="1" applyAlignment="1" applyProtection="1">
      <alignment horizontal="center" vertical="center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>
      <alignment vertical="center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7" borderId="1" xfId="0" applyFill="1" applyBorder="1">
      <alignment vertical="center"/>
    </xf>
    <xf numFmtId="0" fontId="7" fillId="7" borderId="4" xfId="0" applyFont="1" applyFill="1" applyBorder="1" applyAlignment="1">
      <alignment horizontal="center" vertical="center"/>
    </xf>
    <xf numFmtId="0" fontId="26" fillId="14" borderId="1" xfId="0" applyFont="1" applyFill="1" applyBorder="1" applyAlignment="1">
      <alignment horizontal="center" vertical="center" wrapText="1"/>
    </xf>
    <xf numFmtId="0" fontId="4" fillId="14" borderId="1" xfId="0" applyFont="1" applyFill="1" applyBorder="1" applyAlignment="1" applyProtection="1">
      <alignment vertical="center" wrapText="1"/>
      <protection locked="0"/>
    </xf>
    <xf numFmtId="0" fontId="4" fillId="14" borderId="1" xfId="0" applyFont="1" applyFill="1" applyBorder="1">
      <alignment vertical="center"/>
    </xf>
    <xf numFmtId="0" fontId="0" fillId="0" borderId="1" xfId="0" applyBorder="1">
      <alignment vertical="center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7" fillId="3" borderId="4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quotePrefix="1" applyFill="1" applyBorder="1" applyAlignment="1">
      <alignment horizontal="center" vertical="center"/>
    </xf>
    <xf numFmtId="0" fontId="0" fillId="0" borderId="3" xfId="0" quotePrefix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left" vertical="center" wrapText="1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16" fillId="4" borderId="1" xfId="0" applyFont="1" applyFill="1" applyBorder="1" applyAlignment="1">
      <alignment horizontal="center" vertical="center"/>
    </xf>
    <xf numFmtId="0" fontId="14" fillId="4" borderId="1" xfId="0" quotePrefix="1" applyFont="1" applyFill="1" applyBorder="1" applyAlignment="1" applyProtection="1">
      <alignment horizontal="center" vertical="center"/>
      <protection locked="0"/>
    </xf>
    <xf numFmtId="0" fontId="30" fillId="4" borderId="4" xfId="0" quotePrefix="1" applyFont="1" applyFill="1" applyBorder="1" applyAlignment="1" applyProtection="1">
      <alignment horizontal="center" vertical="center" wrapText="1"/>
      <protection locked="0"/>
    </xf>
    <xf numFmtId="0" fontId="30" fillId="4" borderId="5" xfId="0" applyFont="1" applyFill="1" applyBorder="1" applyAlignment="1" applyProtection="1">
      <alignment horizontal="center" vertical="center" wrapText="1"/>
      <protection locked="0"/>
    </xf>
    <xf numFmtId="0" fontId="30" fillId="4" borderId="6" xfId="0" applyFont="1" applyFill="1" applyBorder="1" applyAlignment="1" applyProtection="1">
      <alignment horizontal="center" vertical="center" wrapText="1"/>
      <protection locked="0"/>
    </xf>
    <xf numFmtId="0" fontId="12" fillId="7" borderId="1" xfId="0" quotePrefix="1" applyFont="1" applyFill="1" applyBorder="1" applyAlignment="1" applyProtection="1">
      <alignment horizontal="center" vertical="center"/>
    </xf>
    <xf numFmtId="0" fontId="12" fillId="7" borderId="3" xfId="0" quotePrefix="1" applyFont="1" applyFill="1" applyBorder="1" applyAlignment="1" applyProtection="1">
      <alignment horizontal="center" vertical="center"/>
    </xf>
    <xf numFmtId="0" fontId="12" fillId="7" borderId="4" xfId="0" quotePrefix="1" applyFont="1" applyFill="1" applyBorder="1" applyAlignment="1">
      <alignment horizontal="center" vertical="center"/>
    </xf>
    <xf numFmtId="0" fontId="12" fillId="7" borderId="5" xfId="0" quotePrefix="1" applyFont="1" applyFill="1" applyBorder="1" applyAlignment="1">
      <alignment horizontal="center" vertical="center"/>
    </xf>
    <xf numFmtId="0" fontId="12" fillId="7" borderId="6" xfId="0" quotePrefix="1" applyFont="1" applyFill="1" applyBorder="1" applyAlignment="1">
      <alignment horizontal="center" vertical="center"/>
    </xf>
    <xf numFmtId="0" fontId="0" fillId="0" borderId="14" xfId="0" applyBorder="1" applyAlignment="1" applyProtection="1">
      <alignment horizontal="center" vertical="center"/>
      <protection locked="0"/>
    </xf>
    <xf numFmtId="0" fontId="31" fillId="3" borderId="32" xfId="0" applyFont="1" applyFill="1" applyBorder="1" applyAlignment="1">
      <alignment horizontal="center" vertical="center"/>
    </xf>
    <xf numFmtId="0" fontId="31" fillId="3" borderId="16" xfId="0" applyFont="1" applyFill="1" applyBorder="1" applyAlignment="1">
      <alignment horizontal="center" vertical="center"/>
    </xf>
    <xf numFmtId="0" fontId="7" fillId="3" borderId="4" xfId="0" applyFont="1" applyFill="1" applyBorder="1" applyAlignment="1" applyProtection="1">
      <alignment horizontal="center" vertical="center"/>
      <protection locked="0"/>
    </xf>
    <xf numFmtId="0" fontId="7" fillId="3" borderId="5" xfId="0" applyFont="1" applyFill="1" applyBorder="1" applyAlignment="1" applyProtection="1">
      <alignment horizontal="center" vertical="center"/>
      <protection locked="0"/>
    </xf>
    <xf numFmtId="0" fontId="7" fillId="3" borderId="9" xfId="0" applyFont="1" applyFill="1" applyBorder="1" applyAlignment="1" applyProtection="1">
      <alignment horizontal="center" vertical="center"/>
      <protection locked="0"/>
    </xf>
    <xf numFmtId="0" fontId="14" fillId="4" borderId="3" xfId="0" quotePrefix="1" applyFont="1" applyFill="1" applyBorder="1" applyAlignment="1" applyProtection="1">
      <alignment horizontal="center" vertical="center"/>
      <protection locked="0"/>
    </xf>
    <xf numFmtId="0" fontId="8" fillId="4" borderId="1" xfId="0" applyFont="1" applyFill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8" fillId="4" borderId="1" xfId="0" quotePrefix="1" applyFont="1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21" fillId="4" borderId="4" xfId="0" applyFont="1" applyFill="1" applyBorder="1" applyAlignment="1" applyProtection="1">
      <alignment horizontal="center" vertical="center" wrapText="1"/>
      <protection locked="0"/>
    </xf>
    <xf numFmtId="0" fontId="21" fillId="4" borderId="6" xfId="0" applyFont="1" applyFill="1" applyBorder="1" applyAlignment="1" applyProtection="1">
      <alignment horizontal="center" vertical="center" wrapText="1"/>
      <protection locked="0"/>
    </xf>
    <xf numFmtId="0" fontId="21" fillId="4" borderId="24" xfId="0" applyFont="1" applyFill="1" applyBorder="1" applyAlignment="1" applyProtection="1">
      <alignment horizontal="center" vertical="center" wrapText="1"/>
      <protection locked="0"/>
    </xf>
    <xf numFmtId="0" fontId="21" fillId="4" borderId="25" xfId="0" applyFont="1" applyFill="1" applyBorder="1" applyAlignment="1" applyProtection="1">
      <alignment horizontal="center" vertical="center" wrapText="1"/>
      <protection locked="0"/>
    </xf>
    <xf numFmtId="0" fontId="21" fillId="4" borderId="26" xfId="0" applyFont="1" applyFill="1" applyBorder="1" applyAlignment="1" applyProtection="1">
      <alignment horizontal="center" vertical="center" wrapText="1"/>
      <protection locked="0"/>
    </xf>
    <xf numFmtId="0" fontId="30" fillId="4" borderId="33" xfId="0" quotePrefix="1" applyFont="1" applyFill="1" applyBorder="1" applyAlignment="1" applyProtection="1">
      <alignment horizontal="center" vertical="center" wrapText="1"/>
      <protection locked="0"/>
    </xf>
    <xf numFmtId="0" fontId="30" fillId="4" borderId="21" xfId="0" applyFont="1" applyFill="1" applyBorder="1" applyAlignment="1" applyProtection="1">
      <alignment horizontal="center" vertical="center" wrapText="1"/>
      <protection locked="0"/>
    </xf>
    <xf numFmtId="0" fontId="30" fillId="4" borderId="34" xfId="0" applyFont="1" applyFill="1" applyBorder="1" applyAlignment="1" applyProtection="1">
      <alignment horizontal="center" vertical="center" wrapText="1"/>
      <protection locked="0"/>
    </xf>
    <xf numFmtId="0" fontId="30" fillId="4" borderId="17" xfId="0" quotePrefix="1" applyFont="1" applyFill="1" applyBorder="1" applyAlignment="1" applyProtection="1">
      <alignment horizontal="center" vertical="center" wrapText="1"/>
      <protection locked="0"/>
    </xf>
    <xf numFmtId="0" fontId="30" fillId="4" borderId="18" xfId="0" applyFont="1" applyFill="1" applyBorder="1" applyAlignment="1" applyProtection="1">
      <alignment horizontal="center" vertical="center" wrapText="1"/>
      <protection locked="0"/>
    </xf>
    <xf numFmtId="0" fontId="30" fillId="4" borderId="32" xfId="0" applyFont="1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21" fillId="4" borderId="5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11" fillId="4" borderId="4" xfId="0" applyFont="1" applyFill="1" applyBorder="1" applyAlignment="1" applyProtection="1">
      <alignment horizontal="center" vertical="center"/>
    </xf>
    <xf numFmtId="0" fontId="11" fillId="4" borderId="5" xfId="0" quotePrefix="1" applyFont="1" applyFill="1" applyBorder="1" applyAlignment="1" applyProtection="1">
      <alignment horizontal="center" vertical="center"/>
    </xf>
    <xf numFmtId="0" fontId="11" fillId="4" borderId="6" xfId="0" quotePrefix="1" applyFon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horizontal="center" vertical="center"/>
    </xf>
    <xf numFmtId="0" fontId="21" fillId="4" borderId="3" xfId="0" applyFont="1" applyFill="1" applyBorder="1" applyAlignment="1" applyProtection="1">
      <alignment horizontal="center" vertical="center" wrapText="1"/>
      <protection locked="0"/>
    </xf>
    <xf numFmtId="0" fontId="14" fillId="2" borderId="4" xfId="0" quotePrefix="1" applyFont="1" applyFill="1" applyBorder="1" applyAlignment="1">
      <alignment horizontal="center" vertical="center"/>
    </xf>
    <xf numFmtId="0" fontId="14" fillId="2" borderId="5" xfId="0" quotePrefix="1" applyFont="1" applyFill="1" applyBorder="1" applyAlignment="1">
      <alignment horizontal="center" vertical="center"/>
    </xf>
    <xf numFmtId="0" fontId="14" fillId="2" borderId="6" xfId="0" quotePrefix="1" applyFont="1" applyFill="1" applyBorder="1" applyAlignment="1">
      <alignment horizontal="center" vertical="center"/>
    </xf>
    <xf numFmtId="0" fontId="12" fillId="0" borderId="4" xfId="0" quotePrefix="1" applyFont="1" applyFill="1" applyBorder="1" applyAlignment="1">
      <alignment horizontal="center" vertical="center"/>
    </xf>
    <xf numFmtId="0" fontId="12" fillId="0" borderId="5" xfId="0" quotePrefix="1" applyFont="1" applyFill="1" applyBorder="1" applyAlignment="1">
      <alignment horizontal="center" vertical="center"/>
    </xf>
    <xf numFmtId="0" fontId="12" fillId="0" borderId="6" xfId="0" quotePrefix="1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2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left" vertical="top" wrapText="1"/>
      <protection locked="0"/>
    </xf>
    <xf numFmtId="0" fontId="0" fillId="0" borderId="25" xfId="0" applyBorder="1" applyAlignment="1" applyProtection="1">
      <alignment horizontal="left" vertical="top" wrapText="1"/>
      <protection locked="0"/>
    </xf>
    <xf numFmtId="0" fontId="0" fillId="0" borderId="26" xfId="0" applyBorder="1" applyAlignment="1" applyProtection="1">
      <alignment horizontal="left" vertical="top" wrapText="1"/>
      <protection locked="0"/>
    </xf>
    <xf numFmtId="0" fontId="0" fillId="0" borderId="27" xfId="0" applyBorder="1" applyAlignment="1" applyProtection="1">
      <alignment horizontal="left" vertical="top" wrapText="1"/>
      <protection locked="0"/>
    </xf>
    <xf numFmtId="0" fontId="0" fillId="0" borderId="0" xfId="0" applyBorder="1" applyAlignment="1" applyProtection="1">
      <alignment horizontal="left" vertical="top" wrapText="1"/>
      <protection locked="0"/>
    </xf>
    <xf numFmtId="0" fontId="0" fillId="0" borderId="28" xfId="0" applyBorder="1" applyAlignment="1" applyProtection="1">
      <alignment horizontal="left" vertical="top" wrapText="1"/>
      <protection locked="0"/>
    </xf>
    <xf numFmtId="0" fontId="0" fillId="0" borderId="29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0" fontId="0" fillId="0" borderId="24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6" xfId="0" applyBorder="1" applyAlignment="1">
      <alignment horizontal="left" vertical="center"/>
    </xf>
    <xf numFmtId="0" fontId="6" fillId="0" borderId="11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top"/>
      <protection locked="0"/>
    </xf>
    <xf numFmtId="0" fontId="24" fillId="0" borderId="1" xfId="0" applyFont="1" applyBorder="1" applyAlignment="1" applyProtection="1">
      <alignment horizontal="center" vertical="top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8" xfId="0" applyFill="1" applyBorder="1" applyAlignment="1" applyProtection="1">
      <alignment horizontal="center" vertical="center"/>
      <protection locked="0"/>
    </xf>
    <xf numFmtId="0" fontId="7" fillId="3" borderId="10" xfId="0" applyFont="1" applyFill="1" applyBorder="1" applyAlignment="1" applyProtection="1">
      <alignment horizontal="center" vertical="center"/>
      <protection locked="0"/>
    </xf>
    <xf numFmtId="0" fontId="7" fillId="3" borderId="16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 wrapText="1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horizontal="center" vertical="center"/>
      <protection locked="0"/>
    </xf>
    <xf numFmtId="0" fontId="0" fillId="3" borderId="16" xfId="0" applyFill="1" applyBorder="1" applyAlignment="1" applyProtection="1">
      <alignment horizontal="center" vertical="center"/>
      <protection locked="0"/>
    </xf>
    <xf numFmtId="0" fontId="14" fillId="4" borderId="10" xfId="0" quotePrefix="1" applyFont="1" applyFill="1" applyBorder="1" applyAlignment="1" applyProtection="1">
      <alignment horizontal="center" vertical="center"/>
      <protection locked="0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34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 applyProtection="1">
      <alignment horizontal="left" vertical="center" wrapText="1"/>
      <protection locked="0"/>
    </xf>
    <xf numFmtId="0" fontId="4" fillId="2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16" fillId="2" borderId="4" xfId="0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horizontal="center" vertical="center"/>
    </xf>
    <xf numFmtId="0" fontId="16" fillId="2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5" fillId="7" borderId="4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4" fillId="2" borderId="24" xfId="0" applyFont="1" applyFill="1" applyBorder="1" applyAlignment="1">
      <alignment horizontal="center" vertical="center"/>
    </xf>
    <xf numFmtId="0" fontId="4" fillId="2" borderId="25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4" fillId="3" borderId="4" xfId="0" applyFont="1" applyFill="1" applyBorder="1" applyAlignment="1" applyProtection="1">
      <alignment horizontal="center" vertical="center" wrapText="1"/>
      <protection locked="0"/>
    </xf>
    <xf numFmtId="0" fontId="4" fillId="3" borderId="5" xfId="0" applyFont="1" applyFill="1" applyBorder="1" applyAlignment="1" applyProtection="1">
      <alignment horizontal="center" vertical="center" wrapText="1"/>
      <protection locked="0"/>
    </xf>
    <xf numFmtId="0" fontId="4" fillId="3" borderId="9" xfId="0" applyFont="1" applyFill="1" applyBorder="1" applyAlignment="1" applyProtection="1">
      <alignment horizontal="center" vertical="center" wrapText="1"/>
      <protection locked="0"/>
    </xf>
    <xf numFmtId="0" fontId="14" fillId="2" borderId="1" xfId="0" quotePrefix="1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6" fillId="2" borderId="1" xfId="0" quotePrefix="1" applyFont="1" applyFill="1" applyBorder="1" applyAlignment="1">
      <alignment horizontal="center" vertical="center"/>
    </xf>
    <xf numFmtId="0" fontId="25" fillId="3" borderId="4" xfId="0" applyFont="1" applyFill="1" applyBorder="1" applyAlignment="1" applyProtection="1">
      <alignment horizontal="left" vertical="center"/>
      <protection locked="0"/>
    </xf>
    <xf numFmtId="0" fontId="25" fillId="3" borderId="5" xfId="0" applyFont="1" applyFill="1" applyBorder="1" applyAlignment="1" applyProtection="1">
      <alignment horizontal="left" vertical="center"/>
      <protection locked="0"/>
    </xf>
    <xf numFmtId="0" fontId="25" fillId="3" borderId="6" xfId="0" applyFont="1" applyFill="1" applyBorder="1" applyAlignment="1" applyProtection="1">
      <alignment horizontal="left" vertical="center"/>
      <protection locked="0"/>
    </xf>
    <xf numFmtId="0" fontId="4" fillId="2" borderId="4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0" fontId="7" fillId="3" borderId="4" xfId="0" applyFont="1" applyFill="1" applyBorder="1" applyAlignment="1" applyProtection="1">
      <alignment horizontal="left" vertical="center"/>
      <protection locked="0"/>
    </xf>
    <xf numFmtId="0" fontId="7" fillId="3" borderId="5" xfId="0" applyFont="1" applyFill="1" applyBorder="1" applyAlignment="1" applyProtection="1">
      <alignment horizontal="left" vertical="center"/>
      <protection locked="0"/>
    </xf>
    <xf numFmtId="0" fontId="7" fillId="3" borderId="6" xfId="0" applyFont="1" applyFill="1" applyBorder="1" applyAlignment="1" applyProtection="1">
      <alignment horizontal="left" vertic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19" fillId="3" borderId="1" xfId="0" applyFont="1" applyFill="1" applyBorder="1" applyAlignment="1" applyProtection="1">
      <alignment horizontal="center" vertical="center" wrapText="1"/>
      <protection locked="0"/>
    </xf>
    <xf numFmtId="0" fontId="19" fillId="3" borderId="1" xfId="0" applyFont="1" applyFill="1" applyBorder="1" applyAlignment="1" applyProtection="1">
      <alignment horizontal="center" vertical="center"/>
      <protection locked="0"/>
    </xf>
    <xf numFmtId="0" fontId="7" fillId="3" borderId="6" xfId="0" applyFont="1" applyFill="1" applyBorder="1" applyAlignment="1" applyProtection="1">
      <alignment horizontal="center" vertical="center"/>
      <protection locked="0"/>
    </xf>
    <xf numFmtId="0" fontId="19" fillId="3" borderId="5" xfId="0" applyFont="1" applyFill="1" applyBorder="1" applyAlignment="1" applyProtection="1">
      <alignment horizontal="center" vertical="center" wrapText="1"/>
      <protection locked="0"/>
    </xf>
    <xf numFmtId="0" fontId="19" fillId="3" borderId="6" xfId="0" applyFont="1" applyFill="1" applyBorder="1" applyAlignment="1" applyProtection="1">
      <alignment horizontal="center" vertical="center" wrapText="1"/>
      <protection locked="0"/>
    </xf>
    <xf numFmtId="0" fontId="4" fillId="3" borderId="6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6" fillId="0" borderId="24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0" fillId="3" borderId="4" xfId="0" quotePrefix="1" applyFill="1" applyBorder="1" applyAlignment="1">
      <alignment horizontal="center" vertical="center"/>
    </xf>
    <xf numFmtId="0" fontId="0" fillId="3" borderId="5" xfId="0" quotePrefix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5" xfId="0" applyFont="1" applyFill="1" applyBorder="1" applyAlignment="1">
      <alignment horizontal="center" vertical="center"/>
    </xf>
    <xf numFmtId="0" fontId="0" fillId="0" borderId="4" xfId="0" quotePrefix="1" applyFill="1" applyBorder="1" applyAlignment="1">
      <alignment horizontal="center" vertical="center"/>
    </xf>
    <xf numFmtId="0" fontId="0" fillId="0" borderId="5" xfId="0" quotePrefix="1" applyFill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12" fillId="0" borderId="1" xfId="0" quotePrefix="1" applyFont="1" applyFill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left" vertical="center" wrapText="1"/>
      <protection locked="0"/>
    </xf>
    <xf numFmtId="0" fontId="7" fillId="0" borderId="5" xfId="0" applyFont="1" applyBorder="1" applyAlignment="1" applyProtection="1">
      <alignment horizontal="left" vertical="center" wrapText="1"/>
      <protection locked="0"/>
    </xf>
    <xf numFmtId="0" fontId="7" fillId="0" borderId="6" xfId="0" applyFont="1" applyBorder="1" applyAlignment="1" applyProtection="1">
      <alignment horizontal="left" vertical="center" wrapText="1"/>
      <protection locked="0"/>
    </xf>
    <xf numFmtId="0" fontId="6" fillId="0" borderId="4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 wrapText="1"/>
      <protection locked="0"/>
    </xf>
    <xf numFmtId="0" fontId="8" fillId="4" borderId="4" xfId="0" quotePrefix="1" applyFont="1" applyFill="1" applyBorder="1" applyAlignment="1">
      <alignment horizontal="center" vertical="center"/>
    </xf>
    <xf numFmtId="0" fontId="0" fillId="4" borderId="6" xfId="0" applyFill="1" applyBorder="1">
      <alignment vertical="center"/>
    </xf>
    <xf numFmtId="0" fontId="0" fillId="3" borderId="1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3" borderId="5" xfId="0" applyFill="1" applyBorder="1" applyAlignment="1">
      <alignment horizontal="left" vertical="center"/>
    </xf>
    <xf numFmtId="0" fontId="8" fillId="4" borderId="6" xfId="0" quotePrefix="1" applyFont="1" applyFill="1" applyBorder="1" applyAlignment="1">
      <alignment horizontal="center" vertical="center"/>
    </xf>
    <xf numFmtId="0" fontId="14" fillId="4" borderId="4" xfId="0" quotePrefix="1" applyFont="1" applyFill="1" applyBorder="1" applyAlignment="1" applyProtection="1">
      <alignment horizontal="center" vertical="center"/>
      <protection locked="0"/>
    </xf>
    <xf numFmtId="0" fontId="14" fillId="4" borderId="5" xfId="0" quotePrefix="1" applyFont="1" applyFill="1" applyBorder="1" applyAlignment="1" applyProtection="1">
      <alignment horizontal="center" vertical="center"/>
      <protection locked="0"/>
    </xf>
    <xf numFmtId="0" fontId="14" fillId="4" borderId="6" xfId="0" quotePrefix="1" applyFont="1" applyFill="1" applyBorder="1" applyAlignment="1" applyProtection="1">
      <alignment horizontal="center" vertical="center"/>
      <protection locked="0"/>
    </xf>
    <xf numFmtId="0" fontId="7" fillId="3" borderId="4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7" fillId="3" borderId="4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0" fillId="0" borderId="6" xfId="0" applyBorder="1">
      <alignment vertical="center"/>
    </xf>
    <xf numFmtId="0" fontId="7" fillId="3" borderId="4" xfId="0" applyFont="1" applyFill="1" applyBorder="1" applyAlignment="1">
      <alignment horizontal="left" vertical="center" wrapText="1"/>
    </xf>
    <xf numFmtId="0" fontId="7" fillId="3" borderId="5" xfId="0" applyFont="1" applyFill="1" applyBorder="1" applyAlignment="1">
      <alignment horizontal="left" vertical="center" wrapText="1"/>
    </xf>
    <xf numFmtId="0" fontId="7" fillId="0" borderId="4" xfId="0" applyFont="1" applyBorder="1" applyAlignment="1">
      <alignment horizontal="left" vertical="center" wrapText="1"/>
    </xf>
    <xf numFmtId="0" fontId="4" fillId="0" borderId="5" xfId="0" applyFont="1" applyBorder="1" applyAlignment="1">
      <alignment horizontal="left" vertical="center"/>
    </xf>
    <xf numFmtId="0" fontId="7" fillId="3" borderId="1" xfId="0" applyFont="1" applyFill="1" applyBorder="1" applyAlignment="1" applyProtection="1">
      <alignment horizontal="center" vertical="center" wrapText="1"/>
      <protection locked="0"/>
    </xf>
    <xf numFmtId="0" fontId="7" fillId="0" borderId="1" xfId="0" applyFont="1" applyFill="1" applyBorder="1" applyAlignment="1" applyProtection="1">
      <alignment horizontal="center" vertical="center" wrapText="1"/>
      <protection locked="0"/>
    </xf>
    <xf numFmtId="0" fontId="7" fillId="3" borderId="3" xfId="0" applyFont="1" applyFill="1" applyBorder="1" applyAlignment="1" applyProtection="1">
      <alignment horizontal="center" vertical="center" wrapText="1"/>
      <protection locked="0"/>
    </xf>
    <xf numFmtId="0" fontId="7" fillId="3" borderId="4" xfId="0" applyFont="1" applyFill="1" applyBorder="1" applyAlignment="1" applyProtection="1">
      <alignment horizontal="left" vertical="center" wrapText="1"/>
      <protection locked="0"/>
    </xf>
    <xf numFmtId="0" fontId="7" fillId="3" borderId="5" xfId="0" applyFont="1" applyFill="1" applyBorder="1" applyAlignment="1" applyProtection="1">
      <alignment horizontal="left" vertical="center" wrapText="1"/>
      <protection locked="0"/>
    </xf>
    <xf numFmtId="0" fontId="7" fillId="3" borderId="6" xfId="0" applyFont="1" applyFill="1" applyBorder="1" applyAlignment="1" applyProtection="1">
      <alignment horizontal="left" vertical="center" wrapText="1"/>
      <protection locked="0"/>
    </xf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CCCC"/>
      <color rgb="FFFFCCFF"/>
      <color rgb="FFFF99FF"/>
      <color rgb="FFCCECFF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J479"/>
  <sheetViews>
    <sheetView tabSelected="1" topLeftCell="A38" zoomScale="70" zoomScaleNormal="70" workbookViewId="0">
      <selection activeCell="A62" sqref="A62"/>
    </sheetView>
  </sheetViews>
  <sheetFormatPr defaultRowHeight="14.4" outlineLevelRow="1" x14ac:dyDescent="0.25"/>
  <cols>
    <col min="1" max="1" width="17.77734375" customWidth="1"/>
    <col min="2" max="2" width="10.21875" customWidth="1"/>
    <col min="3" max="3" width="51.6640625" customWidth="1"/>
    <col min="4" max="4" width="41.44140625" customWidth="1"/>
    <col min="5" max="6" width="5.44140625" customWidth="1"/>
    <col min="7" max="7" width="5.109375" style="393" customWidth="1"/>
    <col min="8" max="9" width="5" customWidth="1"/>
    <col min="10" max="27" width="3.6640625" customWidth="1"/>
  </cols>
  <sheetData>
    <row r="1" spans="1:7" x14ac:dyDescent="0.25">
      <c r="A1" s="322" t="s">
        <v>779</v>
      </c>
      <c r="B1" s="322">
        <v>6</v>
      </c>
      <c r="C1" s="322"/>
      <c r="D1" s="331"/>
      <c r="E1" s="322"/>
      <c r="F1" s="322"/>
      <c r="G1" s="390"/>
    </row>
    <row r="2" spans="1:7" x14ac:dyDescent="0.25">
      <c r="A2" s="322" t="s">
        <v>780</v>
      </c>
      <c r="B2" s="322">
        <v>100</v>
      </c>
      <c r="C2" s="322">
        <v>400</v>
      </c>
      <c r="D2" s="331">
        <v>300</v>
      </c>
      <c r="E2" s="322">
        <v>40</v>
      </c>
      <c r="F2" s="322">
        <v>20</v>
      </c>
      <c r="G2" s="390">
        <v>20</v>
      </c>
    </row>
    <row r="3" spans="1:7" x14ac:dyDescent="0.25">
      <c r="A3" s="322" t="s">
        <v>781</v>
      </c>
      <c r="B3" s="322" t="s">
        <v>807</v>
      </c>
      <c r="C3" s="322" t="s">
        <v>782</v>
      </c>
      <c r="D3" s="322" t="s">
        <v>783</v>
      </c>
      <c r="E3" s="332" t="s">
        <v>790</v>
      </c>
      <c r="F3" s="322" t="s">
        <v>784</v>
      </c>
      <c r="G3" s="390" t="s">
        <v>785</v>
      </c>
    </row>
    <row r="4" spans="1:7" x14ac:dyDescent="0.25">
      <c r="A4" s="323">
        <v>0</v>
      </c>
      <c r="B4" s="323" t="s">
        <v>786</v>
      </c>
      <c r="C4" s="323"/>
      <c r="D4" s="331"/>
      <c r="E4" s="323"/>
      <c r="F4" s="323"/>
      <c r="G4" s="391"/>
    </row>
    <row r="5" spans="1:7" x14ac:dyDescent="0.25">
      <c r="A5" s="323">
        <v>0</v>
      </c>
      <c r="B5" s="323" t="s">
        <v>786</v>
      </c>
      <c r="C5" s="323"/>
      <c r="D5" s="331"/>
      <c r="E5" s="323"/>
      <c r="F5" s="323"/>
      <c r="G5" s="391"/>
    </row>
    <row r="6" spans="1:7" x14ac:dyDescent="0.25">
      <c r="A6" s="323">
        <v>0</v>
      </c>
      <c r="B6" s="323" t="s">
        <v>786</v>
      </c>
      <c r="C6" s="323"/>
      <c r="D6" s="331"/>
      <c r="E6" s="323"/>
      <c r="F6" s="323"/>
      <c r="G6" s="391"/>
    </row>
    <row r="7" spans="1:7" x14ac:dyDescent="0.25">
      <c r="A7" s="323">
        <v>0</v>
      </c>
      <c r="B7" s="323" t="s">
        <v>786</v>
      </c>
      <c r="C7" s="323"/>
      <c r="D7" s="331"/>
      <c r="E7" s="323"/>
      <c r="F7" s="323"/>
      <c r="G7" s="391"/>
    </row>
    <row r="8" spans="1:7" x14ac:dyDescent="0.25">
      <c r="A8" s="323">
        <v>0</v>
      </c>
      <c r="B8" s="323" t="s">
        <v>786</v>
      </c>
      <c r="C8" s="323"/>
      <c r="D8" s="331"/>
      <c r="E8" s="323"/>
      <c r="F8" s="323"/>
      <c r="G8" s="391"/>
    </row>
    <row r="9" spans="1:7" x14ac:dyDescent="0.25">
      <c r="A9" s="323">
        <v>0</v>
      </c>
      <c r="B9" s="323" t="s">
        <v>786</v>
      </c>
      <c r="C9" s="323"/>
      <c r="D9" s="331"/>
      <c r="E9" s="323"/>
      <c r="F9" s="323"/>
      <c r="G9" s="391"/>
    </row>
    <row r="10" spans="1:7" x14ac:dyDescent="0.25">
      <c r="A10" s="323">
        <v>0</v>
      </c>
      <c r="B10" s="478" t="s">
        <v>787</v>
      </c>
      <c r="C10" s="479"/>
      <c r="D10" s="479"/>
      <c r="E10" s="479"/>
      <c r="F10" s="479"/>
      <c r="G10" s="479"/>
    </row>
    <row r="11" spans="1:7" x14ac:dyDescent="0.25">
      <c r="A11" s="330">
        <v>1</v>
      </c>
      <c r="B11" s="330"/>
      <c r="C11" s="330"/>
      <c r="D11" s="330" t="s">
        <v>826</v>
      </c>
      <c r="E11" s="339"/>
      <c r="F11" s="339"/>
      <c r="G11" s="392"/>
    </row>
    <row r="12" spans="1:7" x14ac:dyDescent="0.25">
      <c r="A12" s="330">
        <v>1</v>
      </c>
      <c r="B12" s="330"/>
      <c r="C12" s="330"/>
      <c r="D12" s="330" t="s">
        <v>827</v>
      </c>
      <c r="E12" s="352"/>
      <c r="F12" s="352"/>
      <c r="G12" s="392"/>
    </row>
    <row r="13" spans="1:7" x14ac:dyDescent="0.25">
      <c r="A13" s="330">
        <v>1</v>
      </c>
      <c r="B13" s="330"/>
      <c r="C13" s="330"/>
      <c r="D13" s="330" t="s">
        <v>828</v>
      </c>
      <c r="E13" s="352"/>
      <c r="F13" s="352"/>
      <c r="G13" s="392"/>
    </row>
    <row r="14" spans="1:7" x14ac:dyDescent="0.25">
      <c r="A14" s="330">
        <v>1</v>
      </c>
      <c r="B14" s="330"/>
      <c r="C14" s="330"/>
      <c r="D14" s="330" t="s">
        <v>829</v>
      </c>
      <c r="E14" s="352"/>
      <c r="F14" s="352"/>
      <c r="G14" s="392"/>
    </row>
    <row r="15" spans="1:7" x14ac:dyDescent="0.25">
      <c r="A15" s="330">
        <v>1</v>
      </c>
      <c r="B15" s="330"/>
      <c r="C15" s="330"/>
      <c r="D15" s="330" t="s">
        <v>830</v>
      </c>
      <c r="E15" s="352"/>
      <c r="F15" s="352"/>
      <c r="G15" s="392"/>
    </row>
    <row r="17" spans="1:31" x14ac:dyDescent="0.25">
      <c r="A17" s="330">
        <v>1</v>
      </c>
      <c r="B17" s="330"/>
      <c r="C17" s="330"/>
      <c r="D17" s="330" t="s">
        <v>788</v>
      </c>
      <c r="E17" s="323"/>
      <c r="F17" s="323"/>
      <c r="G17" s="391"/>
    </row>
    <row r="19" spans="1:31" x14ac:dyDescent="0.25">
      <c r="A19" s="338">
        <v>2</v>
      </c>
      <c r="B19" s="323"/>
      <c r="C19" s="55" t="str">
        <f>IF(ISBLANK(H19),,H19&amp;" ")&amp;IF(ISBLANK(I19),,I19&amp;" ")&amp;IF(ISBLANK(J19),,J19&amp;" ")&amp;IF(ISBLANK(K19),,K19&amp;" ")&amp;IF(ISBLANK(L19),,L19&amp;" ")&amp;IF(ISBLANK(M19),,M19&amp;" ")&amp;IF(ISBLANK(N19),,N19&amp;" ")&amp;IF(ISBLANK(O19),,O19&amp;" ")&amp;IF(ISBLANK(P19),,P19&amp;" ")&amp;IF(ISBLANK(Q19),,Q19&amp;" ")&amp;IF(ISBLANK(R19),,R19&amp;" ")&amp;IF(ISBLANK(S19),,S19&amp;" ")&amp;IF(ISBLANK(T19),,T19&amp;" ")&amp;IF(ISBLANK(U19),,U19&amp;" ")&amp;IF(ISBLANK(V19),,V19&amp;" ")&amp;IF(ISBLANK(W19),,W19&amp;" ")&amp;IF(ISBLANK(X19),,X19&amp;" ")&amp;IF(ISBLANK(Y19),,Y19&amp;" ")&amp;IF(ISBLANK(Z19),,Z19&amp;" ")&amp;IF(ISBLANK(AA19),,AA19)</f>
        <v>0x00 0x01 aa 00 04 01 00 00 01 06 55</v>
      </c>
      <c r="D19" s="321" t="s">
        <v>548</v>
      </c>
      <c r="E19" s="343"/>
      <c r="F19" s="343"/>
      <c r="G19" s="391"/>
      <c r="H19" s="388" t="s">
        <v>806</v>
      </c>
      <c r="I19" s="336" t="s">
        <v>805</v>
      </c>
      <c r="J19" s="84" t="s">
        <v>251</v>
      </c>
      <c r="K19" s="75" t="s">
        <v>256</v>
      </c>
      <c r="L19" s="75" t="str">
        <f>DEC2HEX( COUNTA(M19:Y19),2)</f>
        <v>04</v>
      </c>
      <c r="M19" s="76" t="s">
        <v>14</v>
      </c>
      <c r="N19" s="76" t="s">
        <v>256</v>
      </c>
      <c r="O19" s="76" t="s">
        <v>256</v>
      </c>
      <c r="P19" s="319" t="s">
        <v>14</v>
      </c>
      <c r="Q19" s="319"/>
      <c r="R19" s="319"/>
      <c r="S19" s="319"/>
      <c r="T19" s="319"/>
      <c r="U19" s="319"/>
      <c r="V19" s="319"/>
      <c r="W19" s="319"/>
      <c r="X19" s="319"/>
      <c r="Y19" s="319"/>
      <c r="Z19" s="84" t="str">
        <f>DEC2HEX(MOD(HEX2DEC(K19)+HEX2DEC(L19)+HEX2DEC(M19)+HEX2DEC(N19)+HEX2DEC(O19)+HEX2DEC(P19)+HEX2DEC(Q19)+HEX2DEC(R19)+HEX2DEC(S19)+HEX2DEC(T19)+HEX2DEC(U19)+HEX2DEC(V19)+HEX2DEC(W19)+HEX2DEC(X19)+HEX2DEC(Y19),256),2)</f>
        <v>06</v>
      </c>
      <c r="AA19" s="84" t="s">
        <v>5</v>
      </c>
      <c r="AB19" s="116"/>
      <c r="AC19" s="116"/>
      <c r="AD19" s="116"/>
      <c r="AE19" s="116"/>
    </row>
    <row r="20" spans="1:31" x14ac:dyDescent="0.25">
      <c r="A20" s="338">
        <v>2</v>
      </c>
      <c r="B20" s="323"/>
      <c r="C20" s="55" t="str">
        <f t="shared" ref="C20:C22" si="0">IF(ISBLANK(H20),,H20&amp;" ")&amp;IF(ISBLANK(I20),,I20&amp;" ")&amp;IF(ISBLANK(J20),,J20&amp;" ")&amp;IF(ISBLANK(K20),,K20&amp;" ")&amp;IF(ISBLANK(L20),,L20&amp;" ")&amp;IF(ISBLANK(M20),,M20&amp;" ")&amp;IF(ISBLANK(N20),,N20&amp;" ")&amp;IF(ISBLANK(O20),,O20&amp;" ")&amp;IF(ISBLANK(P20),,P20&amp;" ")&amp;IF(ISBLANK(Q20),,Q20&amp;" ")&amp;IF(ISBLANK(R20),,R20&amp;" ")&amp;IF(ISBLANK(S20),,S20&amp;" ")&amp;IF(ISBLANK(T20),,T20&amp;" ")&amp;IF(ISBLANK(U20),,U20&amp;" ")&amp;IF(ISBLANK(V20),,V20&amp;" ")&amp;IF(ISBLANK(W20),,W20&amp;" ")&amp;IF(ISBLANK(X20),,X20&amp;" ")&amp;IF(ISBLANK(Y20),,Y20&amp;" ")&amp;IF(ISBLANK(Z20),,Z20&amp;" ")&amp;IF(ISBLANK(AA20),,AA20)</f>
        <v>aa 00 04 01 00 00 02 07 55</v>
      </c>
      <c r="D20" s="321" t="s">
        <v>549</v>
      </c>
      <c r="E20" s="343"/>
      <c r="F20" s="343"/>
      <c r="G20" s="391"/>
      <c r="H20" s="388"/>
      <c r="I20" s="336"/>
      <c r="J20" s="84" t="s">
        <v>251</v>
      </c>
      <c r="K20" s="75" t="s">
        <v>256</v>
      </c>
      <c r="L20" s="75" t="str">
        <f t="shared" ref="L20:L22" si="1">DEC2HEX( COUNTA(M20:Y20),2)</f>
        <v>04</v>
      </c>
      <c r="M20" s="76" t="s">
        <v>14</v>
      </c>
      <c r="N20" s="76" t="s">
        <v>256</v>
      </c>
      <c r="O20" s="76" t="s">
        <v>256</v>
      </c>
      <c r="P20" s="319" t="s">
        <v>15</v>
      </c>
      <c r="Q20" s="319"/>
      <c r="R20" s="319"/>
      <c r="S20" s="319"/>
      <c r="T20" s="319"/>
      <c r="U20" s="319"/>
      <c r="V20" s="319"/>
      <c r="W20" s="319"/>
      <c r="X20" s="319"/>
      <c r="Y20" s="319"/>
      <c r="Z20" s="84" t="str">
        <f t="shared" ref="Z20:Z22" si="2">DEC2HEX(MOD(HEX2DEC(K20)+HEX2DEC(L20)+HEX2DEC(M20)+HEX2DEC(N20)+HEX2DEC(O20)+HEX2DEC(P20)+HEX2DEC(Q20)+HEX2DEC(R20)+HEX2DEC(S20)+HEX2DEC(T20)+HEX2DEC(U20)+HEX2DEC(V20)+HEX2DEC(W20)+HEX2DEC(X20)+HEX2DEC(Y20),256),2)</f>
        <v>07</v>
      </c>
      <c r="AA20" s="84" t="s">
        <v>5</v>
      </c>
      <c r="AB20" s="116"/>
      <c r="AC20" s="116"/>
      <c r="AD20" s="116"/>
      <c r="AE20" s="116"/>
    </row>
    <row r="21" spans="1:31" x14ac:dyDescent="0.25">
      <c r="A21" s="338">
        <v>2</v>
      </c>
      <c r="B21" s="323"/>
      <c r="C21" s="55" t="str">
        <f t="shared" si="0"/>
        <v>aa 00 04 01 00 00 03 08 55</v>
      </c>
      <c r="D21" s="321" t="s">
        <v>550</v>
      </c>
      <c r="E21" s="343"/>
      <c r="F21" s="343"/>
      <c r="G21" s="391"/>
      <c r="H21" s="388"/>
      <c r="I21" s="336"/>
      <c r="J21" s="84" t="s">
        <v>251</v>
      </c>
      <c r="K21" s="75" t="s">
        <v>256</v>
      </c>
      <c r="L21" s="75" t="str">
        <f t="shared" si="1"/>
        <v>04</v>
      </c>
      <c r="M21" s="76" t="s">
        <v>14</v>
      </c>
      <c r="N21" s="76" t="s">
        <v>256</v>
      </c>
      <c r="O21" s="76" t="s">
        <v>256</v>
      </c>
      <c r="P21" s="319" t="s">
        <v>13</v>
      </c>
      <c r="Q21" s="319"/>
      <c r="R21" s="319"/>
      <c r="S21" s="319"/>
      <c r="T21" s="319"/>
      <c r="U21" s="319"/>
      <c r="V21" s="319"/>
      <c r="W21" s="319"/>
      <c r="X21" s="319"/>
      <c r="Y21" s="319"/>
      <c r="Z21" s="84" t="str">
        <f t="shared" si="2"/>
        <v>08</v>
      </c>
      <c r="AA21" s="84" t="s">
        <v>5</v>
      </c>
      <c r="AB21" s="116"/>
      <c r="AC21" s="116"/>
      <c r="AD21" s="116"/>
      <c r="AE21" s="116"/>
    </row>
    <row r="22" spans="1:31" x14ac:dyDescent="0.25">
      <c r="A22" s="338">
        <v>2</v>
      </c>
      <c r="B22" s="323"/>
      <c r="C22" s="55" t="str">
        <f t="shared" si="0"/>
        <v>aa 00 03 01 00 01 05 55</v>
      </c>
      <c r="D22" s="321" t="s">
        <v>609</v>
      </c>
      <c r="E22" s="343"/>
      <c r="F22" s="343"/>
      <c r="G22" s="391"/>
      <c r="H22" s="388"/>
      <c r="I22" s="336"/>
      <c r="J22" s="84" t="s">
        <v>251</v>
      </c>
      <c r="K22" s="75" t="s">
        <v>256</v>
      </c>
      <c r="L22" s="75" t="str">
        <f t="shared" si="1"/>
        <v>03</v>
      </c>
      <c r="M22" s="76" t="s">
        <v>14</v>
      </c>
      <c r="N22" s="76" t="s">
        <v>256</v>
      </c>
      <c r="O22" s="76" t="s">
        <v>14</v>
      </c>
      <c r="P22" s="319"/>
      <c r="Q22" s="319"/>
      <c r="R22" s="319"/>
      <c r="S22" s="319"/>
      <c r="T22" s="319"/>
      <c r="U22" s="319"/>
      <c r="V22" s="319"/>
      <c r="W22" s="319"/>
      <c r="X22" s="319"/>
      <c r="Y22" s="319"/>
      <c r="Z22" s="84" t="str">
        <f t="shared" si="2"/>
        <v>05</v>
      </c>
      <c r="AA22" s="84" t="s">
        <v>5</v>
      </c>
      <c r="AB22" s="116"/>
      <c r="AC22" s="116"/>
      <c r="AD22" s="116"/>
      <c r="AE22" s="116"/>
    </row>
    <row r="23" spans="1:31" x14ac:dyDescent="0.25">
      <c r="A23" s="338">
        <v>2</v>
      </c>
      <c r="B23" s="423"/>
      <c r="C23" s="55" t="str">
        <f t="shared" ref="C23" si="3">IF(ISBLANK(H23),,H23&amp;" ")&amp;IF(ISBLANK(I23),,I23&amp;" ")&amp;IF(ISBLANK(J23),,J23&amp;" ")&amp;IF(ISBLANK(K23),,K23&amp;" ")&amp;IF(ISBLANK(L23),,L23&amp;" ")&amp;IF(ISBLANK(M23),,M23&amp;" ")&amp;IF(ISBLANK(N23),,N23&amp;" ")&amp;IF(ISBLANK(O23),,O23&amp;" ")&amp;IF(ISBLANK(P23),,P23&amp;" ")&amp;IF(ISBLANK(Q23),,Q23&amp;" ")&amp;IF(ISBLANK(R23),,R23&amp;" ")&amp;IF(ISBLANK(S23),,S23&amp;" ")&amp;IF(ISBLANK(T23),,T23&amp;" ")&amp;IF(ISBLANK(U23),,U23&amp;" ")&amp;IF(ISBLANK(V23),,V23&amp;" ")&amp;IF(ISBLANK(W23),,W23&amp;" ")&amp;IF(ISBLANK(X23),,X23&amp;" ")&amp;IF(ISBLANK(Y23),,Y23&amp;" ")&amp;IF(ISBLANK(Z23),,Z23&amp;" ")&amp;IF(ISBLANK(AA23),,AA23)</f>
        <v>0x00 0x04 aa 00 03 01 00 20 24 55</v>
      </c>
      <c r="D23" s="425" t="s">
        <v>962</v>
      </c>
      <c r="E23" s="423"/>
      <c r="F23" s="423"/>
      <c r="G23" s="391"/>
      <c r="H23" s="388" t="s">
        <v>964</v>
      </c>
      <c r="I23" s="336" t="s">
        <v>965</v>
      </c>
      <c r="J23" s="84" t="s">
        <v>251</v>
      </c>
      <c r="K23" s="75" t="s">
        <v>256</v>
      </c>
      <c r="L23" s="75" t="str">
        <f t="shared" ref="L23" si="4">DEC2HEX( COUNTA(M23:Y23),2)</f>
        <v>03</v>
      </c>
      <c r="M23" s="76" t="s">
        <v>14</v>
      </c>
      <c r="N23" s="76" t="s">
        <v>256</v>
      </c>
      <c r="O23" s="76" t="s">
        <v>963</v>
      </c>
      <c r="P23" s="424"/>
      <c r="Q23" s="424"/>
      <c r="R23" s="424"/>
      <c r="S23" s="424"/>
      <c r="T23" s="424"/>
      <c r="U23" s="424"/>
      <c r="V23" s="424"/>
      <c r="W23" s="424"/>
      <c r="X23" s="424"/>
      <c r="Y23" s="424"/>
      <c r="Z23" s="84" t="str">
        <f t="shared" ref="Z23" si="5">DEC2HEX(MOD(HEX2DEC(K23)+HEX2DEC(L23)+HEX2DEC(M23)+HEX2DEC(N23)+HEX2DEC(O23)+HEX2DEC(P23)+HEX2DEC(Q23)+HEX2DEC(R23)+HEX2DEC(S23)+HEX2DEC(T23)+HEX2DEC(U23)+HEX2DEC(V23)+HEX2DEC(W23)+HEX2DEC(X23)+HEX2DEC(Y23),256),2)</f>
        <v>24</v>
      </c>
      <c r="AA23" s="84" t="s">
        <v>5</v>
      </c>
      <c r="AB23" s="116"/>
      <c r="AC23" s="116"/>
      <c r="AD23" s="116"/>
      <c r="AE23" s="116"/>
    </row>
    <row r="29" spans="1:31" x14ac:dyDescent="0.25">
      <c r="A29" s="330">
        <v>1</v>
      </c>
      <c r="B29" s="330"/>
      <c r="C29" s="330"/>
      <c r="D29" s="330" t="s">
        <v>808</v>
      </c>
      <c r="E29" s="435" t="s">
        <v>791</v>
      </c>
      <c r="F29" s="435"/>
      <c r="G29" s="435"/>
    </row>
    <row r="30" spans="1:31" ht="14.4" customHeight="1" outlineLevel="1" x14ac:dyDescent="0.25">
      <c r="A30" s="338">
        <v>2</v>
      </c>
      <c r="B30" s="357"/>
      <c r="C30" s="55"/>
      <c r="D30" s="367" t="s">
        <v>833</v>
      </c>
      <c r="E30" s="435" t="s">
        <v>791</v>
      </c>
      <c r="F30" s="435"/>
      <c r="G30" s="435"/>
      <c r="H30" s="389"/>
      <c r="I30" s="340"/>
      <c r="J30" s="486" t="s">
        <v>832</v>
      </c>
      <c r="K30" s="486"/>
      <c r="L30" s="486"/>
      <c r="M30" s="486"/>
      <c r="N30" s="486"/>
      <c r="O30" s="486"/>
      <c r="P30" s="486"/>
      <c r="Q30" s="486"/>
      <c r="R30" s="486"/>
      <c r="S30" s="486"/>
      <c r="T30" s="486"/>
      <c r="U30" s="486"/>
      <c r="V30" s="486"/>
      <c r="W30" s="486"/>
      <c r="X30" s="486"/>
      <c r="Y30" s="486"/>
      <c r="Z30" s="486"/>
      <c r="AA30" s="486"/>
      <c r="AB30" s="116"/>
      <c r="AC30" s="116"/>
      <c r="AD30" s="116"/>
      <c r="AE30" s="116"/>
    </row>
    <row r="31" spans="1:31" ht="14.4" customHeight="1" outlineLevel="1" x14ac:dyDescent="0.25">
      <c r="A31" s="356">
        <v>3</v>
      </c>
      <c r="B31" s="357"/>
      <c r="C31" s="55" t="str">
        <f>IF(ISBLANK(H31),,H31&amp;" ")&amp;IF(ISBLANK(I31),,I31&amp;" ")&amp;IF(ISBLANK(J31),,J31&amp;" ")&amp;IF(ISBLANK(K31),,K31&amp;" ")&amp;IF(ISBLANK(L31),,L31&amp;" ")&amp;IF(ISBLANK(M31),,M31&amp;" ")&amp;IF(ISBLANK(N31),,N31&amp;" ")&amp;IF(ISBLANK(O31),,O31&amp;" ")&amp;IF(ISBLANK(P31),,P31&amp;" ")&amp;IF(ISBLANK(Q31),,Q31&amp;" ")&amp;IF(ISBLANK(R31),,R31&amp;" ")&amp;IF(ISBLANK(S31),,S31&amp;" ")&amp;IF(ISBLANK(T31),,T31&amp;" ")&amp;IF(ISBLANK(U31),,U31&amp;" ")&amp;IF(ISBLANK(V31),,V31&amp;" ")&amp;IF(ISBLANK(W31),,W31&amp;" ")&amp;IF(ISBLANK(X31),,X31&amp;" ")&amp;IF(ISBLANK(Y31),,Y31&amp;" ")&amp;IF(ISBLANK(Z31),,Z31&amp;" ")&amp;IF(ISBLANK(AA31),,AA31)</f>
        <v>0x00 0x01 aa 00 04 63 00 34 00 9B 55</v>
      </c>
      <c r="D31" s="358" t="s">
        <v>834</v>
      </c>
      <c r="E31" s="435" t="s">
        <v>791</v>
      </c>
      <c r="F31" s="435"/>
      <c r="G31" s="435"/>
      <c r="H31" s="388" t="s">
        <v>804</v>
      </c>
      <c r="I31" s="336" t="s">
        <v>805</v>
      </c>
      <c r="J31" s="1" t="s">
        <v>0</v>
      </c>
      <c r="K31" s="1" t="s">
        <v>1</v>
      </c>
      <c r="L31" s="1" t="s">
        <v>2</v>
      </c>
      <c r="M31" s="2" t="s">
        <v>16</v>
      </c>
      <c r="N31" s="2" t="s">
        <v>1</v>
      </c>
      <c r="O31" s="2" t="s">
        <v>620</v>
      </c>
      <c r="P31" s="2" t="s">
        <v>1</v>
      </c>
      <c r="Q31" s="2"/>
      <c r="R31" s="4"/>
      <c r="S31" s="4"/>
      <c r="T31" s="4"/>
      <c r="U31" s="4"/>
      <c r="V31" s="4"/>
      <c r="W31" s="4"/>
      <c r="X31" s="31"/>
      <c r="Y31" s="31"/>
      <c r="Z31" s="84" t="str">
        <f t="shared" ref="Z31:Z33" si="6">DEC2HEX(MOD(HEX2DEC(K31)+HEX2DEC(L31)+HEX2DEC(M31)+HEX2DEC(N31)+HEX2DEC(O31)+HEX2DEC(P31)+HEX2DEC(Q31)+HEX2DEC(R31)+HEX2DEC(S31)+HEX2DEC(T31)+HEX2DEC(U31)+HEX2DEC(V31)+HEX2DEC(W31)+HEX2DEC(X31)+HEX2DEC(Y31),256),2)</f>
        <v>9B</v>
      </c>
      <c r="AA31" s="13" t="s">
        <v>5</v>
      </c>
      <c r="AB31" s="116"/>
      <c r="AC31" s="116"/>
      <c r="AD31" s="116"/>
      <c r="AE31" s="116"/>
    </row>
    <row r="32" spans="1:31" ht="14.4" customHeight="1" outlineLevel="1" x14ac:dyDescent="0.25">
      <c r="A32" s="356">
        <v>3</v>
      </c>
      <c r="B32" s="357"/>
      <c r="C32" s="55" t="str">
        <f t="shared" ref="C32:C33" si="7">IF(ISBLANK(H32),,H32&amp;" ")&amp;IF(ISBLANK(I32),,I32&amp;" ")&amp;IF(ISBLANK(J32),,J32&amp;" ")&amp;IF(ISBLANK(K32),,K32&amp;" ")&amp;IF(ISBLANK(L32),,L32&amp;" ")&amp;IF(ISBLANK(M32),,M32&amp;" ")&amp;IF(ISBLANK(N32),,N32&amp;" ")&amp;IF(ISBLANK(O32),,O32&amp;" ")&amp;IF(ISBLANK(P32),,P32&amp;" ")&amp;IF(ISBLANK(Q32),,Q32&amp;" ")&amp;IF(ISBLANK(R32),,R32&amp;" ")&amp;IF(ISBLANK(S32),,S32&amp;" ")&amp;IF(ISBLANK(T32),,T32&amp;" ")&amp;IF(ISBLANK(U32),,U32&amp;" ")&amp;IF(ISBLANK(V32),,V32&amp;" ")&amp;IF(ISBLANK(W32),,W32&amp;" ")&amp;IF(ISBLANK(X32),,X32&amp;" ")&amp;IF(ISBLANK(Y32),,Y32&amp;" ")&amp;IF(ISBLANK(Z32),,Z32&amp;" ")&amp;IF(ISBLANK(AA32),,AA32)</f>
        <v>0x00 0x01 aa 00 04 63 00 34 01 9C 55</v>
      </c>
      <c r="D32" s="358" t="s">
        <v>835</v>
      </c>
      <c r="E32" s="435" t="s">
        <v>791</v>
      </c>
      <c r="F32" s="435"/>
      <c r="G32" s="435"/>
      <c r="H32" s="388" t="s">
        <v>804</v>
      </c>
      <c r="I32" s="336" t="s">
        <v>805</v>
      </c>
      <c r="J32" s="1" t="s">
        <v>0</v>
      </c>
      <c r="K32" s="1" t="s">
        <v>1</v>
      </c>
      <c r="L32" s="1" t="s">
        <v>2</v>
      </c>
      <c r="M32" s="2" t="s">
        <v>16</v>
      </c>
      <c r="N32" s="2" t="s">
        <v>1</v>
      </c>
      <c r="O32" s="2" t="s">
        <v>620</v>
      </c>
      <c r="P32" s="2" t="s">
        <v>4</v>
      </c>
      <c r="Q32" s="2"/>
      <c r="R32" s="4"/>
      <c r="S32" s="4"/>
      <c r="T32" s="4"/>
      <c r="U32" s="4"/>
      <c r="V32" s="4"/>
      <c r="W32" s="4"/>
      <c r="X32" s="31"/>
      <c r="Y32" s="31"/>
      <c r="Z32" s="84" t="str">
        <f t="shared" si="6"/>
        <v>9C</v>
      </c>
      <c r="AA32" s="13" t="s">
        <v>5</v>
      </c>
      <c r="AB32" s="116"/>
      <c r="AC32" s="116"/>
      <c r="AD32" s="116"/>
      <c r="AE32" s="116"/>
    </row>
    <row r="33" spans="1:31" ht="14.4" customHeight="1" outlineLevel="1" x14ac:dyDescent="0.25">
      <c r="A33" s="356">
        <v>3</v>
      </c>
      <c r="B33" s="357"/>
      <c r="C33" s="55" t="str">
        <f t="shared" si="7"/>
        <v>0x00 0x01 aa 00 04 63 00 34 02 9D 55</v>
      </c>
      <c r="D33" s="358" t="s">
        <v>836</v>
      </c>
      <c r="E33" s="435" t="s">
        <v>791</v>
      </c>
      <c r="F33" s="435"/>
      <c r="G33" s="435"/>
      <c r="H33" s="388" t="s">
        <v>804</v>
      </c>
      <c r="I33" s="336" t="s">
        <v>805</v>
      </c>
      <c r="J33" s="1" t="s">
        <v>0</v>
      </c>
      <c r="K33" s="1" t="s">
        <v>1</v>
      </c>
      <c r="L33" s="1" t="s">
        <v>2</v>
      </c>
      <c r="M33" s="2" t="s">
        <v>16</v>
      </c>
      <c r="N33" s="2" t="s">
        <v>1</v>
      </c>
      <c r="O33" s="2" t="s">
        <v>620</v>
      </c>
      <c r="P33" s="2" t="s">
        <v>7</v>
      </c>
      <c r="Q33" s="2"/>
      <c r="R33" s="4"/>
      <c r="S33" s="4"/>
      <c r="T33" s="4"/>
      <c r="U33" s="4"/>
      <c r="V33" s="4"/>
      <c r="W33" s="4"/>
      <c r="X33" s="31"/>
      <c r="Y33" s="31"/>
      <c r="Z33" s="84" t="str">
        <f t="shared" si="6"/>
        <v>9D</v>
      </c>
      <c r="AA33" s="13" t="s">
        <v>5</v>
      </c>
      <c r="AB33" s="116"/>
      <c r="AC33" s="116"/>
      <c r="AD33" s="116"/>
      <c r="AE33" s="116"/>
    </row>
    <row r="34" spans="1:31" ht="14.4" customHeight="1" outlineLevel="1" x14ac:dyDescent="0.25">
      <c r="A34" s="338">
        <v>2</v>
      </c>
      <c r="B34" s="329"/>
      <c r="C34" s="55"/>
      <c r="D34" s="367" t="s">
        <v>837</v>
      </c>
      <c r="E34" s="435" t="s">
        <v>791</v>
      </c>
      <c r="F34" s="435"/>
      <c r="G34" s="435"/>
      <c r="H34" s="389"/>
      <c r="I34" s="340"/>
      <c r="J34" s="486"/>
      <c r="K34" s="486"/>
      <c r="L34" s="486"/>
      <c r="M34" s="486"/>
      <c r="N34" s="486"/>
      <c r="O34" s="486"/>
      <c r="P34" s="486"/>
      <c r="Q34" s="486"/>
      <c r="R34" s="486"/>
      <c r="S34" s="486"/>
      <c r="T34" s="486"/>
      <c r="U34" s="486"/>
      <c r="V34" s="486"/>
      <c r="W34" s="486"/>
      <c r="X34" s="486"/>
      <c r="Y34" s="486"/>
      <c r="Z34" s="486"/>
      <c r="AA34" s="486"/>
      <c r="AB34" s="116"/>
      <c r="AC34" s="116"/>
      <c r="AD34" s="116"/>
      <c r="AE34" s="116"/>
    </row>
    <row r="35" spans="1:31" outlineLevel="1" x14ac:dyDescent="0.25">
      <c r="A35" s="356">
        <v>3</v>
      </c>
      <c r="B35" s="329"/>
      <c r="C35" s="55" t="str">
        <f>IF(ISBLANK(H35),,H35&amp;" ")&amp;IF(ISBLANK(I35),,I35&amp;" ")&amp;IF(ISBLANK(J35),,J35&amp;" ")&amp;IF(ISBLANK(K35),,K35&amp;" ")&amp;IF(ISBLANK(L35),,L35&amp;" ")&amp;IF(ISBLANK(M35),,M35&amp;" ")&amp;IF(ISBLANK(N35),,N35&amp;" ")&amp;IF(ISBLANK(O35),,O35&amp;" ")&amp;IF(ISBLANK(P35),,P35&amp;" ")&amp;IF(ISBLANK(Q35),,Q35&amp;" ")&amp;IF(ISBLANK(R35),,R35&amp;" ")&amp;IF(ISBLANK(S35),,S35&amp;" ")&amp;IF(ISBLANK(T35),,T35&amp;" ")&amp;IF(ISBLANK(U35),,U35&amp;" ")&amp;IF(ISBLANK(V35),,V35&amp;" ")&amp;IF(ISBLANK(W35),,W35&amp;" ")&amp;IF(ISBLANK(X35),,X35&amp;" ")&amp;IF(ISBLANK(Y35),,Y35&amp;" ")&amp;IF(ISBLANK(Z35),,Z35&amp;" ")&amp;IF(ISBLANK(AA35),,AA35)</f>
        <v>0x00 0x01 aa 00 03 63 00 12 78 55</v>
      </c>
      <c r="D35" s="324" t="s">
        <v>809</v>
      </c>
      <c r="E35" s="435" t="s">
        <v>791</v>
      </c>
      <c r="F35" s="435"/>
      <c r="G35" s="435"/>
      <c r="H35" s="388" t="s">
        <v>804</v>
      </c>
      <c r="I35" s="336" t="s">
        <v>805</v>
      </c>
      <c r="J35" s="84" t="s">
        <v>251</v>
      </c>
      <c r="K35" s="75" t="s">
        <v>256</v>
      </c>
      <c r="L35" s="75" t="str">
        <f>DEC2HEX( COUNTA(M35:Y35),2)</f>
        <v>03</v>
      </c>
      <c r="M35" s="2" t="s">
        <v>16</v>
      </c>
      <c r="N35" s="2" t="s">
        <v>1</v>
      </c>
      <c r="O35" s="2" t="s">
        <v>17</v>
      </c>
      <c r="P35" s="325"/>
      <c r="Q35" s="325"/>
      <c r="R35" s="325"/>
      <c r="S35" s="325"/>
      <c r="T35" s="325"/>
      <c r="U35" s="325"/>
      <c r="V35" s="325"/>
      <c r="W35" s="325"/>
      <c r="X35" s="325"/>
      <c r="Y35" s="325"/>
      <c r="Z35" s="84" t="str">
        <f>DEC2HEX(MOD(HEX2DEC(K35)+HEX2DEC(L35)+HEX2DEC(M35)+HEX2DEC(N35)+HEX2DEC(O35)+HEX2DEC(P35)+HEX2DEC(Q35)+HEX2DEC(R35)+HEX2DEC(S35)+HEX2DEC(T35)+HEX2DEC(U35)+HEX2DEC(V35)+HEX2DEC(W35)+HEX2DEC(X35)+HEX2DEC(Y35),256),2)</f>
        <v>78</v>
      </c>
      <c r="AA35" s="84" t="s">
        <v>5</v>
      </c>
      <c r="AB35" s="116"/>
      <c r="AC35" s="116"/>
      <c r="AD35" s="116"/>
      <c r="AE35" s="116"/>
    </row>
    <row r="36" spans="1:31" outlineLevel="1" x14ac:dyDescent="0.25">
      <c r="A36" s="356">
        <v>3</v>
      </c>
      <c r="B36" s="329"/>
      <c r="C36" s="55" t="str">
        <f t="shared" ref="C36:C38" si="8">IF(ISBLANK(H36),,H36&amp;" ")&amp;IF(ISBLANK(I36),,I36&amp;" ")&amp;IF(ISBLANK(J36),,J36&amp;" ")&amp;IF(ISBLANK(K36),,K36&amp;" ")&amp;IF(ISBLANK(L36),,L36&amp;" ")&amp;IF(ISBLANK(M36),,M36&amp;" ")&amp;IF(ISBLANK(N36),,N36&amp;" ")&amp;IF(ISBLANK(O36),,O36&amp;" ")&amp;IF(ISBLANK(P36),,P36&amp;" ")&amp;IF(ISBLANK(Q36),,Q36&amp;" ")&amp;IF(ISBLANK(R36),,R36&amp;" ")&amp;IF(ISBLANK(S36),,S36&amp;" ")&amp;IF(ISBLANK(T36),,T36&amp;" ")&amp;IF(ISBLANK(U36),,U36&amp;" ")&amp;IF(ISBLANK(V36),,V36&amp;" ")&amp;IF(ISBLANK(W36),,W36&amp;" ")&amp;IF(ISBLANK(X36),,X36&amp;" ")&amp;IF(ISBLANK(Y36),,Y36&amp;" ")&amp;IF(ISBLANK(Z36),,Z36&amp;" ")&amp;IF(ISBLANK(AA36),,AA36)</f>
        <v>0x00 0x01 aa 00 03 63 01 12 79 55</v>
      </c>
      <c r="D36" s="324" t="s">
        <v>810</v>
      </c>
      <c r="E36" s="435" t="s">
        <v>791</v>
      </c>
      <c r="F36" s="435"/>
      <c r="G36" s="435"/>
      <c r="H36" s="388" t="s">
        <v>804</v>
      </c>
      <c r="I36" s="336" t="s">
        <v>805</v>
      </c>
      <c r="J36" s="84" t="s">
        <v>251</v>
      </c>
      <c r="K36" s="75" t="s">
        <v>256</v>
      </c>
      <c r="L36" s="75" t="str">
        <f t="shared" ref="L36:L38" si="9">DEC2HEX( COUNTA(M36:Y36),2)</f>
        <v>03</v>
      </c>
      <c r="M36" s="2" t="s">
        <v>16</v>
      </c>
      <c r="N36" s="2" t="s">
        <v>14</v>
      </c>
      <c r="O36" s="2" t="s">
        <v>17</v>
      </c>
      <c r="P36" s="325"/>
      <c r="Q36" s="325"/>
      <c r="R36" s="325"/>
      <c r="S36" s="325"/>
      <c r="T36" s="325"/>
      <c r="U36" s="325"/>
      <c r="V36" s="325"/>
      <c r="W36" s="325"/>
      <c r="X36" s="325"/>
      <c r="Y36" s="325"/>
      <c r="Z36" s="84" t="str">
        <f t="shared" ref="Z36:Z38" si="10">DEC2HEX(MOD(HEX2DEC(K36)+HEX2DEC(L36)+HEX2DEC(M36)+HEX2DEC(N36)+HEX2DEC(O36)+HEX2DEC(P36)+HEX2DEC(Q36)+HEX2DEC(R36)+HEX2DEC(S36)+HEX2DEC(T36)+HEX2DEC(U36)+HEX2DEC(V36)+HEX2DEC(W36)+HEX2DEC(X36)+HEX2DEC(Y36),256),2)</f>
        <v>79</v>
      </c>
      <c r="AA36" s="84" t="s">
        <v>5</v>
      </c>
      <c r="AB36" s="116"/>
      <c r="AC36" s="116"/>
      <c r="AD36" s="116"/>
      <c r="AE36" s="116"/>
    </row>
    <row r="37" spans="1:31" outlineLevel="1" x14ac:dyDescent="0.25">
      <c r="A37" s="356">
        <v>3</v>
      </c>
      <c r="B37" s="329"/>
      <c r="C37" s="55" t="str">
        <f t="shared" si="8"/>
        <v>0x00 0x01 aa 00 03 63 02 12 7A 55</v>
      </c>
      <c r="D37" s="324" t="s">
        <v>811</v>
      </c>
      <c r="E37" s="435" t="s">
        <v>791</v>
      </c>
      <c r="F37" s="435"/>
      <c r="G37" s="435"/>
      <c r="H37" s="388" t="s">
        <v>804</v>
      </c>
      <c r="I37" s="336" t="s">
        <v>805</v>
      </c>
      <c r="J37" s="84" t="s">
        <v>251</v>
      </c>
      <c r="K37" s="75" t="s">
        <v>256</v>
      </c>
      <c r="L37" s="75" t="str">
        <f t="shared" si="9"/>
        <v>03</v>
      </c>
      <c r="M37" s="2" t="s">
        <v>16</v>
      </c>
      <c r="N37" s="2" t="s">
        <v>15</v>
      </c>
      <c r="O37" s="2" t="s">
        <v>17</v>
      </c>
      <c r="P37" s="325"/>
      <c r="Q37" s="325"/>
      <c r="R37" s="325"/>
      <c r="S37" s="325"/>
      <c r="T37" s="325"/>
      <c r="U37" s="325"/>
      <c r="V37" s="325"/>
      <c r="W37" s="325"/>
      <c r="X37" s="325"/>
      <c r="Y37" s="325"/>
      <c r="Z37" s="84" t="str">
        <f t="shared" si="10"/>
        <v>7A</v>
      </c>
      <c r="AA37" s="84" t="s">
        <v>5</v>
      </c>
      <c r="AB37" s="116"/>
      <c r="AC37" s="116"/>
      <c r="AD37" s="116"/>
      <c r="AE37" s="116"/>
    </row>
    <row r="38" spans="1:31" outlineLevel="1" x14ac:dyDescent="0.25">
      <c r="A38" s="356">
        <v>3</v>
      </c>
      <c r="B38" s="329"/>
      <c r="C38" s="55" t="str">
        <f t="shared" si="8"/>
        <v>0x00 0x01 aa 00 03 63 03 12 7B 55</v>
      </c>
      <c r="D38" s="324" t="s">
        <v>812</v>
      </c>
      <c r="E38" s="435" t="s">
        <v>791</v>
      </c>
      <c r="F38" s="435"/>
      <c r="G38" s="435"/>
      <c r="H38" s="388" t="s">
        <v>804</v>
      </c>
      <c r="I38" s="336" t="s">
        <v>805</v>
      </c>
      <c r="J38" s="84" t="s">
        <v>251</v>
      </c>
      <c r="K38" s="75" t="s">
        <v>256</v>
      </c>
      <c r="L38" s="75" t="str">
        <f t="shared" si="9"/>
        <v>03</v>
      </c>
      <c r="M38" s="2" t="s">
        <v>16</v>
      </c>
      <c r="N38" s="2" t="s">
        <v>13</v>
      </c>
      <c r="O38" s="2" t="s">
        <v>17</v>
      </c>
      <c r="P38" s="325"/>
      <c r="Q38" s="325"/>
      <c r="R38" s="325"/>
      <c r="S38" s="325"/>
      <c r="T38" s="325"/>
      <c r="U38" s="325"/>
      <c r="V38" s="325"/>
      <c r="W38" s="325"/>
      <c r="X38" s="325"/>
      <c r="Y38" s="325"/>
      <c r="Z38" s="84" t="str">
        <f t="shared" si="10"/>
        <v>7B</v>
      </c>
      <c r="AA38" s="84" t="s">
        <v>5</v>
      </c>
      <c r="AB38" s="116"/>
      <c r="AC38" s="116"/>
      <c r="AD38" s="116"/>
      <c r="AE38" s="116"/>
    </row>
    <row r="39" spans="1:31" outlineLevel="1" x14ac:dyDescent="0.25">
      <c r="A39" s="356">
        <v>3</v>
      </c>
      <c r="B39" s="329"/>
      <c r="C39" s="55" t="str">
        <f t="shared" ref="C39:C65" si="11">IF(ISBLANK(H39),,H39&amp;" ")&amp;IF(ISBLANK(I39),,I39&amp;" ")&amp;IF(ISBLANK(J39),,J39&amp;" ")&amp;IF(ISBLANK(K39),,K39&amp;" ")&amp;IF(ISBLANK(L39),,L39&amp;" ")&amp;IF(ISBLANK(M39),,M39&amp;" ")&amp;IF(ISBLANK(N39),,N39&amp;" ")&amp;IF(ISBLANK(O39),,O39&amp;" ")&amp;IF(ISBLANK(P39),,P39&amp;" ")&amp;IF(ISBLANK(Q39),,Q39&amp;" ")&amp;IF(ISBLANK(R39),,R39&amp;" ")&amp;IF(ISBLANK(S39),,S39&amp;" ")&amp;IF(ISBLANK(T39),,T39&amp;" ")&amp;IF(ISBLANK(U39),,U39&amp;" ")&amp;IF(ISBLANK(V39),,V39&amp;" ")&amp;IF(ISBLANK(W39),,W39&amp;" ")&amp;IF(ISBLANK(X39),,X39&amp;" ")&amp;IF(ISBLANK(Y39),,Y39&amp;" ")&amp;IF(ISBLANK(Z39),,Z39&amp;" ")&amp;IF(ISBLANK(AA39),,AA39)</f>
        <v>0x00 0x01 aa 00 03 63 04 12 7C 55</v>
      </c>
      <c r="D39" s="324" t="s">
        <v>813</v>
      </c>
      <c r="E39" s="435" t="s">
        <v>791</v>
      </c>
      <c r="F39" s="435"/>
      <c r="G39" s="435"/>
      <c r="H39" s="388" t="s">
        <v>804</v>
      </c>
      <c r="I39" s="336" t="s">
        <v>805</v>
      </c>
      <c r="J39" s="84" t="s">
        <v>251</v>
      </c>
      <c r="K39" s="75" t="s">
        <v>256</v>
      </c>
      <c r="L39" s="75" t="str">
        <f t="shared" ref="L39" si="12">DEC2HEX( COUNTA(M39:Y39),2)</f>
        <v>03</v>
      </c>
      <c r="M39" s="2" t="s">
        <v>16</v>
      </c>
      <c r="N39" s="2" t="s">
        <v>2</v>
      </c>
      <c r="O39" s="2" t="s">
        <v>17</v>
      </c>
      <c r="P39" s="325"/>
      <c r="Q39" s="325"/>
      <c r="R39" s="325"/>
      <c r="S39" s="325"/>
      <c r="T39" s="325"/>
      <c r="U39" s="325"/>
      <c r="V39" s="325"/>
      <c r="W39" s="325"/>
      <c r="X39" s="325"/>
      <c r="Y39" s="325"/>
      <c r="Z39" s="84" t="str">
        <f t="shared" ref="Z39" si="13">DEC2HEX(MOD(HEX2DEC(K39)+HEX2DEC(L39)+HEX2DEC(M39)+HEX2DEC(N39)+HEX2DEC(O39)+HEX2DEC(P39)+HEX2DEC(Q39)+HEX2DEC(R39)+HEX2DEC(S39)+HEX2DEC(T39)+HEX2DEC(U39)+HEX2DEC(V39)+HEX2DEC(W39)+HEX2DEC(X39)+HEX2DEC(Y39),256),2)</f>
        <v>7C</v>
      </c>
      <c r="AA39" s="84" t="s">
        <v>5</v>
      </c>
      <c r="AB39" s="116"/>
      <c r="AC39" s="116"/>
      <c r="AD39" s="116"/>
      <c r="AE39" s="116"/>
    </row>
    <row r="40" spans="1:31" ht="28.95" customHeight="1" outlineLevel="1" x14ac:dyDescent="0.25">
      <c r="A40" s="338">
        <v>2</v>
      </c>
      <c r="B40" s="329"/>
      <c r="C40" s="55"/>
      <c r="D40" s="367" t="s">
        <v>838</v>
      </c>
      <c r="E40" s="435"/>
      <c r="F40" s="435"/>
      <c r="G40" s="435"/>
      <c r="H40" s="388"/>
      <c r="I40" s="336"/>
      <c r="J40" s="483" t="s">
        <v>816</v>
      </c>
      <c r="K40" s="484"/>
      <c r="L40" s="484"/>
      <c r="M40" s="484"/>
      <c r="N40" s="484"/>
      <c r="O40" s="484"/>
      <c r="P40" s="484"/>
      <c r="Q40" s="484"/>
      <c r="R40" s="484"/>
      <c r="S40" s="484"/>
      <c r="T40" s="484"/>
      <c r="U40" s="484"/>
      <c r="V40" s="484"/>
      <c r="W40" s="484"/>
      <c r="X40" s="484"/>
      <c r="Y40" s="484"/>
      <c r="Z40" s="484"/>
      <c r="AA40" s="485"/>
      <c r="AB40" s="116"/>
      <c r="AC40" s="116"/>
      <c r="AD40" s="116"/>
      <c r="AE40" s="116"/>
    </row>
    <row r="41" spans="1:31" outlineLevel="1" x14ac:dyDescent="0.25">
      <c r="A41" s="356">
        <v>3</v>
      </c>
      <c r="B41" s="329"/>
      <c r="C41" s="55" t="str">
        <f t="shared" si="11"/>
        <v>0x00 0x01 aa 00 03 63 00 30 96 55</v>
      </c>
      <c r="D41" s="358" t="s">
        <v>839</v>
      </c>
      <c r="E41" s="480" t="s">
        <v>791</v>
      </c>
      <c r="F41" s="481"/>
      <c r="G41" s="482"/>
      <c r="H41" s="388" t="s">
        <v>804</v>
      </c>
      <c r="I41" s="336" t="s">
        <v>805</v>
      </c>
      <c r="J41" s="1" t="s">
        <v>0</v>
      </c>
      <c r="K41" s="1" t="s">
        <v>1</v>
      </c>
      <c r="L41" s="1" t="s">
        <v>8</v>
      </c>
      <c r="M41" s="2" t="s">
        <v>16</v>
      </c>
      <c r="N41" s="2" t="s">
        <v>1</v>
      </c>
      <c r="O41" s="2" t="s">
        <v>20</v>
      </c>
      <c r="P41" s="2"/>
      <c r="Q41" s="2"/>
      <c r="R41" s="31"/>
      <c r="S41" s="31"/>
      <c r="T41" s="31"/>
      <c r="U41" s="31"/>
      <c r="V41" s="31"/>
      <c r="W41" s="31"/>
      <c r="X41" s="31"/>
      <c r="Y41" s="31"/>
      <c r="Z41" s="84" t="str">
        <f t="shared" ref="Z41:Z44" si="14">DEC2HEX(MOD(HEX2DEC(K41)+HEX2DEC(L41)+HEX2DEC(M41)+HEX2DEC(N41)+HEX2DEC(O41)+HEX2DEC(P41)+HEX2DEC(Q41)+HEX2DEC(R41)+HEX2DEC(S41)+HEX2DEC(T41)+HEX2DEC(U41)+HEX2DEC(V41)+HEX2DEC(W41)+HEX2DEC(X41)+HEX2DEC(Y41),256),2)</f>
        <v>96</v>
      </c>
      <c r="AA41" s="13" t="s">
        <v>5</v>
      </c>
      <c r="AB41" s="116"/>
      <c r="AC41" s="116"/>
      <c r="AD41" s="116"/>
      <c r="AE41" s="116"/>
    </row>
    <row r="42" spans="1:31" outlineLevel="1" x14ac:dyDescent="0.25">
      <c r="A42" s="356">
        <v>3</v>
      </c>
      <c r="B42" s="329"/>
      <c r="C42" s="55" t="str">
        <f t="shared" si="11"/>
        <v>0x00 0x01 aa 00 03 63 01 30 97 55</v>
      </c>
      <c r="D42" s="358" t="s">
        <v>19</v>
      </c>
      <c r="E42" s="480" t="s">
        <v>791</v>
      </c>
      <c r="F42" s="481"/>
      <c r="G42" s="482"/>
      <c r="H42" s="388" t="s">
        <v>804</v>
      </c>
      <c r="I42" s="336" t="s">
        <v>805</v>
      </c>
      <c r="J42" s="1" t="s">
        <v>0</v>
      </c>
      <c r="K42" s="1" t="s">
        <v>1</v>
      </c>
      <c r="L42" s="1" t="s">
        <v>8</v>
      </c>
      <c r="M42" s="2" t="s">
        <v>16</v>
      </c>
      <c r="N42" s="2" t="s">
        <v>14</v>
      </c>
      <c r="O42" s="2" t="s">
        <v>20</v>
      </c>
      <c r="P42" s="2"/>
      <c r="Q42" s="2"/>
      <c r="R42" s="31"/>
      <c r="S42" s="31"/>
      <c r="T42" s="31"/>
      <c r="U42" s="31"/>
      <c r="V42" s="31"/>
      <c r="W42" s="31"/>
      <c r="X42" s="31"/>
      <c r="Y42" s="31"/>
      <c r="Z42" s="84" t="str">
        <f t="shared" si="14"/>
        <v>97</v>
      </c>
      <c r="AA42" s="13" t="s">
        <v>5</v>
      </c>
      <c r="AB42" s="116"/>
      <c r="AC42" s="116"/>
      <c r="AD42" s="116"/>
      <c r="AE42" s="116"/>
    </row>
    <row r="43" spans="1:31" outlineLevel="1" x14ac:dyDescent="0.25">
      <c r="A43" s="356">
        <v>3</v>
      </c>
      <c r="B43" s="329"/>
      <c r="C43" s="55" t="str">
        <f t="shared" si="11"/>
        <v>0x00 0x01 aa 00 03 63 02 30 98 55</v>
      </c>
      <c r="D43" s="358" t="s">
        <v>21</v>
      </c>
      <c r="E43" s="480" t="s">
        <v>791</v>
      </c>
      <c r="F43" s="481"/>
      <c r="G43" s="482"/>
      <c r="H43" s="388" t="s">
        <v>804</v>
      </c>
      <c r="I43" s="336" t="s">
        <v>805</v>
      </c>
      <c r="J43" s="1" t="s">
        <v>0</v>
      </c>
      <c r="K43" s="1" t="s">
        <v>1</v>
      </c>
      <c r="L43" s="1" t="s">
        <v>8</v>
      </c>
      <c r="M43" s="2" t="s">
        <v>16</v>
      </c>
      <c r="N43" s="2" t="s">
        <v>15</v>
      </c>
      <c r="O43" s="2" t="s">
        <v>20</v>
      </c>
      <c r="P43" s="2"/>
      <c r="Q43" s="2"/>
      <c r="R43" s="31"/>
      <c r="S43" s="31"/>
      <c r="T43" s="31"/>
      <c r="U43" s="31"/>
      <c r="V43" s="31"/>
      <c r="W43" s="31"/>
      <c r="X43" s="31"/>
      <c r="Y43" s="31"/>
      <c r="Z43" s="84" t="str">
        <f t="shared" si="14"/>
        <v>98</v>
      </c>
      <c r="AA43" s="13" t="s">
        <v>5</v>
      </c>
      <c r="AB43" s="116"/>
      <c r="AC43" s="116"/>
      <c r="AD43" s="116"/>
      <c r="AE43" s="116"/>
    </row>
    <row r="44" spans="1:31" outlineLevel="1" x14ac:dyDescent="0.25">
      <c r="A44" s="356">
        <v>3</v>
      </c>
      <c r="B44" s="329"/>
      <c r="C44" s="55" t="str">
        <f t="shared" si="11"/>
        <v>0x00 0x01 aa 00 03 63 03 30 99 55</v>
      </c>
      <c r="D44" s="358" t="s">
        <v>22</v>
      </c>
      <c r="E44" s="480" t="s">
        <v>791</v>
      </c>
      <c r="F44" s="481"/>
      <c r="G44" s="482"/>
      <c r="H44" s="388" t="s">
        <v>804</v>
      </c>
      <c r="I44" s="336" t="s">
        <v>805</v>
      </c>
      <c r="J44" s="1" t="s">
        <v>0</v>
      </c>
      <c r="K44" s="1" t="s">
        <v>1</v>
      </c>
      <c r="L44" s="1" t="s">
        <v>8</v>
      </c>
      <c r="M44" s="2" t="s">
        <v>16</v>
      </c>
      <c r="N44" s="2" t="s">
        <v>13</v>
      </c>
      <c r="O44" s="2" t="s">
        <v>20</v>
      </c>
      <c r="P44" s="2"/>
      <c r="Q44" s="2"/>
      <c r="R44" s="31"/>
      <c r="S44" s="31"/>
      <c r="T44" s="31"/>
      <c r="U44" s="31"/>
      <c r="V44" s="31"/>
      <c r="W44" s="31"/>
      <c r="X44" s="31"/>
      <c r="Y44" s="31"/>
      <c r="Z44" s="84" t="str">
        <f t="shared" si="14"/>
        <v>99</v>
      </c>
      <c r="AA44" s="13" t="s">
        <v>5</v>
      </c>
      <c r="AB44" s="116"/>
      <c r="AC44" s="116"/>
      <c r="AD44" s="116"/>
      <c r="AE44" s="116"/>
    </row>
    <row r="45" spans="1:31" ht="19.8" customHeight="1" outlineLevel="1" x14ac:dyDescent="0.25">
      <c r="A45" s="338">
        <v>2</v>
      </c>
      <c r="B45" s="329"/>
      <c r="C45" s="55"/>
      <c r="D45" s="354" t="s">
        <v>610</v>
      </c>
      <c r="E45" s="435"/>
      <c r="F45" s="435"/>
      <c r="G45" s="435"/>
      <c r="H45" s="388"/>
      <c r="I45" s="336"/>
      <c r="J45" s="432" t="s">
        <v>32</v>
      </c>
      <c r="K45" s="432"/>
      <c r="L45" s="432"/>
      <c r="M45" s="432"/>
      <c r="N45" s="432"/>
      <c r="O45" s="432"/>
      <c r="P45" s="432"/>
      <c r="Q45" s="432"/>
      <c r="R45" s="432"/>
      <c r="S45" s="432"/>
      <c r="T45" s="432"/>
      <c r="U45" s="432"/>
      <c r="V45" s="432"/>
      <c r="W45" s="432"/>
      <c r="X45" s="432"/>
      <c r="Y45" s="432"/>
      <c r="Z45" s="432"/>
      <c r="AA45" s="432"/>
      <c r="AB45" s="41" t="s">
        <v>29</v>
      </c>
      <c r="AC45" s="41" t="s">
        <v>30</v>
      </c>
      <c r="AD45" s="116"/>
      <c r="AE45" s="116"/>
    </row>
    <row r="46" spans="1:31" outlineLevel="1" x14ac:dyDescent="0.25">
      <c r="A46" s="427">
        <v>3</v>
      </c>
      <c r="B46" s="428"/>
      <c r="C46" s="55" t="str">
        <f t="shared" si="11"/>
        <v>aa 00 0B 63 00 31 FF FF D8 F0 00 00 27 10 9C 55</v>
      </c>
      <c r="D46" s="354" t="s">
        <v>47</v>
      </c>
      <c r="E46" s="426"/>
      <c r="F46" s="426"/>
      <c r="G46" s="426"/>
      <c r="H46" s="388"/>
      <c r="I46" s="336"/>
      <c r="J46" s="1" t="s">
        <v>0</v>
      </c>
      <c r="K46" s="1" t="s">
        <v>1</v>
      </c>
      <c r="L46" s="1" t="s">
        <v>36</v>
      </c>
      <c r="M46" s="2" t="s">
        <v>16</v>
      </c>
      <c r="N46" s="2" t="s">
        <v>1</v>
      </c>
      <c r="O46" s="2" t="s">
        <v>27</v>
      </c>
      <c r="P46" s="2"/>
      <c r="Q46" s="2"/>
      <c r="R46" s="3" t="str">
        <f>LEFT(RIGHT(DEC2HEX(AB46,8),8),2)</f>
        <v>FF</v>
      </c>
      <c r="S46" s="3" t="str">
        <f>LEFT(RIGHT(DEC2HEX(AB46,8),6),2)</f>
        <v>FF</v>
      </c>
      <c r="T46" s="3" t="str">
        <f>LEFT(RIGHT(DEC2HEX(AB46,8),4),2)</f>
        <v>D8</v>
      </c>
      <c r="U46" s="3" t="str">
        <f>RIGHT(DEC2HEX(AB46,8),2)</f>
        <v>F0</v>
      </c>
      <c r="V46" s="3" t="str">
        <f>LEFT(RIGHT(DEC2HEX(AC46,8),8),2)</f>
        <v>00</v>
      </c>
      <c r="W46" s="3" t="str">
        <f>LEFT(RIGHT(DEC2HEX(AC46,8),6),2)</f>
        <v>00</v>
      </c>
      <c r="X46" s="3" t="str">
        <f>LEFT(RIGHT(DEC2HEX(AC46,8),4),2)</f>
        <v>27</v>
      </c>
      <c r="Y46" s="3" t="str">
        <f>RIGHT(DEC2HEX(AC46,8),2)</f>
        <v>10</v>
      </c>
      <c r="Z46" s="84" t="str">
        <f t="shared" ref="Z46:Z49" si="15">DEC2HEX(MOD(HEX2DEC(K46)+HEX2DEC(L46)+HEX2DEC(M46)+HEX2DEC(N46)+HEX2DEC(O46)+HEX2DEC(P46)+HEX2DEC(Q46)+HEX2DEC(R46)+HEX2DEC(S46)+HEX2DEC(T46)+HEX2DEC(U46)+HEX2DEC(V46)+HEX2DEC(W46)+HEX2DEC(X46)+HEX2DEC(Y46),256),2)</f>
        <v>9C</v>
      </c>
      <c r="AA46" s="13" t="s">
        <v>5</v>
      </c>
      <c r="AB46" s="73">
        <v>-10000</v>
      </c>
      <c r="AC46" s="73">
        <v>10000</v>
      </c>
      <c r="AD46" s="116"/>
      <c r="AE46" s="116"/>
    </row>
    <row r="47" spans="1:31" outlineLevel="1" x14ac:dyDescent="0.25">
      <c r="A47" s="427">
        <v>3</v>
      </c>
      <c r="B47" s="428"/>
      <c r="C47" s="55" t="str">
        <f t="shared" si="11"/>
        <v>aa 00 0B 63 01 31 FF FC CB B0 00 00 4E 20 84 55</v>
      </c>
      <c r="D47" s="354" t="s">
        <v>24</v>
      </c>
      <c r="E47" s="426"/>
      <c r="F47" s="426"/>
      <c r="G47" s="426"/>
      <c r="H47" s="388"/>
      <c r="I47" s="336"/>
      <c r="J47" s="1" t="s">
        <v>0</v>
      </c>
      <c r="K47" s="1" t="s">
        <v>1</v>
      </c>
      <c r="L47" s="1" t="s">
        <v>36</v>
      </c>
      <c r="M47" s="2" t="s">
        <v>16</v>
      </c>
      <c r="N47" s="2" t="s">
        <v>14</v>
      </c>
      <c r="O47" s="2" t="s">
        <v>27</v>
      </c>
      <c r="P47" s="2"/>
      <c r="Q47" s="2"/>
      <c r="R47" s="3" t="str">
        <f t="shared" ref="R47:R49" si="16">LEFT(RIGHT(DEC2HEX(AB47,8),8),2)</f>
        <v>FF</v>
      </c>
      <c r="S47" s="3" t="str">
        <f t="shared" ref="S47:S49" si="17">LEFT(RIGHT(DEC2HEX(AB47,8),6),2)</f>
        <v>FC</v>
      </c>
      <c r="T47" s="3" t="str">
        <f t="shared" ref="T47:T49" si="18">LEFT(RIGHT(DEC2HEX(AB47,8),4),2)</f>
        <v>CB</v>
      </c>
      <c r="U47" s="3" t="str">
        <f t="shared" ref="U47:U49" si="19">RIGHT(DEC2HEX(AB47,8),2)</f>
        <v>B0</v>
      </c>
      <c r="V47" s="3" t="str">
        <f t="shared" ref="V47:V49" si="20">LEFT(RIGHT(DEC2HEX(AC47,8),8),2)</f>
        <v>00</v>
      </c>
      <c r="W47" s="3" t="str">
        <f t="shared" ref="W47:W49" si="21">LEFT(RIGHT(DEC2HEX(AC47,8),6),2)</f>
        <v>00</v>
      </c>
      <c r="X47" s="3" t="str">
        <f t="shared" ref="X47:X49" si="22">LEFT(RIGHT(DEC2HEX(AC47,8),4),2)</f>
        <v>4E</v>
      </c>
      <c r="Y47" s="3" t="str">
        <f t="shared" ref="Y47:Y49" si="23">RIGHT(DEC2HEX(AC47,8),2)</f>
        <v>20</v>
      </c>
      <c r="Z47" s="84" t="str">
        <f t="shared" si="15"/>
        <v>84</v>
      </c>
      <c r="AA47" s="13" t="s">
        <v>5</v>
      </c>
      <c r="AB47" s="73">
        <v>-210000</v>
      </c>
      <c r="AC47" s="73">
        <v>20000</v>
      </c>
      <c r="AD47" s="116"/>
      <c r="AE47" s="116"/>
    </row>
    <row r="48" spans="1:31" outlineLevel="1" x14ac:dyDescent="0.25">
      <c r="A48" s="427">
        <v>3</v>
      </c>
      <c r="B48" s="428"/>
      <c r="C48" s="55" t="str">
        <f t="shared" si="11"/>
        <v>aa 00 0B 63 02 31 FF F9 BE 70 00 00 75 30 6C 55</v>
      </c>
      <c r="D48" s="354" t="s">
        <v>25</v>
      </c>
      <c r="E48" s="426"/>
      <c r="F48" s="426"/>
      <c r="G48" s="426"/>
      <c r="H48" s="388"/>
      <c r="I48" s="336"/>
      <c r="J48" s="1" t="s">
        <v>0</v>
      </c>
      <c r="K48" s="1" t="s">
        <v>1</v>
      </c>
      <c r="L48" s="1" t="s">
        <v>36</v>
      </c>
      <c r="M48" s="2" t="s">
        <v>16</v>
      </c>
      <c r="N48" s="2" t="s">
        <v>15</v>
      </c>
      <c r="O48" s="2" t="s">
        <v>27</v>
      </c>
      <c r="P48" s="2"/>
      <c r="Q48" s="2"/>
      <c r="R48" s="3" t="str">
        <f t="shared" si="16"/>
        <v>FF</v>
      </c>
      <c r="S48" s="3" t="str">
        <f t="shared" si="17"/>
        <v>F9</v>
      </c>
      <c r="T48" s="3" t="str">
        <f t="shared" si="18"/>
        <v>BE</v>
      </c>
      <c r="U48" s="3" t="str">
        <f t="shared" si="19"/>
        <v>70</v>
      </c>
      <c r="V48" s="3" t="str">
        <f t="shared" si="20"/>
        <v>00</v>
      </c>
      <c r="W48" s="3" t="str">
        <f t="shared" si="21"/>
        <v>00</v>
      </c>
      <c r="X48" s="3" t="str">
        <f t="shared" si="22"/>
        <v>75</v>
      </c>
      <c r="Y48" s="3" t="str">
        <f t="shared" si="23"/>
        <v>30</v>
      </c>
      <c r="Z48" s="84" t="str">
        <f t="shared" si="15"/>
        <v>6C</v>
      </c>
      <c r="AA48" s="13" t="s">
        <v>5</v>
      </c>
      <c r="AB48" s="73">
        <v>-410000</v>
      </c>
      <c r="AC48" s="73">
        <v>30000</v>
      </c>
      <c r="AD48" s="116"/>
      <c r="AE48" s="116"/>
    </row>
    <row r="49" spans="1:31" outlineLevel="1" x14ac:dyDescent="0.25">
      <c r="A49" s="427">
        <v>3</v>
      </c>
      <c r="B49" s="428"/>
      <c r="C49" s="55" t="str">
        <f t="shared" si="11"/>
        <v>aa 00 0B 63 03 31 FF F6 B1 30 00 00 9C 40 54 55</v>
      </c>
      <c r="D49" s="354" t="s">
        <v>26</v>
      </c>
      <c r="E49" s="426"/>
      <c r="F49" s="426"/>
      <c r="G49" s="426"/>
      <c r="H49" s="388"/>
      <c r="I49" s="336"/>
      <c r="J49" s="1" t="s">
        <v>0</v>
      </c>
      <c r="K49" s="1" t="s">
        <v>1</v>
      </c>
      <c r="L49" s="1" t="s">
        <v>36</v>
      </c>
      <c r="M49" s="2" t="s">
        <v>16</v>
      </c>
      <c r="N49" s="2" t="s">
        <v>13</v>
      </c>
      <c r="O49" s="2" t="s">
        <v>27</v>
      </c>
      <c r="P49" s="2"/>
      <c r="Q49" s="2"/>
      <c r="R49" s="3" t="str">
        <f t="shared" si="16"/>
        <v>FF</v>
      </c>
      <c r="S49" s="3" t="str">
        <f t="shared" si="17"/>
        <v>F6</v>
      </c>
      <c r="T49" s="3" t="str">
        <f t="shared" si="18"/>
        <v>B1</v>
      </c>
      <c r="U49" s="3" t="str">
        <f t="shared" si="19"/>
        <v>30</v>
      </c>
      <c r="V49" s="3" t="str">
        <f t="shared" si="20"/>
        <v>00</v>
      </c>
      <c r="W49" s="3" t="str">
        <f t="shared" si="21"/>
        <v>00</v>
      </c>
      <c r="X49" s="3" t="str">
        <f t="shared" si="22"/>
        <v>9C</v>
      </c>
      <c r="Y49" s="3" t="str">
        <f t="shared" si="23"/>
        <v>40</v>
      </c>
      <c r="Z49" s="84" t="str">
        <f t="shared" si="15"/>
        <v>54</v>
      </c>
      <c r="AA49" s="13" t="s">
        <v>5</v>
      </c>
      <c r="AB49" s="73">
        <v>-610000</v>
      </c>
      <c r="AC49" s="73">
        <v>40000</v>
      </c>
      <c r="AD49" s="116"/>
      <c r="AE49" s="116"/>
    </row>
    <row r="50" spans="1:31" ht="24.6" customHeight="1" outlineLevel="1" thickBot="1" x14ac:dyDescent="0.3">
      <c r="A50" s="338">
        <v>2</v>
      </c>
      <c r="B50" s="428"/>
      <c r="C50" s="55"/>
      <c r="D50" s="327" t="s">
        <v>40</v>
      </c>
      <c r="E50" s="426"/>
      <c r="F50" s="426"/>
      <c r="G50" s="426"/>
      <c r="H50" s="388"/>
      <c r="I50" s="336"/>
      <c r="J50" s="432" t="s">
        <v>33</v>
      </c>
      <c r="K50" s="433"/>
      <c r="L50" s="433"/>
      <c r="M50" s="433"/>
      <c r="N50" s="433"/>
      <c r="O50" s="433"/>
      <c r="P50" s="433"/>
      <c r="Q50" s="433"/>
      <c r="R50" s="433"/>
      <c r="S50" s="434"/>
      <c r="T50" s="434"/>
      <c r="U50" s="434"/>
      <c r="V50" s="434"/>
      <c r="W50" s="433"/>
      <c r="X50" s="433"/>
      <c r="Y50" s="433"/>
      <c r="Z50" s="433"/>
      <c r="AA50" s="433"/>
      <c r="AB50" s="41" t="s">
        <v>38</v>
      </c>
      <c r="AC50" s="41" t="s">
        <v>39</v>
      </c>
      <c r="AD50" s="26" t="s">
        <v>41</v>
      </c>
      <c r="AE50" s="116"/>
    </row>
    <row r="51" spans="1:31" ht="15" outlineLevel="1" thickBot="1" x14ac:dyDescent="0.3">
      <c r="A51" s="427">
        <v>3</v>
      </c>
      <c r="B51" s="428"/>
      <c r="C51" s="55" t="str">
        <f t="shared" si="11"/>
        <v>aa 00 0A 63 00 40 00 01 F4 02 58 27 10 33 55</v>
      </c>
      <c r="D51" s="427" t="s">
        <v>489</v>
      </c>
      <c r="E51" s="426"/>
      <c r="F51" s="426"/>
      <c r="G51" s="426"/>
      <c r="H51" s="388"/>
      <c r="I51" s="336"/>
      <c r="J51" s="1" t="s">
        <v>0</v>
      </c>
      <c r="K51" s="1" t="s">
        <v>1</v>
      </c>
      <c r="L51" s="1" t="s">
        <v>37</v>
      </c>
      <c r="M51" s="2" t="s">
        <v>16</v>
      </c>
      <c r="N51" s="2" t="s">
        <v>1</v>
      </c>
      <c r="O51" s="2" t="s">
        <v>42</v>
      </c>
      <c r="P51" s="257" t="s">
        <v>1</v>
      </c>
      <c r="Q51" s="2"/>
      <c r="R51" s="257"/>
      <c r="S51" s="260" t="str">
        <f>LEFT(RIGHT(DEC2HEX(AB51,4),4),2)</f>
        <v>01</v>
      </c>
      <c r="T51" s="261" t="str">
        <f>LEFT(RIGHT(DEC2HEX(AB51,4),2),2)</f>
        <v>F4</v>
      </c>
      <c r="U51" s="260" t="str">
        <f>LEFT(RIGHT(DEC2HEX(AC51,4),4),2)</f>
        <v>02</v>
      </c>
      <c r="V51" s="261" t="str">
        <f>LEFT(RIGHT(DEC2HEX(AC51,4),2),2)</f>
        <v>58</v>
      </c>
      <c r="W51" s="258" t="str">
        <f>LEFT(RIGHT(DEC2HEX(AD51,4),4),2)</f>
        <v>27</v>
      </c>
      <c r="X51" s="4" t="str">
        <f>LEFT(RIGHT(DEC2HEX(AD51,4),2),2)</f>
        <v>10</v>
      </c>
      <c r="Y51" s="72"/>
      <c r="Z51" s="84" t="str">
        <f t="shared" ref="Z51:Z55" si="24">DEC2HEX(MOD(HEX2DEC(K51)+HEX2DEC(L51)+HEX2DEC(M51)+HEX2DEC(N51)+HEX2DEC(O51)+HEX2DEC(P51)+HEX2DEC(Q51)+HEX2DEC(R51)+HEX2DEC(S51)+HEX2DEC(T51)+HEX2DEC(U51)+HEX2DEC(V51)+HEX2DEC(W51)+HEX2DEC(X51)+HEX2DEC(Y51),256),2)</f>
        <v>33</v>
      </c>
      <c r="AA51" s="13" t="s">
        <v>5</v>
      </c>
      <c r="AB51" s="73">
        <v>500</v>
      </c>
      <c r="AC51" s="73">
        <v>600</v>
      </c>
      <c r="AD51" s="73">
        <v>10000</v>
      </c>
      <c r="AE51" s="116"/>
    </row>
    <row r="52" spans="1:31" ht="15" outlineLevel="1" thickBot="1" x14ac:dyDescent="0.3">
      <c r="A52" s="427">
        <v>3</v>
      </c>
      <c r="B52" s="428"/>
      <c r="C52" s="55" t="str">
        <f t="shared" si="11"/>
        <v>aa 00 0A 63 01 40 00 13 88 17 70 27 10 07 55</v>
      </c>
      <c r="D52" s="427" t="s">
        <v>228</v>
      </c>
      <c r="E52" s="426"/>
      <c r="F52" s="426"/>
      <c r="G52" s="426"/>
      <c r="H52" s="388"/>
      <c r="I52" s="336"/>
      <c r="J52" s="1" t="s">
        <v>0</v>
      </c>
      <c r="K52" s="1" t="s">
        <v>1</v>
      </c>
      <c r="L52" s="1" t="s">
        <v>37</v>
      </c>
      <c r="M52" s="2" t="s">
        <v>16</v>
      </c>
      <c r="N52" s="2" t="s">
        <v>14</v>
      </c>
      <c r="O52" s="2" t="s">
        <v>42</v>
      </c>
      <c r="P52" s="3" t="s">
        <v>1</v>
      </c>
      <c r="Q52" s="2"/>
      <c r="R52" s="3"/>
      <c r="S52" s="260" t="str">
        <f t="shared" ref="S52:S55" si="25">LEFT(RIGHT(DEC2HEX(AB52,4),4),2)</f>
        <v>13</v>
      </c>
      <c r="T52" s="261" t="str">
        <f t="shared" ref="T52:T55" si="26">LEFT(RIGHT(DEC2HEX(AB52,4),2),2)</f>
        <v>88</v>
      </c>
      <c r="U52" s="260" t="str">
        <f t="shared" ref="U52:U55" si="27">LEFT(RIGHT(DEC2HEX(AC52,4),4),2)</f>
        <v>17</v>
      </c>
      <c r="V52" s="261" t="str">
        <f t="shared" ref="V52:V55" si="28">LEFT(RIGHT(DEC2HEX(AC52,4),2),2)</f>
        <v>70</v>
      </c>
      <c r="W52" s="258" t="str">
        <f t="shared" ref="W52:W55" si="29">LEFT(RIGHT(DEC2HEX(AD52,4),4),2)</f>
        <v>27</v>
      </c>
      <c r="X52" s="4" t="str">
        <f t="shared" ref="X52:X55" si="30">LEFT(RIGHT(DEC2HEX(AD52,4),2),2)</f>
        <v>10</v>
      </c>
      <c r="Y52" s="72"/>
      <c r="Z52" s="84" t="str">
        <f t="shared" si="24"/>
        <v>07</v>
      </c>
      <c r="AA52" s="13" t="s">
        <v>5</v>
      </c>
      <c r="AB52" s="73">
        <v>5000</v>
      </c>
      <c r="AC52" s="73">
        <v>6000</v>
      </c>
      <c r="AD52" s="73">
        <v>10000</v>
      </c>
      <c r="AE52" s="116"/>
    </row>
    <row r="53" spans="1:31" ht="15" outlineLevel="1" thickBot="1" x14ac:dyDescent="0.3">
      <c r="A53" s="427">
        <v>3</v>
      </c>
      <c r="B53" s="428"/>
      <c r="C53" s="55" t="str">
        <f t="shared" si="11"/>
        <v>aa 00 0A 63 02 40 00 F8 30 F4 48 27 10 4A 55</v>
      </c>
      <c r="D53" s="427" t="s">
        <v>43</v>
      </c>
      <c r="E53" s="426"/>
      <c r="F53" s="426"/>
      <c r="G53" s="426"/>
      <c r="H53" s="388"/>
      <c r="I53" s="336"/>
      <c r="J53" s="1" t="s">
        <v>0</v>
      </c>
      <c r="K53" s="1" t="s">
        <v>1</v>
      </c>
      <c r="L53" s="1" t="s">
        <v>37</v>
      </c>
      <c r="M53" s="2" t="s">
        <v>16</v>
      </c>
      <c r="N53" s="2" t="s">
        <v>15</v>
      </c>
      <c r="O53" s="2" t="s">
        <v>42</v>
      </c>
      <c r="P53" s="3" t="s">
        <v>1</v>
      </c>
      <c r="Q53" s="2"/>
      <c r="R53" s="3"/>
      <c r="S53" s="260" t="str">
        <f t="shared" si="25"/>
        <v>F8</v>
      </c>
      <c r="T53" s="261" t="str">
        <f t="shared" si="26"/>
        <v>30</v>
      </c>
      <c r="U53" s="260" t="str">
        <f t="shared" si="27"/>
        <v>F4</v>
      </c>
      <c r="V53" s="261" t="str">
        <f t="shared" si="28"/>
        <v>48</v>
      </c>
      <c r="W53" s="258" t="str">
        <f t="shared" si="29"/>
        <v>27</v>
      </c>
      <c r="X53" s="4" t="str">
        <f t="shared" si="30"/>
        <v>10</v>
      </c>
      <c r="Y53" s="72"/>
      <c r="Z53" s="84" t="str">
        <f t="shared" si="24"/>
        <v>4A</v>
      </c>
      <c r="AA53" s="13" t="s">
        <v>5</v>
      </c>
      <c r="AB53" s="73">
        <v>-2000</v>
      </c>
      <c r="AC53" s="73">
        <v>-3000</v>
      </c>
      <c r="AD53" s="73">
        <v>10000</v>
      </c>
      <c r="AE53" s="116"/>
    </row>
    <row r="54" spans="1:31" ht="15" outlineLevel="1" thickBot="1" x14ac:dyDescent="0.3">
      <c r="A54" s="427">
        <v>3</v>
      </c>
      <c r="B54" s="428"/>
      <c r="C54" s="55" t="str">
        <f t="shared" si="11"/>
        <v>aa 00 0A 63 03 40 00 00 00 55 F0 27 10 2C 55</v>
      </c>
      <c r="D54" s="427" t="s">
        <v>44</v>
      </c>
      <c r="E54" s="426"/>
      <c r="F54" s="426"/>
      <c r="G54" s="426"/>
      <c r="H54" s="388"/>
      <c r="I54" s="336"/>
      <c r="J54" s="1" t="s">
        <v>0</v>
      </c>
      <c r="K54" s="1" t="s">
        <v>1</v>
      </c>
      <c r="L54" s="1" t="s">
        <v>37</v>
      </c>
      <c r="M54" s="2" t="s">
        <v>16</v>
      </c>
      <c r="N54" s="2" t="s">
        <v>13</v>
      </c>
      <c r="O54" s="2" t="s">
        <v>42</v>
      </c>
      <c r="P54" s="3" t="s">
        <v>1</v>
      </c>
      <c r="Q54" s="2"/>
      <c r="R54" s="3"/>
      <c r="S54" s="260" t="str">
        <f t="shared" si="25"/>
        <v>00</v>
      </c>
      <c r="T54" s="261" t="str">
        <f t="shared" si="26"/>
        <v>00</v>
      </c>
      <c r="U54" s="260" t="str">
        <f t="shared" si="27"/>
        <v>55</v>
      </c>
      <c r="V54" s="261" t="str">
        <f t="shared" si="28"/>
        <v>F0</v>
      </c>
      <c r="W54" s="258" t="str">
        <f t="shared" si="29"/>
        <v>27</v>
      </c>
      <c r="X54" s="4" t="str">
        <f t="shared" si="30"/>
        <v>10</v>
      </c>
      <c r="Y54" s="72"/>
      <c r="Z54" s="84" t="str">
        <f t="shared" si="24"/>
        <v>2C</v>
      </c>
      <c r="AA54" s="13" t="s">
        <v>5</v>
      </c>
      <c r="AB54" s="73">
        <v>0</v>
      </c>
      <c r="AC54" s="73">
        <v>22000</v>
      </c>
      <c r="AD54" s="73">
        <v>10000</v>
      </c>
      <c r="AE54" s="116"/>
    </row>
    <row r="55" spans="1:31" ht="15" outlineLevel="1" thickBot="1" x14ac:dyDescent="0.3">
      <c r="A55" s="427">
        <v>3</v>
      </c>
      <c r="B55" s="428"/>
      <c r="C55" s="55" t="str">
        <f t="shared" si="11"/>
        <v>aa 00 0A 63 04 40 00 3A 98 4E 20 FF FF EF 55</v>
      </c>
      <c r="D55" s="427" t="s">
        <v>722</v>
      </c>
      <c r="E55" s="426"/>
      <c r="F55" s="426"/>
      <c r="G55" s="426"/>
      <c r="H55" s="388"/>
      <c r="I55" s="336"/>
      <c r="J55" s="1" t="s">
        <v>0</v>
      </c>
      <c r="K55" s="1" t="s">
        <v>1</v>
      </c>
      <c r="L55" s="1" t="s">
        <v>37</v>
      </c>
      <c r="M55" s="2" t="s">
        <v>16</v>
      </c>
      <c r="N55" s="2" t="s">
        <v>2</v>
      </c>
      <c r="O55" s="2" t="s">
        <v>42</v>
      </c>
      <c r="P55" s="3" t="s">
        <v>1</v>
      </c>
      <c r="Q55" s="2"/>
      <c r="R55" s="3"/>
      <c r="S55" s="260" t="str">
        <f t="shared" si="25"/>
        <v>3A</v>
      </c>
      <c r="T55" s="261" t="str">
        <f t="shared" si="26"/>
        <v>98</v>
      </c>
      <c r="U55" s="260" t="str">
        <f t="shared" si="27"/>
        <v>4E</v>
      </c>
      <c r="V55" s="261" t="str">
        <f t="shared" si="28"/>
        <v>20</v>
      </c>
      <c r="W55" s="258" t="str">
        <f t="shared" si="29"/>
        <v>FF</v>
      </c>
      <c r="X55" s="4" t="str">
        <f t="shared" si="30"/>
        <v>FF</v>
      </c>
      <c r="Y55" s="72"/>
      <c r="Z55" s="84" t="str">
        <f t="shared" si="24"/>
        <v>EF</v>
      </c>
      <c r="AA55" s="13" t="s">
        <v>629</v>
      </c>
      <c r="AB55" s="73">
        <v>15000</v>
      </c>
      <c r="AC55" s="73">
        <v>20000</v>
      </c>
      <c r="AD55" s="73">
        <v>65535</v>
      </c>
      <c r="AE55" s="116"/>
    </row>
    <row r="56" spans="1:31" outlineLevel="1" x14ac:dyDescent="0.25">
      <c r="A56" s="427">
        <v>3</v>
      </c>
      <c r="B56" s="428"/>
      <c r="C56" s="55" t="str">
        <f t="shared" si="11"/>
        <v/>
      </c>
      <c r="D56" s="430"/>
      <c r="E56" s="426"/>
      <c r="F56" s="426"/>
      <c r="G56" s="426"/>
      <c r="H56" s="388"/>
      <c r="I56" s="336"/>
      <c r="J56" s="1"/>
      <c r="K56" s="1"/>
      <c r="L56" s="1"/>
      <c r="M56" s="2"/>
      <c r="N56" s="2"/>
      <c r="O56" s="2"/>
      <c r="P56" s="3"/>
      <c r="Q56" s="2"/>
      <c r="R56" s="3"/>
      <c r="S56" s="4"/>
      <c r="T56" s="4"/>
      <c r="U56" s="4"/>
      <c r="V56" s="4"/>
      <c r="W56" s="4"/>
      <c r="X56" s="4"/>
      <c r="Y56" s="72"/>
      <c r="Z56" s="84"/>
      <c r="AA56" s="1"/>
      <c r="AB56" s="73"/>
      <c r="AC56" s="73"/>
      <c r="AD56" s="289"/>
      <c r="AE56" s="116"/>
    </row>
    <row r="57" spans="1:31" outlineLevel="1" x14ac:dyDescent="0.25">
      <c r="A57" s="338">
        <v>2</v>
      </c>
      <c r="B57" s="428"/>
      <c r="C57" s="55"/>
      <c r="D57" s="430"/>
      <c r="E57" s="426"/>
      <c r="F57" s="426"/>
      <c r="G57" s="426"/>
      <c r="H57" s="388"/>
      <c r="I57" s="336"/>
      <c r="J57" s="432" t="s">
        <v>34</v>
      </c>
      <c r="K57" s="433"/>
      <c r="L57" s="433"/>
      <c r="M57" s="433"/>
      <c r="N57" s="433"/>
      <c r="O57" s="433"/>
      <c r="P57" s="433"/>
      <c r="Q57" s="433"/>
      <c r="R57" s="433"/>
      <c r="S57" s="433"/>
      <c r="T57" s="433"/>
      <c r="U57" s="433"/>
      <c r="V57" s="433"/>
      <c r="W57" s="433"/>
      <c r="X57" s="433"/>
      <c r="Y57" s="433"/>
      <c r="Z57" s="433"/>
      <c r="AA57" s="433"/>
      <c r="AB57" s="41"/>
      <c r="AC57" s="41" t="s">
        <v>38</v>
      </c>
      <c r="AD57" s="41" t="s">
        <v>39</v>
      </c>
      <c r="AE57" s="116"/>
    </row>
    <row r="58" spans="1:31" outlineLevel="1" x14ac:dyDescent="0.25">
      <c r="A58" s="427">
        <v>3</v>
      </c>
      <c r="B58" s="428"/>
      <c r="C58" s="55" t="str">
        <f t="shared" si="11"/>
        <v>aa 00 07 63 00 11 01 F4 02 58 CA 55</v>
      </c>
      <c r="D58" s="354" t="s">
        <v>46</v>
      </c>
      <c r="E58" s="426"/>
      <c r="F58" s="426"/>
      <c r="G58" s="426"/>
      <c r="H58" s="388"/>
      <c r="I58" s="336"/>
      <c r="J58" s="1" t="s">
        <v>0</v>
      </c>
      <c r="K58" s="1" t="s">
        <v>1</v>
      </c>
      <c r="L58" s="1" t="s">
        <v>45</v>
      </c>
      <c r="M58" s="2" t="s">
        <v>16</v>
      </c>
      <c r="N58" s="2" t="s">
        <v>1</v>
      </c>
      <c r="O58" s="2" t="s">
        <v>28</v>
      </c>
      <c r="P58" s="2"/>
      <c r="Q58" s="2"/>
      <c r="R58" s="4" t="str">
        <f>LEFT(RIGHT(DEC2HEX(AC58,4),4),2)</f>
        <v>01</v>
      </c>
      <c r="S58" s="4" t="str">
        <f>LEFT(RIGHT(DEC2HEX(AC58,4),2),2)</f>
        <v>F4</v>
      </c>
      <c r="T58" s="4" t="str">
        <f>LEFT(RIGHT(DEC2HEX(AD58,4),4),2)</f>
        <v>02</v>
      </c>
      <c r="U58" s="4" t="str">
        <f>LEFT(RIGHT(DEC2HEX(AD58,4),2),2)</f>
        <v>58</v>
      </c>
      <c r="V58" s="31"/>
      <c r="W58" s="31"/>
      <c r="X58" s="31"/>
      <c r="Y58" s="31"/>
      <c r="Z58" s="84" t="str">
        <f t="shared" ref="Z58:Z61" si="31">DEC2HEX(MOD(HEX2DEC(K58)+HEX2DEC(L58)+HEX2DEC(M58)+HEX2DEC(N58)+HEX2DEC(O58)+HEX2DEC(P58)+HEX2DEC(Q58)+HEX2DEC(R58)+HEX2DEC(S58)+HEX2DEC(T58)+HEX2DEC(U58)+HEX2DEC(V58)+HEX2DEC(W58)+HEX2DEC(X58)+HEX2DEC(Y58),256),2)</f>
        <v>CA</v>
      </c>
      <c r="AA58" s="13" t="s">
        <v>5</v>
      </c>
      <c r="AB58" s="73"/>
      <c r="AC58" s="73">
        <v>500</v>
      </c>
      <c r="AD58" s="73">
        <v>600</v>
      </c>
      <c r="AE58" s="116"/>
    </row>
    <row r="59" spans="1:31" outlineLevel="1" x14ac:dyDescent="0.25">
      <c r="A59" s="427">
        <v>3</v>
      </c>
      <c r="B59" s="428"/>
      <c r="C59" s="55" t="str">
        <f t="shared" si="11"/>
        <v>aa 00 07 63 01 11 13 88 17 70 9E 55</v>
      </c>
      <c r="D59" s="354" t="s">
        <v>49</v>
      </c>
      <c r="E59" s="426"/>
      <c r="F59" s="426"/>
      <c r="G59" s="426"/>
      <c r="H59" s="388"/>
      <c r="I59" s="336"/>
      <c r="J59" s="1" t="s">
        <v>0</v>
      </c>
      <c r="K59" s="1" t="s">
        <v>1</v>
      </c>
      <c r="L59" s="1" t="s">
        <v>45</v>
      </c>
      <c r="M59" s="2" t="s">
        <v>16</v>
      </c>
      <c r="N59" s="2" t="s">
        <v>4</v>
      </c>
      <c r="O59" s="2" t="s">
        <v>28</v>
      </c>
      <c r="P59" s="2"/>
      <c r="Q59" s="2"/>
      <c r="R59" s="4" t="str">
        <f>LEFT(RIGHT(DEC2HEX(AC59,4),4),2)</f>
        <v>13</v>
      </c>
      <c r="S59" s="4" t="str">
        <f>LEFT(RIGHT(DEC2HEX(AC59,4),2),2)</f>
        <v>88</v>
      </c>
      <c r="T59" s="4" t="str">
        <f>LEFT(RIGHT(DEC2HEX(AD59,4),4),2)</f>
        <v>17</v>
      </c>
      <c r="U59" s="4" t="str">
        <f>LEFT(RIGHT(DEC2HEX(AD59,4),2),2)</f>
        <v>70</v>
      </c>
      <c r="V59" s="31"/>
      <c r="W59" s="31"/>
      <c r="X59" s="31"/>
      <c r="Y59" s="31"/>
      <c r="Z59" s="84" t="str">
        <f t="shared" si="31"/>
        <v>9E</v>
      </c>
      <c r="AA59" s="13" t="s">
        <v>5</v>
      </c>
      <c r="AB59" s="73"/>
      <c r="AC59" s="73">
        <v>5000</v>
      </c>
      <c r="AD59" s="73">
        <v>6000</v>
      </c>
      <c r="AE59" s="116"/>
    </row>
    <row r="60" spans="1:31" outlineLevel="1" x14ac:dyDescent="0.25">
      <c r="A60" s="427">
        <v>3</v>
      </c>
      <c r="B60" s="428"/>
      <c r="C60" s="55" t="str">
        <f t="shared" si="11"/>
        <v>aa 00 07 63 02 11 07 D0 0B B8 17 55</v>
      </c>
      <c r="D60" s="354" t="s">
        <v>50</v>
      </c>
      <c r="E60" s="426"/>
      <c r="F60" s="426"/>
      <c r="G60" s="426"/>
      <c r="H60" s="388"/>
      <c r="I60" s="336"/>
      <c r="J60" s="1" t="s">
        <v>0</v>
      </c>
      <c r="K60" s="1" t="s">
        <v>1</v>
      </c>
      <c r="L60" s="1" t="s">
        <v>45</v>
      </c>
      <c r="M60" s="2" t="s">
        <v>16</v>
      </c>
      <c r="N60" s="2" t="s">
        <v>15</v>
      </c>
      <c r="O60" s="2" t="s">
        <v>28</v>
      </c>
      <c r="P60" s="2"/>
      <c r="Q60" s="2"/>
      <c r="R60" s="4" t="str">
        <f>LEFT(RIGHT(DEC2HEX(AC60,4),4),2)</f>
        <v>07</v>
      </c>
      <c r="S60" s="4" t="str">
        <f>LEFT(RIGHT(DEC2HEX(AC60,4),2),2)</f>
        <v>D0</v>
      </c>
      <c r="T60" s="4" t="str">
        <f>LEFT(RIGHT(DEC2HEX(AD60,4),4),2)</f>
        <v>0B</v>
      </c>
      <c r="U60" s="4" t="str">
        <f>LEFT(RIGHT(DEC2HEX(AD60,4),2),2)</f>
        <v>B8</v>
      </c>
      <c r="V60" s="31"/>
      <c r="W60" s="31"/>
      <c r="X60" s="31"/>
      <c r="Y60" s="31"/>
      <c r="Z60" s="84" t="str">
        <f t="shared" si="31"/>
        <v>17</v>
      </c>
      <c r="AA60" s="13" t="s">
        <v>5</v>
      </c>
      <c r="AB60" s="73"/>
      <c r="AC60" s="73">
        <v>2000</v>
      </c>
      <c r="AD60" s="73">
        <v>3000</v>
      </c>
      <c r="AE60" s="116"/>
    </row>
    <row r="61" spans="1:31" outlineLevel="1" x14ac:dyDescent="0.25">
      <c r="A61" s="427">
        <v>3</v>
      </c>
      <c r="B61" s="428"/>
      <c r="C61" s="55" t="str">
        <f t="shared" si="11"/>
        <v>aa 00 07 63 03 11 3A 98 3E 80 0E 55</v>
      </c>
      <c r="D61" s="354" t="s">
        <v>51</v>
      </c>
      <c r="E61" s="426"/>
      <c r="F61" s="426"/>
      <c r="G61" s="426"/>
      <c r="H61" s="388"/>
      <c r="I61" s="336"/>
      <c r="J61" s="1" t="s">
        <v>0</v>
      </c>
      <c r="K61" s="1" t="s">
        <v>1</v>
      </c>
      <c r="L61" s="1" t="s">
        <v>45</v>
      </c>
      <c r="M61" s="2" t="s">
        <v>16</v>
      </c>
      <c r="N61" s="2" t="s">
        <v>13</v>
      </c>
      <c r="O61" s="2" t="s">
        <v>28</v>
      </c>
      <c r="P61" s="2"/>
      <c r="Q61" s="2"/>
      <c r="R61" s="4" t="str">
        <f>LEFT(RIGHT(DEC2HEX(AC61,4),4),2)</f>
        <v>3A</v>
      </c>
      <c r="S61" s="4" t="str">
        <f>LEFT(RIGHT(DEC2HEX(AC61,4),2),2)</f>
        <v>98</v>
      </c>
      <c r="T61" s="4" t="str">
        <f>LEFT(RIGHT(DEC2HEX(AD61,4),4),2)</f>
        <v>3E</v>
      </c>
      <c r="U61" s="4" t="str">
        <f>LEFT(RIGHT(DEC2HEX(AD61,4),2),2)</f>
        <v>80</v>
      </c>
      <c r="V61" s="31"/>
      <c r="W61" s="31"/>
      <c r="X61" s="31"/>
      <c r="Y61" s="31"/>
      <c r="Z61" s="84" t="str">
        <f t="shared" si="31"/>
        <v>0E</v>
      </c>
      <c r="AA61" s="13" t="s">
        <v>5</v>
      </c>
      <c r="AB61" s="73"/>
      <c r="AC61" s="73">
        <v>15000</v>
      </c>
      <c r="AD61" s="73">
        <v>16000</v>
      </c>
      <c r="AE61" s="116"/>
    </row>
    <row r="62" spans="1:31" outlineLevel="1" x14ac:dyDescent="0.25">
      <c r="A62" s="338">
        <v>2</v>
      </c>
      <c r="B62" s="428"/>
      <c r="C62" s="55"/>
      <c r="D62" s="431" t="s">
        <v>40</v>
      </c>
      <c r="E62" s="426"/>
      <c r="F62" s="426"/>
      <c r="G62" s="426"/>
      <c r="H62" s="388"/>
      <c r="I62" s="336"/>
      <c r="J62" s="432" t="s">
        <v>35</v>
      </c>
      <c r="K62" s="433"/>
      <c r="L62" s="433"/>
      <c r="M62" s="433"/>
      <c r="N62" s="433"/>
      <c r="O62" s="433"/>
      <c r="P62" s="433"/>
      <c r="Q62" s="433"/>
      <c r="R62" s="433"/>
      <c r="S62" s="433"/>
      <c r="T62" s="433"/>
      <c r="U62" s="433"/>
      <c r="V62" s="433"/>
      <c r="W62" s="433"/>
      <c r="X62" s="433"/>
      <c r="Y62" s="433"/>
      <c r="Z62" s="433"/>
      <c r="AA62" s="433"/>
      <c r="AB62" s="41"/>
      <c r="AC62" s="41" t="s">
        <v>38</v>
      </c>
      <c r="AD62" s="41" t="s">
        <v>39</v>
      </c>
      <c r="AE62" s="26" t="s">
        <v>386</v>
      </c>
    </row>
    <row r="63" spans="1:31" outlineLevel="1" x14ac:dyDescent="0.25">
      <c r="A63" s="427">
        <v>3</v>
      </c>
      <c r="B63" s="428"/>
      <c r="C63" s="55" t="str">
        <f t="shared" si="11"/>
        <v>aa 00 09 63 00 20 02 26 02 8A 02 8A CC 55</v>
      </c>
      <c r="D63" s="427" t="s">
        <v>385</v>
      </c>
      <c r="E63" s="426"/>
      <c r="F63" s="426"/>
      <c r="G63" s="426"/>
      <c r="H63" s="388"/>
      <c r="I63" s="336"/>
      <c r="J63" s="1" t="s">
        <v>0</v>
      </c>
      <c r="K63" s="1" t="s">
        <v>1</v>
      </c>
      <c r="L63" s="1" t="s">
        <v>52</v>
      </c>
      <c r="M63" s="2" t="s">
        <v>16</v>
      </c>
      <c r="N63" s="2" t="s">
        <v>1</v>
      </c>
      <c r="O63" s="2" t="s">
        <v>53</v>
      </c>
      <c r="P63" s="2"/>
      <c r="Q63" s="2"/>
      <c r="R63" s="4" t="str">
        <f>LEFT(RIGHT(DEC2HEX(AC63,4),4),2)</f>
        <v>02</v>
      </c>
      <c r="S63" s="4" t="str">
        <f>LEFT(RIGHT(DEC2HEX(AC63,4),2),2)</f>
        <v>26</v>
      </c>
      <c r="T63" s="4" t="str">
        <f>LEFT(RIGHT(DEC2HEX(AD63,4),4),2)</f>
        <v>02</v>
      </c>
      <c r="U63" s="4" t="str">
        <f>LEFT(RIGHT(DEC2HEX(AD63,4),2),2)</f>
        <v>8A</v>
      </c>
      <c r="V63" s="4" t="str">
        <f>LEFT(RIGHT(DEC2HEX(AD63,4),4),2)</f>
        <v>02</v>
      </c>
      <c r="W63" s="4" t="str">
        <f>LEFT(RIGHT(DEC2HEX(AD63,4),2),2)</f>
        <v>8A</v>
      </c>
      <c r="X63" s="31"/>
      <c r="Y63" s="31"/>
      <c r="Z63" s="84" t="str">
        <f t="shared" ref="Z63:Z65" si="32">DEC2HEX(MOD(HEX2DEC(K63)+HEX2DEC(L63)+HEX2DEC(M63)+HEX2DEC(N63)+HEX2DEC(O63)+HEX2DEC(P63)+HEX2DEC(Q63)+HEX2DEC(R63)+HEX2DEC(S63)+HEX2DEC(T63)+HEX2DEC(U63)+HEX2DEC(V63)+HEX2DEC(W63)+HEX2DEC(X63)+HEX2DEC(Y63),256),2)</f>
        <v>CC</v>
      </c>
      <c r="AA63" s="13" t="s">
        <v>5</v>
      </c>
      <c r="AB63" s="73"/>
      <c r="AC63" s="73">
        <v>550</v>
      </c>
      <c r="AD63" s="73">
        <v>650</v>
      </c>
      <c r="AE63" s="73">
        <v>1000</v>
      </c>
    </row>
    <row r="64" spans="1:31" outlineLevel="1" x14ac:dyDescent="0.25">
      <c r="A64" s="427">
        <v>3</v>
      </c>
      <c r="B64" s="428"/>
      <c r="C64" s="55" t="str">
        <f t="shared" si="11"/>
        <v>aa 00 09 63 01 20 E8 90 E4 A8 E4 A8 1D 55</v>
      </c>
      <c r="D64" s="427" t="s">
        <v>54</v>
      </c>
      <c r="E64" s="426"/>
      <c r="F64" s="426"/>
      <c r="G64" s="426"/>
      <c r="H64" s="388"/>
      <c r="I64" s="336"/>
      <c r="J64" s="1" t="s">
        <v>0</v>
      </c>
      <c r="K64" s="1" t="s">
        <v>1</v>
      </c>
      <c r="L64" s="1" t="s">
        <v>52</v>
      </c>
      <c r="M64" s="2" t="s">
        <v>16</v>
      </c>
      <c r="N64" s="2" t="s">
        <v>14</v>
      </c>
      <c r="O64" s="2" t="s">
        <v>53</v>
      </c>
      <c r="P64" s="2"/>
      <c r="Q64" s="2"/>
      <c r="R64" s="4" t="str">
        <f t="shared" ref="R64:R65" si="33">LEFT(RIGHT(DEC2HEX(AC64,4),4),2)</f>
        <v>E8</v>
      </c>
      <c r="S64" s="4" t="str">
        <f t="shared" ref="S64:S65" si="34">LEFT(RIGHT(DEC2HEX(AC64,4),2),2)</f>
        <v>90</v>
      </c>
      <c r="T64" s="4" t="str">
        <f t="shared" ref="T64:T65" si="35">LEFT(RIGHT(DEC2HEX(AD64,4),4),2)</f>
        <v>E4</v>
      </c>
      <c r="U64" s="4" t="str">
        <f t="shared" ref="U64:U65" si="36">LEFT(RIGHT(DEC2HEX(AD64,4),2),2)</f>
        <v>A8</v>
      </c>
      <c r="V64" s="4" t="str">
        <f t="shared" ref="V64:V65" si="37">LEFT(RIGHT(DEC2HEX(AD64,4),4),2)</f>
        <v>E4</v>
      </c>
      <c r="W64" s="4" t="str">
        <f t="shared" ref="W64:W65" si="38">LEFT(RIGHT(DEC2HEX(AD64,4),2),2)</f>
        <v>A8</v>
      </c>
      <c r="X64" s="31"/>
      <c r="Y64" s="31"/>
      <c r="Z64" s="84" t="str">
        <f t="shared" si="32"/>
        <v>1D</v>
      </c>
      <c r="AA64" s="13" t="s">
        <v>5</v>
      </c>
      <c r="AB64" s="73"/>
      <c r="AC64" s="73">
        <v>-6000</v>
      </c>
      <c r="AD64" s="73">
        <v>-7000</v>
      </c>
      <c r="AE64" s="73">
        <v>1000</v>
      </c>
    </row>
    <row r="65" spans="1:31" outlineLevel="1" x14ac:dyDescent="0.25">
      <c r="A65" s="427">
        <v>3</v>
      </c>
      <c r="B65" s="428"/>
      <c r="C65" s="55" t="str">
        <f t="shared" si="11"/>
        <v>aa 00 09 63 04 20 3A 98 4E 20 4E 20 3E 55</v>
      </c>
      <c r="D65" s="427" t="s">
        <v>724</v>
      </c>
      <c r="E65" s="426"/>
      <c r="F65" s="426"/>
      <c r="G65" s="426"/>
      <c r="H65" s="388"/>
      <c r="I65" s="336"/>
      <c r="J65" s="1" t="s">
        <v>0</v>
      </c>
      <c r="K65" s="1" t="s">
        <v>1</v>
      </c>
      <c r="L65" s="1" t="s">
        <v>52</v>
      </c>
      <c r="M65" s="2" t="s">
        <v>16</v>
      </c>
      <c r="N65" s="2" t="s">
        <v>2</v>
      </c>
      <c r="O65" s="2" t="s">
        <v>53</v>
      </c>
      <c r="P65" s="2"/>
      <c r="Q65" s="2"/>
      <c r="R65" s="4" t="str">
        <f t="shared" si="33"/>
        <v>3A</v>
      </c>
      <c r="S65" s="4" t="str">
        <f t="shared" si="34"/>
        <v>98</v>
      </c>
      <c r="T65" s="4" t="str">
        <f t="shared" si="35"/>
        <v>4E</v>
      </c>
      <c r="U65" s="4" t="str">
        <f t="shared" si="36"/>
        <v>20</v>
      </c>
      <c r="V65" s="4" t="str">
        <f t="shared" si="37"/>
        <v>4E</v>
      </c>
      <c r="W65" s="4" t="str">
        <f t="shared" si="38"/>
        <v>20</v>
      </c>
      <c r="X65" s="31"/>
      <c r="Y65" s="31"/>
      <c r="Z65" s="84" t="str">
        <f t="shared" si="32"/>
        <v>3E</v>
      </c>
      <c r="AA65" s="13" t="s">
        <v>5</v>
      </c>
      <c r="AB65" s="73"/>
      <c r="AC65" s="73">
        <v>15000</v>
      </c>
      <c r="AD65" s="73">
        <v>20000</v>
      </c>
      <c r="AE65" s="73">
        <v>65535</v>
      </c>
    </row>
    <row r="66" spans="1:31" outlineLevel="1" x14ac:dyDescent="0.25">
      <c r="A66" s="338"/>
      <c r="B66" s="428"/>
      <c r="C66" s="55"/>
      <c r="D66" s="430"/>
      <c r="E66" s="426"/>
      <c r="F66" s="426"/>
      <c r="G66" s="426"/>
      <c r="H66" s="388"/>
      <c r="I66" s="336"/>
      <c r="J66" s="84"/>
      <c r="K66" s="75"/>
      <c r="L66" s="75"/>
      <c r="M66" s="76"/>
      <c r="N66" s="76"/>
      <c r="O66" s="76"/>
      <c r="P66" s="429"/>
      <c r="Q66" s="429"/>
      <c r="R66" s="429"/>
      <c r="S66" s="429"/>
      <c r="T66" s="429"/>
      <c r="U66" s="429"/>
      <c r="V66" s="429"/>
      <c r="W66" s="429"/>
      <c r="X66" s="429"/>
      <c r="Y66" s="429"/>
      <c r="Z66" s="84"/>
      <c r="AA66" s="84"/>
      <c r="AB66" s="116"/>
      <c r="AC66" s="116"/>
      <c r="AD66" s="116"/>
      <c r="AE66" s="116"/>
    </row>
    <row r="67" spans="1:31" outlineLevel="1" x14ac:dyDescent="0.25">
      <c r="A67" s="338"/>
      <c r="B67" s="428"/>
      <c r="C67" s="55"/>
      <c r="D67" s="430"/>
      <c r="E67" s="426"/>
      <c r="F67" s="426"/>
      <c r="G67" s="426"/>
      <c r="H67" s="388"/>
      <c r="I67" s="336"/>
      <c r="J67" s="84"/>
      <c r="K67" s="75"/>
      <c r="L67" s="75"/>
      <c r="M67" s="76"/>
      <c r="N67" s="76"/>
      <c r="O67" s="76"/>
      <c r="P67" s="429"/>
      <c r="Q67" s="429"/>
      <c r="R67" s="429"/>
      <c r="S67" s="429"/>
      <c r="T67" s="429"/>
      <c r="U67" s="429"/>
      <c r="V67" s="429"/>
      <c r="W67" s="429"/>
      <c r="X67" s="429"/>
      <c r="Y67" s="429"/>
      <c r="Z67" s="84"/>
      <c r="AA67" s="84"/>
      <c r="AB67" s="116"/>
      <c r="AC67" s="116"/>
      <c r="AD67" s="116"/>
      <c r="AE67" s="116"/>
    </row>
    <row r="68" spans="1:31" outlineLevel="1" x14ac:dyDescent="0.25">
      <c r="A68" s="338"/>
      <c r="B68" s="428"/>
      <c r="C68" s="55"/>
      <c r="D68" s="430"/>
      <c r="E68" s="426"/>
      <c r="F68" s="426"/>
      <c r="G68" s="426"/>
      <c r="H68" s="388"/>
      <c r="I68" s="336"/>
      <c r="J68" s="84"/>
      <c r="K68" s="75"/>
      <c r="L68" s="75"/>
      <c r="M68" s="76"/>
      <c r="N68" s="76"/>
      <c r="O68" s="76"/>
      <c r="P68" s="429"/>
      <c r="Q68" s="429"/>
      <c r="R68" s="429"/>
      <c r="S68" s="429"/>
      <c r="T68" s="429"/>
      <c r="U68" s="429"/>
      <c r="V68" s="429"/>
      <c r="W68" s="429"/>
      <c r="X68" s="429"/>
      <c r="Y68" s="429"/>
      <c r="Z68" s="84"/>
      <c r="AA68" s="84"/>
      <c r="AB68" s="116"/>
      <c r="AC68" s="116"/>
      <c r="AD68" s="116"/>
      <c r="AE68" s="116"/>
    </row>
    <row r="69" spans="1:31" outlineLevel="1" x14ac:dyDescent="0.25">
      <c r="A69" s="338"/>
      <c r="B69" s="428"/>
      <c r="C69" s="55"/>
      <c r="D69" s="430"/>
      <c r="E69" s="426"/>
      <c r="F69" s="426"/>
      <c r="G69" s="426"/>
      <c r="H69" s="388"/>
      <c r="I69" s="336"/>
      <c r="J69" s="84"/>
      <c r="K69" s="75"/>
      <c r="L69" s="75"/>
      <c r="M69" s="76"/>
      <c r="N69" s="76"/>
      <c r="O69" s="76"/>
      <c r="P69" s="429"/>
      <c r="Q69" s="429"/>
      <c r="R69" s="429"/>
      <c r="S69" s="429"/>
      <c r="T69" s="429"/>
      <c r="U69" s="429"/>
      <c r="V69" s="429"/>
      <c r="W69" s="429"/>
      <c r="X69" s="429"/>
      <c r="Y69" s="429"/>
      <c r="Z69" s="84"/>
      <c r="AA69" s="84"/>
      <c r="AB69" s="116"/>
      <c r="AC69" s="116"/>
      <c r="AD69" s="116"/>
      <c r="AE69" s="116"/>
    </row>
    <row r="70" spans="1:31" outlineLevel="1" x14ac:dyDescent="0.25">
      <c r="A70" s="338"/>
      <c r="B70" s="428"/>
      <c r="C70" s="55"/>
      <c r="D70" s="430"/>
      <c r="E70" s="435"/>
      <c r="F70" s="435"/>
      <c r="G70" s="435"/>
      <c r="H70" s="388"/>
      <c r="I70" s="336"/>
      <c r="J70" s="84"/>
      <c r="K70" s="75"/>
      <c r="L70" s="75"/>
      <c r="M70" s="76"/>
      <c r="N70" s="76"/>
      <c r="O70" s="76"/>
      <c r="P70" s="429"/>
      <c r="Q70" s="429"/>
      <c r="R70" s="429"/>
      <c r="S70" s="429"/>
      <c r="T70" s="429"/>
      <c r="U70" s="429"/>
      <c r="V70" s="429"/>
      <c r="W70" s="429"/>
      <c r="X70" s="429"/>
      <c r="Y70" s="429"/>
      <c r="Z70" s="84"/>
      <c r="AA70" s="84"/>
      <c r="AB70" s="116"/>
      <c r="AC70" s="116"/>
      <c r="AD70" s="116"/>
      <c r="AE70" s="116"/>
    </row>
    <row r="71" spans="1:31" outlineLevel="1" x14ac:dyDescent="0.25">
      <c r="A71" s="338"/>
      <c r="B71" s="428"/>
      <c r="C71" s="55"/>
      <c r="D71" s="430"/>
      <c r="E71" s="435"/>
      <c r="F71" s="435"/>
      <c r="G71" s="435"/>
      <c r="H71" s="388"/>
      <c r="I71" s="336"/>
      <c r="J71" s="84"/>
      <c r="K71" s="75"/>
      <c r="L71" s="75"/>
      <c r="M71" s="76"/>
      <c r="N71" s="76"/>
      <c r="O71" s="76"/>
      <c r="P71" s="429"/>
      <c r="Q71" s="429"/>
      <c r="R71" s="429"/>
      <c r="S71" s="429"/>
      <c r="T71" s="429"/>
      <c r="U71" s="429"/>
      <c r="V71" s="429"/>
      <c r="W71" s="429"/>
      <c r="X71" s="429"/>
      <c r="Y71" s="429"/>
      <c r="Z71" s="84"/>
      <c r="AA71" s="84"/>
      <c r="AB71" s="116"/>
      <c r="AC71" s="116"/>
      <c r="AD71" s="116"/>
      <c r="AE71" s="116"/>
    </row>
    <row r="72" spans="1:31" outlineLevel="1" x14ac:dyDescent="0.25">
      <c r="A72" s="338"/>
      <c r="B72" s="428"/>
      <c r="C72" s="55"/>
      <c r="D72" s="430"/>
      <c r="E72" s="435"/>
      <c r="F72" s="435"/>
      <c r="G72" s="435"/>
      <c r="H72" s="388"/>
      <c r="I72" s="336"/>
      <c r="J72" s="84"/>
      <c r="K72" s="75"/>
      <c r="L72" s="75"/>
      <c r="M72" s="76"/>
      <c r="N72" s="76"/>
      <c r="O72" s="76"/>
      <c r="P72" s="429"/>
      <c r="Q72" s="429"/>
      <c r="R72" s="429"/>
      <c r="S72" s="429"/>
      <c r="T72" s="429"/>
      <c r="U72" s="429"/>
      <c r="V72" s="429"/>
      <c r="W72" s="429"/>
      <c r="X72" s="429"/>
      <c r="Y72" s="429"/>
      <c r="Z72" s="84"/>
      <c r="AA72" s="84"/>
      <c r="AB72" s="116"/>
      <c r="AC72" s="116"/>
      <c r="AD72" s="116"/>
      <c r="AE72" s="116"/>
    </row>
    <row r="73" spans="1:31" outlineLevel="1" x14ac:dyDescent="0.25">
      <c r="A73" s="338"/>
      <c r="B73" s="428"/>
      <c r="C73" s="55"/>
      <c r="D73" s="430"/>
      <c r="E73" s="435"/>
      <c r="F73" s="435"/>
      <c r="G73" s="435"/>
      <c r="H73" s="388"/>
      <c r="I73" s="336"/>
      <c r="J73" s="84"/>
      <c r="K73" s="75"/>
      <c r="L73" s="75"/>
      <c r="M73" s="76"/>
      <c r="N73" s="76"/>
      <c r="O73" s="76"/>
      <c r="P73" s="429"/>
      <c r="Q73" s="429"/>
      <c r="R73" s="429"/>
      <c r="S73" s="429"/>
      <c r="T73" s="429"/>
      <c r="U73" s="429"/>
      <c r="V73" s="429"/>
      <c r="W73" s="429"/>
      <c r="X73" s="429"/>
      <c r="Y73" s="429"/>
      <c r="Z73" s="84"/>
      <c r="AA73" s="84"/>
      <c r="AB73" s="116"/>
      <c r="AC73" s="116"/>
      <c r="AD73" s="116"/>
      <c r="AE73" s="116"/>
    </row>
    <row r="74" spans="1:31" outlineLevel="1" x14ac:dyDescent="0.25">
      <c r="A74" s="338"/>
      <c r="B74" s="428"/>
      <c r="C74" s="55"/>
      <c r="D74" s="430"/>
      <c r="E74" s="435"/>
      <c r="F74" s="435"/>
      <c r="G74" s="435"/>
      <c r="H74" s="388"/>
      <c r="I74" s="336"/>
      <c r="J74" s="84"/>
      <c r="K74" s="75"/>
      <c r="L74" s="75"/>
      <c r="M74" s="76"/>
      <c r="N74" s="76"/>
      <c r="O74" s="76"/>
      <c r="P74" s="429"/>
      <c r="Q74" s="429"/>
      <c r="R74" s="429"/>
      <c r="S74" s="429"/>
      <c r="T74" s="429"/>
      <c r="U74" s="429"/>
      <c r="V74" s="429"/>
      <c r="W74" s="429"/>
      <c r="X74" s="429"/>
      <c r="Y74" s="429"/>
      <c r="Z74" s="84"/>
      <c r="AA74" s="84"/>
      <c r="AB74" s="116"/>
      <c r="AC74" s="116"/>
      <c r="AD74" s="116"/>
      <c r="AE74" s="116"/>
    </row>
    <row r="75" spans="1:31" outlineLevel="1" x14ac:dyDescent="0.25">
      <c r="A75" s="338"/>
      <c r="B75" s="428"/>
      <c r="C75" s="55"/>
      <c r="D75" s="430"/>
      <c r="E75" s="435"/>
      <c r="F75" s="435"/>
      <c r="G75" s="435"/>
      <c r="H75" s="388"/>
      <c r="I75" s="336"/>
      <c r="J75" s="84"/>
      <c r="K75" s="75"/>
      <c r="L75" s="75"/>
      <c r="M75" s="76"/>
      <c r="N75" s="76"/>
      <c r="O75" s="76"/>
      <c r="P75" s="429"/>
      <c r="Q75" s="429"/>
      <c r="R75" s="429"/>
      <c r="S75" s="429"/>
      <c r="T75" s="429"/>
      <c r="U75" s="429"/>
      <c r="V75" s="429"/>
      <c r="W75" s="429"/>
      <c r="X75" s="429"/>
      <c r="Y75" s="429"/>
      <c r="Z75" s="84"/>
      <c r="AA75" s="84"/>
      <c r="AB75" s="116"/>
      <c r="AC75" s="116"/>
      <c r="AD75" s="116"/>
      <c r="AE75" s="116"/>
    </row>
    <row r="76" spans="1:31" outlineLevel="1" x14ac:dyDescent="0.25">
      <c r="A76" s="338"/>
      <c r="B76" s="329"/>
      <c r="C76" s="55"/>
      <c r="D76" s="324"/>
      <c r="E76" s="435"/>
      <c r="F76" s="435"/>
      <c r="G76" s="435"/>
      <c r="H76" s="388"/>
      <c r="I76" s="336"/>
      <c r="J76" s="84"/>
      <c r="K76" s="75"/>
      <c r="L76" s="75"/>
      <c r="M76" s="76"/>
      <c r="N76" s="76"/>
      <c r="O76" s="76"/>
      <c r="P76" s="325"/>
      <c r="Q76" s="325"/>
      <c r="R76" s="325"/>
      <c r="S76" s="325"/>
      <c r="T76" s="325"/>
      <c r="U76" s="325"/>
      <c r="V76" s="325"/>
      <c r="W76" s="325"/>
      <c r="X76" s="325"/>
      <c r="Y76" s="325"/>
      <c r="Z76" s="84"/>
      <c r="AA76" s="84"/>
      <c r="AB76" s="116"/>
      <c r="AC76" s="116"/>
      <c r="AD76" s="116"/>
      <c r="AE76" s="116"/>
    </row>
    <row r="77" spans="1:31" outlineLevel="1" x14ac:dyDescent="0.25">
      <c r="A77" s="338"/>
      <c r="B77" s="329"/>
      <c r="C77" s="55"/>
      <c r="D77" s="324"/>
      <c r="E77" s="435"/>
      <c r="F77" s="435"/>
      <c r="G77" s="435"/>
      <c r="H77" s="388"/>
      <c r="I77" s="336"/>
      <c r="J77" s="84"/>
      <c r="K77" s="75"/>
      <c r="L77" s="75"/>
      <c r="M77" s="76"/>
      <c r="N77" s="76"/>
      <c r="O77" s="76"/>
      <c r="P77" s="325"/>
      <c r="Q77" s="325"/>
      <c r="R77" s="325"/>
      <c r="S77" s="325"/>
      <c r="T77" s="325"/>
      <c r="U77" s="325"/>
      <c r="V77" s="325"/>
      <c r="W77" s="325"/>
      <c r="X77" s="325"/>
      <c r="Y77" s="325"/>
      <c r="Z77" s="84"/>
      <c r="AA77" s="84"/>
      <c r="AB77" s="116"/>
      <c r="AC77" s="116"/>
      <c r="AD77" s="116"/>
      <c r="AE77" s="116"/>
    </row>
    <row r="78" spans="1:31" outlineLevel="1" x14ac:dyDescent="0.25">
      <c r="A78" s="338"/>
      <c r="B78" s="329"/>
      <c r="C78" s="55"/>
      <c r="D78" s="324"/>
      <c r="E78" s="435"/>
      <c r="F78" s="435"/>
      <c r="G78" s="435"/>
      <c r="H78" s="388"/>
      <c r="I78" s="336"/>
      <c r="J78" s="84"/>
      <c r="K78" s="75"/>
      <c r="L78" s="75"/>
      <c r="M78" s="76"/>
      <c r="N78" s="76"/>
      <c r="O78" s="76"/>
      <c r="P78" s="325"/>
      <c r="Q78" s="325"/>
      <c r="R78" s="325"/>
      <c r="S78" s="325"/>
      <c r="T78" s="325"/>
      <c r="U78" s="325"/>
      <c r="V78" s="325"/>
      <c r="W78" s="325"/>
      <c r="X78" s="325"/>
      <c r="Y78" s="325"/>
      <c r="Z78" s="84"/>
      <c r="AA78" s="84"/>
      <c r="AB78" s="116"/>
      <c r="AC78" s="116"/>
      <c r="AD78" s="116"/>
      <c r="AE78" s="116"/>
    </row>
    <row r="79" spans="1:31" outlineLevel="1" x14ac:dyDescent="0.25">
      <c r="A79" s="338"/>
      <c r="B79" s="329"/>
      <c r="C79" s="55"/>
      <c r="D79" s="324"/>
      <c r="E79" s="435"/>
      <c r="F79" s="435"/>
      <c r="G79" s="435"/>
      <c r="H79" s="388"/>
      <c r="I79" s="336"/>
      <c r="J79" s="84"/>
      <c r="K79" s="75"/>
      <c r="L79" s="75"/>
      <c r="M79" s="76"/>
      <c r="N79" s="76"/>
      <c r="O79" s="76"/>
      <c r="P79" s="325"/>
      <c r="Q79" s="325"/>
      <c r="R79" s="325"/>
      <c r="S79" s="325"/>
      <c r="T79" s="325"/>
      <c r="U79" s="325"/>
      <c r="V79" s="325"/>
      <c r="W79" s="325"/>
      <c r="X79" s="325"/>
      <c r="Y79" s="325"/>
      <c r="Z79" s="84"/>
      <c r="AA79" s="84"/>
      <c r="AB79" s="116"/>
      <c r="AC79" s="116"/>
      <c r="AD79" s="116"/>
      <c r="AE79" s="116"/>
    </row>
    <row r="80" spans="1:31" outlineLevel="1" x14ac:dyDescent="0.25">
      <c r="A80" s="338"/>
      <c r="B80" s="329"/>
      <c r="C80" s="55"/>
      <c r="D80" s="324"/>
      <c r="E80" s="435"/>
      <c r="F80" s="435"/>
      <c r="G80" s="435"/>
      <c r="H80" s="388"/>
      <c r="I80" s="336"/>
      <c r="J80" s="84"/>
      <c r="K80" s="75"/>
      <c r="L80" s="75"/>
      <c r="M80" s="76"/>
      <c r="N80" s="76"/>
      <c r="O80" s="76"/>
      <c r="P80" s="325"/>
      <c r="Q80" s="325"/>
      <c r="R80" s="325"/>
      <c r="S80" s="325"/>
      <c r="T80" s="325"/>
      <c r="U80" s="325"/>
      <c r="V80" s="325"/>
      <c r="W80" s="325"/>
      <c r="X80" s="325"/>
      <c r="Y80" s="325"/>
      <c r="Z80" s="84"/>
      <c r="AA80" s="84"/>
      <c r="AB80" s="116"/>
      <c r="AC80" s="116"/>
      <c r="AD80" s="116"/>
      <c r="AE80" s="116"/>
    </row>
    <row r="81" spans="1:31" outlineLevel="1" x14ac:dyDescent="0.25">
      <c r="A81" s="338"/>
      <c r="B81" s="329"/>
      <c r="C81" s="55"/>
      <c r="D81" s="324"/>
      <c r="E81" s="435"/>
      <c r="F81" s="435"/>
      <c r="G81" s="435"/>
      <c r="H81" s="388"/>
      <c r="I81" s="336"/>
      <c r="J81" s="84"/>
      <c r="K81" s="75"/>
      <c r="L81" s="75"/>
      <c r="M81" s="76"/>
      <c r="N81" s="76"/>
      <c r="O81" s="76"/>
      <c r="P81" s="325"/>
      <c r="Q81" s="325"/>
      <c r="R81" s="325"/>
      <c r="S81" s="325"/>
      <c r="T81" s="325"/>
      <c r="U81" s="325"/>
      <c r="V81" s="325"/>
      <c r="W81" s="325"/>
      <c r="X81" s="325"/>
      <c r="Y81" s="325"/>
      <c r="Z81" s="84"/>
      <c r="AA81" s="84"/>
      <c r="AB81" s="116"/>
      <c r="AC81" s="116"/>
      <c r="AD81" s="116"/>
      <c r="AE81" s="116"/>
    </row>
    <row r="83" spans="1:31" x14ac:dyDescent="0.25">
      <c r="A83" s="330">
        <v>1</v>
      </c>
      <c r="B83" s="330"/>
      <c r="C83" s="330"/>
      <c r="D83" s="330" t="s">
        <v>817</v>
      </c>
    </row>
    <row r="84" spans="1:31" hidden="1" outlineLevel="1" x14ac:dyDescent="0.25">
      <c r="A84" s="338">
        <v>2</v>
      </c>
      <c r="C84" s="473" t="s">
        <v>818</v>
      </c>
      <c r="D84" s="473"/>
      <c r="H84" s="383"/>
      <c r="I84" s="351"/>
      <c r="J84" s="210"/>
      <c r="K84" s="32"/>
      <c r="L84" s="32" t="s">
        <v>10</v>
      </c>
      <c r="M84" s="33" t="s">
        <v>79</v>
      </c>
      <c r="N84" s="33" t="s">
        <v>86</v>
      </c>
      <c r="O84" s="33" t="s">
        <v>96</v>
      </c>
      <c r="P84" s="33" t="s">
        <v>73</v>
      </c>
      <c r="Q84" s="487" t="s">
        <v>74</v>
      </c>
      <c r="R84" s="487"/>
      <c r="S84" s="348"/>
      <c r="T84" s="33" t="s">
        <v>75</v>
      </c>
      <c r="U84" s="122" t="s">
        <v>235</v>
      </c>
      <c r="V84" s="350"/>
      <c r="W84" s="122"/>
      <c r="X84" s="122"/>
      <c r="Y84" s="122"/>
      <c r="Z84" s="232" t="s">
        <v>81</v>
      </c>
      <c r="AA84" s="32"/>
      <c r="AC84" s="149" t="s">
        <v>76</v>
      </c>
    </row>
    <row r="85" spans="1:31" hidden="1" outlineLevel="1" x14ac:dyDescent="0.25">
      <c r="A85" s="356">
        <v>3</v>
      </c>
      <c r="C85" s="55" t="str">
        <f t="shared" ref="C85:C93" si="39">IF(ISBLANK(H85),,H85&amp;" ")&amp;IF(ISBLANK(I85),,I85&amp;" ")&amp;IF(ISBLANK(J85),,J85&amp;" ")&amp;IF(ISBLANK(K85),,K85&amp;" ")&amp;IF(ISBLANK(L85),,L85&amp;" ")&amp;IF(ISBLANK(M85),,M85&amp;" ")&amp;IF(ISBLANK(N85),,N85&amp;" ")&amp;IF(ISBLANK(O85),,O85&amp;" ")&amp;IF(ISBLANK(P85),,P85&amp;" ")&amp;IF(ISBLANK(Q85),,Q85&amp;" ")&amp;IF(ISBLANK(R85),,R85&amp;" ")&amp;IF(ISBLANK(S85),,S85&amp;" ")&amp;IF(ISBLANK(T85),,T85&amp;" ")&amp;IF(ISBLANK(U85),,U85&amp;" ")&amp;IF(ISBLANK(V85),,V85&amp;" ")&amp;IF(ISBLANK(W85),,W85&amp;" ")&amp;IF(ISBLANK(X85),,X85&amp;" ")&amp;IF(ISBLANK(Y85),,Y85&amp;" ")&amp;IF(ISBLANK(Z85),,Z85&amp;" ")&amp;IF(ISBLANK(AA85),,AA85)</f>
        <v>0x00 0x01 aa 00 08 23 01 10 10 03 E8 00 00 37 55</v>
      </c>
      <c r="D85" s="354" t="s">
        <v>612</v>
      </c>
      <c r="H85" s="388" t="s">
        <v>804</v>
      </c>
      <c r="I85" s="336" t="s">
        <v>805</v>
      </c>
      <c r="J85" s="10" t="s">
        <v>0</v>
      </c>
      <c r="K85" s="1" t="s">
        <v>1</v>
      </c>
      <c r="L85" s="75" t="str">
        <f>DEC2HEX( COUNTA(M85:Y85),2)</f>
        <v>08</v>
      </c>
      <c r="M85" s="2" t="s">
        <v>71</v>
      </c>
      <c r="N85" s="2" t="s">
        <v>4</v>
      </c>
      <c r="O85" s="2" t="s">
        <v>70</v>
      </c>
      <c r="P85" s="3" t="s">
        <v>70</v>
      </c>
      <c r="Q85" s="3" t="str">
        <f t="shared" ref="Q85:Q93" si="40">LEFT(RIGHT(DEC2HEX(AC85,4),4),2)</f>
        <v>03</v>
      </c>
      <c r="R85" s="3" t="str">
        <f t="shared" ref="R85:R93" si="41">LEFT(RIGHT(DEC2HEX(AC85,4),2),2)</f>
        <v>E8</v>
      </c>
      <c r="S85" s="3"/>
      <c r="T85" s="3" t="s">
        <v>1</v>
      </c>
      <c r="U85" s="3" t="s">
        <v>1</v>
      </c>
      <c r="V85" s="350"/>
      <c r="W85" s="224"/>
      <c r="X85" s="224"/>
      <c r="Y85" s="224"/>
      <c r="Z85" s="84" t="str">
        <f>DEC2HEX(MOD(HEX2DEC(K85)+HEX2DEC(L85)+HEX2DEC(M85)+HEX2DEC(N85)+HEX2DEC(O85)+HEX2DEC(P85)+HEX2DEC(Q85)+HEX2DEC(R85)+HEX2DEC(S85)+HEX2DEC(T85)+HEX2DEC(U85)+HEX2DEC(V85)+HEX2DEC(W85)+HEX2DEC(X85)+HEX2DEC(Y85),256),2)</f>
        <v>37</v>
      </c>
      <c r="AA85" s="10" t="s">
        <v>5</v>
      </c>
      <c r="AC85" s="41">
        <v>1000</v>
      </c>
    </row>
    <row r="86" spans="1:31" hidden="1" outlineLevel="1" x14ac:dyDescent="0.25">
      <c r="A86" s="349">
        <v>3</v>
      </c>
      <c r="C86" s="55" t="str">
        <f t="shared" si="39"/>
        <v>0x00 0x01 aa 00 08 23 02 10 10 03 E8 00 00 38 55</v>
      </c>
      <c r="D86" s="354" t="s">
        <v>539</v>
      </c>
      <c r="H86" s="388" t="s">
        <v>804</v>
      </c>
      <c r="I86" s="336" t="s">
        <v>805</v>
      </c>
      <c r="J86" s="10" t="s">
        <v>0</v>
      </c>
      <c r="K86" s="1" t="s">
        <v>1</v>
      </c>
      <c r="L86" s="75" t="str">
        <f t="shared" ref="L86:L93" si="42">DEC2HEX( COUNTA(M86:Y86),2)</f>
        <v>08</v>
      </c>
      <c r="M86" s="2" t="s">
        <v>71</v>
      </c>
      <c r="N86" s="2" t="s">
        <v>15</v>
      </c>
      <c r="O86" s="2" t="s">
        <v>70</v>
      </c>
      <c r="P86" s="3" t="s">
        <v>70</v>
      </c>
      <c r="Q86" s="3" t="str">
        <f t="shared" si="40"/>
        <v>03</v>
      </c>
      <c r="R86" s="3" t="str">
        <f t="shared" si="41"/>
        <v>E8</v>
      </c>
      <c r="S86" s="3"/>
      <c r="T86" s="3" t="s">
        <v>1</v>
      </c>
      <c r="U86" s="3" t="s">
        <v>1</v>
      </c>
      <c r="V86" s="350"/>
      <c r="W86" s="224"/>
      <c r="X86" s="224"/>
      <c r="Y86" s="224"/>
      <c r="Z86" s="84" t="str">
        <f t="shared" ref="Z86:Z93" si="43">DEC2HEX(MOD(HEX2DEC(K86)+HEX2DEC(L86)+HEX2DEC(M86)+HEX2DEC(N86)+HEX2DEC(O86)+HEX2DEC(P86)+HEX2DEC(Q86)+HEX2DEC(R86)+HEX2DEC(S86)+HEX2DEC(T86)+HEX2DEC(U86)+HEX2DEC(V86)+HEX2DEC(W86)+HEX2DEC(X86)+HEX2DEC(Y86),256),2)</f>
        <v>38</v>
      </c>
      <c r="AA86" s="10" t="s">
        <v>5</v>
      </c>
      <c r="AC86" s="41">
        <v>1000</v>
      </c>
    </row>
    <row r="87" spans="1:31" hidden="1" outlineLevel="1" x14ac:dyDescent="0.25">
      <c r="A87" s="349">
        <v>3</v>
      </c>
      <c r="C87" s="55" t="str">
        <f t="shared" si="39"/>
        <v>0x00 0x01 aa 00 08 23 03 10 10 03 E8 00 00 39 55</v>
      </c>
      <c r="D87" s="354" t="s">
        <v>517</v>
      </c>
      <c r="H87" s="388" t="s">
        <v>804</v>
      </c>
      <c r="I87" s="336" t="s">
        <v>805</v>
      </c>
      <c r="J87" s="10" t="s">
        <v>0</v>
      </c>
      <c r="K87" s="1" t="s">
        <v>1</v>
      </c>
      <c r="L87" s="75" t="str">
        <f t="shared" si="42"/>
        <v>08</v>
      </c>
      <c r="M87" s="2" t="s">
        <v>71</v>
      </c>
      <c r="N87" s="2" t="s">
        <v>13</v>
      </c>
      <c r="O87" s="2" t="s">
        <v>70</v>
      </c>
      <c r="P87" s="3" t="s">
        <v>70</v>
      </c>
      <c r="Q87" s="3" t="str">
        <f t="shared" si="40"/>
        <v>03</v>
      </c>
      <c r="R87" s="3" t="str">
        <f t="shared" si="41"/>
        <v>E8</v>
      </c>
      <c r="S87" s="3"/>
      <c r="T87" s="3" t="s">
        <v>1</v>
      </c>
      <c r="U87" s="3" t="s">
        <v>1</v>
      </c>
      <c r="V87" s="350"/>
      <c r="W87" s="224"/>
      <c r="X87" s="224"/>
      <c r="Y87" s="224"/>
      <c r="Z87" s="84" t="str">
        <f t="shared" si="43"/>
        <v>39</v>
      </c>
      <c r="AA87" s="10" t="s">
        <v>5</v>
      </c>
      <c r="AC87" s="41">
        <v>1000</v>
      </c>
    </row>
    <row r="88" spans="1:31" hidden="1" outlineLevel="1" x14ac:dyDescent="0.25">
      <c r="A88" s="349">
        <v>3</v>
      </c>
      <c r="C88" s="55" t="str">
        <f t="shared" si="39"/>
        <v>0x00 0x01 aa 00 08 23 04 10 10 03 E8 00 00 3A 55</v>
      </c>
      <c r="D88" s="354" t="s">
        <v>516</v>
      </c>
      <c r="H88" s="388" t="s">
        <v>804</v>
      </c>
      <c r="I88" s="336" t="s">
        <v>805</v>
      </c>
      <c r="J88" s="10" t="s">
        <v>0</v>
      </c>
      <c r="K88" s="1" t="s">
        <v>1</v>
      </c>
      <c r="L88" s="75" t="str">
        <f t="shared" si="42"/>
        <v>08</v>
      </c>
      <c r="M88" s="2" t="s">
        <v>71</v>
      </c>
      <c r="N88" s="2" t="s">
        <v>18</v>
      </c>
      <c r="O88" s="2" t="s">
        <v>70</v>
      </c>
      <c r="P88" s="3" t="s">
        <v>70</v>
      </c>
      <c r="Q88" s="3" t="str">
        <f>LEFT(RIGHT(DEC2HEX(AC88,4),4),2)</f>
        <v>03</v>
      </c>
      <c r="R88" s="3" t="str">
        <f>LEFT(RIGHT(DEC2HEX(AC88,4),2),2)</f>
        <v>E8</v>
      </c>
      <c r="S88" s="3"/>
      <c r="T88" s="3" t="s">
        <v>1</v>
      </c>
      <c r="U88" s="3" t="s">
        <v>1</v>
      </c>
      <c r="V88" s="350"/>
      <c r="W88" s="224"/>
      <c r="X88" s="224"/>
      <c r="Y88" s="224"/>
      <c r="Z88" s="84" t="str">
        <f t="shared" si="43"/>
        <v>3A</v>
      </c>
      <c r="AA88" s="10" t="s">
        <v>5</v>
      </c>
      <c r="AC88" s="41">
        <v>1000</v>
      </c>
    </row>
    <row r="89" spans="1:31" hidden="1" outlineLevel="1" x14ac:dyDescent="0.25">
      <c r="A89" s="349">
        <v>3</v>
      </c>
      <c r="C89" s="55" t="str">
        <f t="shared" si="39"/>
        <v>0x00 0x01 aa 00 08 23 05 10 10 03 E8 00 00 3B 55</v>
      </c>
      <c r="D89" s="354" t="s">
        <v>642</v>
      </c>
      <c r="H89" s="388" t="s">
        <v>804</v>
      </c>
      <c r="I89" s="336" t="s">
        <v>805</v>
      </c>
      <c r="J89" s="10" t="s">
        <v>0</v>
      </c>
      <c r="K89" s="1" t="s">
        <v>1</v>
      </c>
      <c r="L89" s="75" t="str">
        <f t="shared" si="42"/>
        <v>08</v>
      </c>
      <c r="M89" s="2" t="s">
        <v>71</v>
      </c>
      <c r="N89" s="2" t="s">
        <v>122</v>
      </c>
      <c r="O89" s="2" t="s">
        <v>70</v>
      </c>
      <c r="P89" s="3" t="s">
        <v>70</v>
      </c>
      <c r="Q89" s="3" t="str">
        <f>LEFT(RIGHT(DEC2HEX(AC89,4),4),2)</f>
        <v>03</v>
      </c>
      <c r="R89" s="3" t="str">
        <f>LEFT(RIGHT(DEC2HEX(AC89,4),2),2)</f>
        <v>E8</v>
      </c>
      <c r="S89" s="3"/>
      <c r="T89" s="3" t="s">
        <v>1</v>
      </c>
      <c r="U89" s="3" t="s">
        <v>1</v>
      </c>
      <c r="V89" s="350"/>
      <c r="W89" s="224"/>
      <c r="X89" s="224"/>
      <c r="Y89" s="224"/>
      <c r="Z89" s="84" t="str">
        <f t="shared" si="43"/>
        <v>3B</v>
      </c>
      <c r="AA89" s="10" t="s">
        <v>5</v>
      </c>
      <c r="AC89" s="41">
        <v>1000</v>
      </c>
    </row>
    <row r="90" spans="1:31" hidden="1" outlineLevel="1" x14ac:dyDescent="0.25">
      <c r="A90" s="349">
        <v>3</v>
      </c>
      <c r="C90" s="55" t="str">
        <f t="shared" si="39"/>
        <v>0x00 0x01 aa 00 08 23 06 10 10 03 E8 00 00 3C 55</v>
      </c>
      <c r="D90" s="354" t="s">
        <v>643</v>
      </c>
      <c r="H90" s="388" t="s">
        <v>804</v>
      </c>
      <c r="I90" s="336" t="s">
        <v>805</v>
      </c>
      <c r="J90" s="10" t="s">
        <v>0</v>
      </c>
      <c r="K90" s="1" t="s">
        <v>1</v>
      </c>
      <c r="L90" s="75" t="str">
        <f t="shared" si="42"/>
        <v>08</v>
      </c>
      <c r="M90" s="2" t="s">
        <v>71</v>
      </c>
      <c r="N90" s="2" t="s">
        <v>431</v>
      </c>
      <c r="O90" s="2" t="s">
        <v>70</v>
      </c>
      <c r="P90" s="3" t="s">
        <v>70</v>
      </c>
      <c r="Q90" s="3" t="str">
        <f>LEFT(RIGHT(DEC2HEX(AC90,4),4),2)</f>
        <v>03</v>
      </c>
      <c r="R90" s="3" t="str">
        <f>LEFT(RIGHT(DEC2HEX(AC90,4),2),2)</f>
        <v>E8</v>
      </c>
      <c r="S90" s="3"/>
      <c r="T90" s="3" t="s">
        <v>1</v>
      </c>
      <c r="U90" s="3" t="s">
        <v>1</v>
      </c>
      <c r="V90" s="350"/>
      <c r="W90" s="224"/>
      <c r="X90" s="224"/>
      <c r="Y90" s="224"/>
      <c r="Z90" s="84" t="str">
        <f t="shared" si="43"/>
        <v>3C</v>
      </c>
      <c r="AA90" s="10" t="s">
        <v>5</v>
      </c>
      <c r="AC90" s="41">
        <v>1000</v>
      </c>
    </row>
    <row r="91" spans="1:31" hidden="1" outlineLevel="1" x14ac:dyDescent="0.25">
      <c r="A91" s="349">
        <v>3</v>
      </c>
      <c r="C91" s="55" t="str">
        <f t="shared" si="39"/>
        <v>0x00 0x01 aa 00 08 23 07 10 10 03 E8 00 00 3D 55</v>
      </c>
      <c r="D91" s="354" t="s">
        <v>644</v>
      </c>
      <c r="H91" s="388" t="s">
        <v>804</v>
      </c>
      <c r="I91" s="336" t="s">
        <v>805</v>
      </c>
      <c r="J91" s="10" t="s">
        <v>0</v>
      </c>
      <c r="K91" s="1" t="s">
        <v>1</v>
      </c>
      <c r="L91" s="75" t="str">
        <f t="shared" si="42"/>
        <v>08</v>
      </c>
      <c r="M91" s="2" t="s">
        <v>71</v>
      </c>
      <c r="N91" s="2" t="s">
        <v>45</v>
      </c>
      <c r="O91" s="2" t="s">
        <v>70</v>
      </c>
      <c r="P91" s="3" t="s">
        <v>70</v>
      </c>
      <c r="Q91" s="3" t="str">
        <f t="shared" si="40"/>
        <v>03</v>
      </c>
      <c r="R91" s="3" t="str">
        <f t="shared" si="41"/>
        <v>E8</v>
      </c>
      <c r="S91" s="3"/>
      <c r="T91" s="3" t="s">
        <v>1</v>
      </c>
      <c r="U91" s="3" t="s">
        <v>1</v>
      </c>
      <c r="V91" s="350"/>
      <c r="W91" s="224"/>
      <c r="X91" s="224"/>
      <c r="Y91" s="224"/>
      <c r="Z91" s="84" t="str">
        <f t="shared" si="43"/>
        <v>3D</v>
      </c>
      <c r="AA91" s="10" t="s">
        <v>5</v>
      </c>
      <c r="AC91" s="41">
        <v>1000</v>
      </c>
    </row>
    <row r="92" spans="1:31" hidden="1" outlineLevel="1" x14ac:dyDescent="0.25">
      <c r="A92" s="349">
        <v>3</v>
      </c>
      <c r="C92" s="55" t="str">
        <f t="shared" si="39"/>
        <v>0x00 0x01 aa 00 08 23 08 10 10 03 E8 00 00 3E 55</v>
      </c>
      <c r="D92" s="354" t="s">
        <v>645</v>
      </c>
      <c r="H92" s="388" t="s">
        <v>804</v>
      </c>
      <c r="I92" s="336" t="s">
        <v>805</v>
      </c>
      <c r="J92" s="10" t="s">
        <v>0</v>
      </c>
      <c r="K92" s="1" t="s">
        <v>1</v>
      </c>
      <c r="L92" s="75" t="str">
        <f t="shared" si="42"/>
        <v>08</v>
      </c>
      <c r="M92" s="2" t="s">
        <v>71</v>
      </c>
      <c r="N92" s="2" t="s">
        <v>125</v>
      </c>
      <c r="O92" s="2" t="s">
        <v>70</v>
      </c>
      <c r="P92" s="3" t="s">
        <v>70</v>
      </c>
      <c r="Q92" s="3" t="str">
        <f t="shared" si="40"/>
        <v>03</v>
      </c>
      <c r="R92" s="3" t="str">
        <f t="shared" si="41"/>
        <v>E8</v>
      </c>
      <c r="S92" s="3"/>
      <c r="T92" s="3" t="s">
        <v>1</v>
      </c>
      <c r="U92" s="3" t="s">
        <v>1</v>
      </c>
      <c r="V92" s="350"/>
      <c r="W92" s="224"/>
      <c r="X92" s="224"/>
      <c r="Y92" s="224"/>
      <c r="Z92" s="84" t="str">
        <f t="shared" si="43"/>
        <v>3E</v>
      </c>
      <c r="AA92" s="10" t="s">
        <v>5</v>
      </c>
      <c r="AC92" s="41">
        <v>1000</v>
      </c>
    </row>
    <row r="93" spans="1:31" hidden="1" outlineLevel="1" x14ac:dyDescent="0.25">
      <c r="A93" s="349">
        <v>3</v>
      </c>
      <c r="C93" s="55" t="str">
        <f t="shared" si="39"/>
        <v>0x00 0x01 aa 00 08 23 09 10 10 03 E8 00 00 3F 55</v>
      </c>
      <c r="D93" s="354" t="s">
        <v>646</v>
      </c>
      <c r="H93" s="388" t="s">
        <v>804</v>
      </c>
      <c r="I93" s="336" t="s">
        <v>805</v>
      </c>
      <c r="J93" s="10" t="s">
        <v>0</v>
      </c>
      <c r="K93" s="1" t="s">
        <v>1</v>
      </c>
      <c r="L93" s="75" t="str">
        <f t="shared" si="42"/>
        <v>08</v>
      </c>
      <c r="M93" s="2" t="s">
        <v>71</v>
      </c>
      <c r="N93" s="2" t="s">
        <v>126</v>
      </c>
      <c r="O93" s="2" t="s">
        <v>70</v>
      </c>
      <c r="P93" s="3" t="s">
        <v>70</v>
      </c>
      <c r="Q93" s="3" t="str">
        <f t="shared" si="40"/>
        <v>03</v>
      </c>
      <c r="R93" s="3" t="str">
        <f t="shared" si="41"/>
        <v>E8</v>
      </c>
      <c r="S93" s="3"/>
      <c r="T93" s="3" t="s">
        <v>1</v>
      </c>
      <c r="U93" s="3" t="s">
        <v>1</v>
      </c>
      <c r="V93" s="350"/>
      <c r="W93" s="224"/>
      <c r="X93" s="224"/>
      <c r="Y93" s="224"/>
      <c r="Z93" s="84" t="str">
        <f t="shared" si="43"/>
        <v>3F</v>
      </c>
      <c r="AA93" s="10" t="s">
        <v>5</v>
      </c>
      <c r="AC93" s="41">
        <v>1000</v>
      </c>
    </row>
    <row r="94" spans="1:31" hidden="1" outlineLevel="1" x14ac:dyDescent="0.25">
      <c r="A94" s="375">
        <v>3</v>
      </c>
      <c r="C94" s="55" t="str">
        <f t="shared" ref="C94" si="44">IF(ISBLANK(H94),,H94&amp;" ")&amp;IF(ISBLANK(I94),,I94&amp;" ")&amp;IF(ISBLANK(J94),,J94&amp;" ")&amp;IF(ISBLANK(K94),,K94&amp;" ")&amp;IF(ISBLANK(L94),,L94&amp;" ")&amp;IF(ISBLANK(M94),,M94&amp;" ")&amp;IF(ISBLANK(N94),,N94&amp;" ")&amp;IF(ISBLANK(O94),,O94&amp;" ")&amp;IF(ISBLANK(P94),,P94&amp;" ")&amp;IF(ISBLANK(Q94),,Q94&amp;" ")&amp;IF(ISBLANK(R94),,R94&amp;" ")&amp;IF(ISBLANK(S94),,S94&amp;" ")&amp;IF(ISBLANK(T94),,T94&amp;" ")&amp;IF(ISBLANK(U94),,U94&amp;" ")&amp;IF(ISBLANK(V94),,V94&amp;" ")&amp;IF(ISBLANK(W94),,W94&amp;" ")&amp;IF(ISBLANK(X94),,X94&amp;" ")&amp;IF(ISBLANK(Y94),,Y94&amp;" ")&amp;IF(ISBLANK(Z94),,Z94&amp;" ")&amp;IF(ISBLANK(AA94),,AA94)</f>
        <v>0x00 0x01 aa 00 08 23 0A 10 10 03 E8 00 00 40 55</v>
      </c>
      <c r="D94" s="354" t="s">
        <v>859</v>
      </c>
      <c r="H94" s="388" t="s">
        <v>804</v>
      </c>
      <c r="I94" s="336" t="s">
        <v>805</v>
      </c>
      <c r="J94" s="10" t="s">
        <v>0</v>
      </c>
      <c r="K94" s="1" t="s">
        <v>1</v>
      </c>
      <c r="L94" s="75" t="str">
        <f t="shared" ref="L94" si="45">DEC2HEX( COUNTA(M94:Y94),2)</f>
        <v>08</v>
      </c>
      <c r="M94" s="2" t="s">
        <v>71</v>
      </c>
      <c r="N94" s="2" t="s">
        <v>858</v>
      </c>
      <c r="O94" s="2" t="s">
        <v>70</v>
      </c>
      <c r="P94" s="3" t="s">
        <v>70</v>
      </c>
      <c r="Q94" s="3" t="str">
        <f t="shared" ref="Q94" si="46">LEFT(RIGHT(DEC2HEX(AC94,4),4),2)</f>
        <v>03</v>
      </c>
      <c r="R94" s="3" t="str">
        <f t="shared" ref="R94" si="47">LEFT(RIGHT(DEC2HEX(AC94,4),2),2)</f>
        <v>E8</v>
      </c>
      <c r="S94" s="3"/>
      <c r="T94" s="3" t="s">
        <v>1</v>
      </c>
      <c r="U94" s="3" t="s">
        <v>1</v>
      </c>
      <c r="V94" s="376"/>
      <c r="W94" s="224"/>
      <c r="X94" s="224"/>
      <c r="Y94" s="224"/>
      <c r="Z94" s="84" t="str">
        <f t="shared" ref="Z94" si="48">DEC2HEX(MOD(HEX2DEC(K94)+HEX2DEC(L94)+HEX2DEC(M94)+HEX2DEC(N94)+HEX2DEC(O94)+HEX2DEC(P94)+HEX2DEC(Q94)+HEX2DEC(R94)+HEX2DEC(S94)+HEX2DEC(T94)+HEX2DEC(U94)+HEX2DEC(V94)+HEX2DEC(W94)+HEX2DEC(X94)+HEX2DEC(Y94),256),2)</f>
        <v>40</v>
      </c>
      <c r="AA94" s="10" t="s">
        <v>5</v>
      </c>
      <c r="AC94" s="41">
        <v>1000</v>
      </c>
    </row>
    <row r="95" spans="1:31" hidden="1" outlineLevel="1" x14ac:dyDescent="0.25"/>
    <row r="96" spans="1:31" hidden="1" outlineLevel="1" x14ac:dyDescent="0.25">
      <c r="A96" s="338">
        <v>2</v>
      </c>
      <c r="C96" s="473" t="s">
        <v>819</v>
      </c>
      <c r="D96" s="473"/>
      <c r="H96" s="383"/>
      <c r="I96" s="351"/>
      <c r="J96" s="211"/>
      <c r="K96" s="9"/>
      <c r="L96" s="9"/>
      <c r="M96" s="8"/>
      <c r="N96" s="7" t="s">
        <v>86</v>
      </c>
      <c r="O96" s="8"/>
      <c r="P96" s="458" t="s">
        <v>72</v>
      </c>
      <c r="Q96" s="459"/>
      <c r="R96" s="7" t="s">
        <v>73</v>
      </c>
      <c r="S96" s="7"/>
      <c r="T96" s="458" t="s">
        <v>74</v>
      </c>
      <c r="U96" s="459"/>
      <c r="V96" s="7" t="s">
        <v>75</v>
      </c>
      <c r="W96" s="225"/>
      <c r="X96" s="226"/>
      <c r="Y96" s="227"/>
      <c r="Z96" s="232" t="s">
        <v>81</v>
      </c>
      <c r="AA96" s="9"/>
      <c r="AC96" s="149" t="s">
        <v>72</v>
      </c>
      <c r="AD96" s="149" t="s">
        <v>76</v>
      </c>
    </row>
    <row r="97" spans="1:30" ht="15" hidden="1" outlineLevel="1" thickBot="1" x14ac:dyDescent="0.3">
      <c r="A97" s="349">
        <v>3</v>
      </c>
      <c r="C97" s="55" t="str">
        <f t="shared" ref="C97:C102" si="49">IF(ISBLANK(H97),,H97&amp;" ")&amp;IF(ISBLANK(I97),,I97&amp;" ")&amp;IF(ISBLANK(J97),,J97&amp;" ")&amp;IF(ISBLANK(K97),,K97&amp;" ")&amp;IF(ISBLANK(L97),,L97&amp;" ")&amp;IF(ISBLANK(M97),,M97&amp;" ")&amp;IF(ISBLANK(N97),,N97&amp;" ")&amp;IF(ISBLANK(O97),,O97&amp;" ")&amp;IF(ISBLANK(P97),,P97&amp;" ")&amp;IF(ISBLANK(Q97),,Q97&amp;" ")&amp;IF(ISBLANK(R97),,R97&amp;" ")&amp;IF(ISBLANK(S97),,S97&amp;" ")&amp;IF(ISBLANK(T97),,T97&amp;" ")&amp;IF(ISBLANK(U97),,U97&amp;" ")&amp;IF(ISBLANK(V97),,V97&amp;" ")&amp;IF(ISBLANK(W97),,W97&amp;" ")&amp;IF(ISBLANK(X97),,X97&amp;" ")&amp;IF(ISBLANK(Y97),,Y97&amp;" ")&amp;IF(ISBLANK(Z97),,Z97&amp;" ")&amp;IF(ISBLANK(AA97),,AA97)</f>
        <v>0x00 0x01 aa 00 09 23 07 12 01 40 0E 03 E8 00 7F 55</v>
      </c>
      <c r="D97" s="349" t="s">
        <v>239</v>
      </c>
      <c r="H97" s="388" t="s">
        <v>804</v>
      </c>
      <c r="I97" s="336" t="s">
        <v>805</v>
      </c>
      <c r="J97" s="10" t="s">
        <v>0</v>
      </c>
      <c r="K97" s="1" t="s">
        <v>1</v>
      </c>
      <c r="L97" s="46" t="str">
        <f>DEC2HEX( COUNTA(M97:Y97),2)</f>
        <v>09</v>
      </c>
      <c r="M97" s="2" t="s">
        <v>71</v>
      </c>
      <c r="N97" s="2" t="s">
        <v>45</v>
      </c>
      <c r="O97" s="2" t="s">
        <v>17</v>
      </c>
      <c r="P97" s="3" t="str">
        <f>LEFT(RIGHT(DEC2HEX(AC97,4),4),2)</f>
        <v>01</v>
      </c>
      <c r="Q97" s="3" t="str">
        <f t="shared" ref="Q97:Q102" si="50">LEFT(RIGHT(DEC2HEX(AC97,4),2),2)</f>
        <v>40</v>
      </c>
      <c r="R97" s="3" t="s">
        <v>227</v>
      </c>
      <c r="S97" s="3"/>
      <c r="T97" s="3" t="str">
        <f t="shared" ref="T97:T102" si="51">LEFT(RIGHT(DEC2HEX(AD97,4),4),2)</f>
        <v>03</v>
      </c>
      <c r="U97" s="3" t="str">
        <f t="shared" ref="U97:U102" si="52">LEFT(RIGHT(DEC2HEX(AD97,4),2),2)</f>
        <v>E8</v>
      </c>
      <c r="V97" s="3" t="s">
        <v>1</v>
      </c>
      <c r="W97" s="228"/>
      <c r="X97" s="228"/>
      <c r="Y97" s="229"/>
      <c r="Z97" s="85" t="str">
        <f>DEC2HEX(MOD(HEX2DEC(K97)+HEX2DEC(L97)+HEX2DEC(M97)+HEX2DEC(N97)+HEX2DEC(O97)+HEX2DEC(P97)+HEX2DEC(Q97)+HEX2DEC(R97)+HEX2DEC(S97)+HEX2DEC(T97)+HEX2DEC(U97)+HEX2DEC(V97)+HEX2DEC(W97)+HEX2DEC(X97)+HEX2DEC(Y97),256),2)</f>
        <v>7F</v>
      </c>
      <c r="AA97" s="10" t="s">
        <v>5</v>
      </c>
      <c r="AC97" s="41">
        <v>320</v>
      </c>
      <c r="AD97" s="41">
        <v>1000</v>
      </c>
    </row>
    <row r="98" spans="1:30" ht="15" hidden="1" outlineLevel="1" thickBot="1" x14ac:dyDescent="0.3">
      <c r="A98" s="349">
        <v>3</v>
      </c>
      <c r="C98" s="55" t="str">
        <f t="shared" si="49"/>
        <v>0x00 0x01 aa 00 09 23 02 12 00 C8 02 01 F4 01 00 55</v>
      </c>
      <c r="D98" s="349"/>
      <c r="H98" s="388" t="s">
        <v>804</v>
      </c>
      <c r="I98" s="336" t="s">
        <v>805</v>
      </c>
      <c r="J98" s="10" t="s">
        <v>0</v>
      </c>
      <c r="K98" s="1" t="s">
        <v>1</v>
      </c>
      <c r="L98" s="46" t="str">
        <f t="shared" ref="L98:L102" si="53">DEC2HEX( COUNTA(M98:Y98),2)</f>
        <v>09</v>
      </c>
      <c r="M98" s="2" t="s">
        <v>71</v>
      </c>
      <c r="N98" s="2" t="s">
        <v>15</v>
      </c>
      <c r="O98" s="2" t="s">
        <v>17</v>
      </c>
      <c r="P98" s="3" t="str">
        <f t="shared" ref="P98:P102" si="54">LEFT(RIGHT(DEC2HEX(AC98,4),4),2)</f>
        <v>00</v>
      </c>
      <c r="Q98" s="3" t="str">
        <f t="shared" si="50"/>
        <v>C8</v>
      </c>
      <c r="R98" s="3" t="s">
        <v>7</v>
      </c>
      <c r="S98" s="3"/>
      <c r="T98" s="3" t="str">
        <f t="shared" si="51"/>
        <v>01</v>
      </c>
      <c r="U98" s="3" t="str">
        <f t="shared" si="52"/>
        <v>F4</v>
      </c>
      <c r="V98" s="3" t="s">
        <v>4</v>
      </c>
      <c r="W98" s="228"/>
      <c r="X98" s="228"/>
      <c r="Y98" s="229"/>
      <c r="Z98" s="85" t="str">
        <f t="shared" ref="Z98:Z102" si="55">DEC2HEX(MOD(HEX2DEC(K98)+HEX2DEC(L98)+HEX2DEC(M98)+HEX2DEC(N98)+HEX2DEC(O98)+HEX2DEC(P98)+HEX2DEC(Q98)+HEX2DEC(R98)+HEX2DEC(S98)+HEX2DEC(T98)+HEX2DEC(U98)+HEX2DEC(V98)+HEX2DEC(W98)+HEX2DEC(X98)+HEX2DEC(Y98),256),2)</f>
        <v>00</v>
      </c>
      <c r="AA98" s="10" t="s">
        <v>5</v>
      </c>
      <c r="AC98" s="41">
        <v>200</v>
      </c>
      <c r="AD98" s="41">
        <v>500</v>
      </c>
    </row>
    <row r="99" spans="1:30" ht="15" hidden="1" outlineLevel="1" thickBot="1" x14ac:dyDescent="0.3">
      <c r="A99" s="349">
        <v>3</v>
      </c>
      <c r="C99" s="55" t="str">
        <f t="shared" si="49"/>
        <v>0x00 0x01 aa 00 09 23 03 12 00 C8 10 01 F4 00 0E 55</v>
      </c>
      <c r="D99" s="349"/>
      <c r="H99" s="388" t="s">
        <v>804</v>
      </c>
      <c r="I99" s="336" t="s">
        <v>805</v>
      </c>
      <c r="J99" s="10" t="s">
        <v>0</v>
      </c>
      <c r="K99" s="1" t="s">
        <v>1</v>
      </c>
      <c r="L99" s="46" t="str">
        <f t="shared" si="53"/>
        <v>09</v>
      </c>
      <c r="M99" s="2" t="s">
        <v>71</v>
      </c>
      <c r="N99" s="2" t="s">
        <v>13</v>
      </c>
      <c r="O99" s="2" t="s">
        <v>17</v>
      </c>
      <c r="P99" s="3" t="str">
        <f t="shared" si="54"/>
        <v>00</v>
      </c>
      <c r="Q99" s="3" t="str">
        <f t="shared" si="50"/>
        <v>C8</v>
      </c>
      <c r="R99" s="3" t="s">
        <v>70</v>
      </c>
      <c r="S99" s="3"/>
      <c r="T99" s="3" t="str">
        <f t="shared" si="51"/>
        <v>01</v>
      </c>
      <c r="U99" s="3" t="str">
        <f t="shared" si="52"/>
        <v>F4</v>
      </c>
      <c r="V99" s="3" t="s">
        <v>1</v>
      </c>
      <c r="W99" s="228"/>
      <c r="X99" s="228"/>
      <c r="Y99" s="229"/>
      <c r="Z99" s="85" t="str">
        <f t="shared" si="55"/>
        <v>0E</v>
      </c>
      <c r="AA99" s="10" t="s">
        <v>5</v>
      </c>
      <c r="AC99" s="41">
        <v>200</v>
      </c>
      <c r="AD99" s="41">
        <v>500</v>
      </c>
    </row>
    <row r="100" spans="1:30" ht="15" hidden="1" outlineLevel="1" thickBot="1" x14ac:dyDescent="0.3">
      <c r="A100" s="349">
        <v>3</v>
      </c>
      <c r="C100" s="55" t="str">
        <f t="shared" si="49"/>
        <v>0x00 0x01 aa 00 09 23 04 12 00 81 05 01 F4 01 BE 55</v>
      </c>
      <c r="D100" s="349"/>
      <c r="H100" s="388" t="s">
        <v>804</v>
      </c>
      <c r="I100" s="336" t="s">
        <v>805</v>
      </c>
      <c r="J100" s="10" t="s">
        <v>0</v>
      </c>
      <c r="K100" s="1" t="s">
        <v>1</v>
      </c>
      <c r="L100" s="46" t="str">
        <f t="shared" si="53"/>
        <v>09</v>
      </c>
      <c r="M100" s="2" t="s">
        <v>71</v>
      </c>
      <c r="N100" s="2" t="s">
        <v>18</v>
      </c>
      <c r="O100" s="2" t="s">
        <v>17</v>
      </c>
      <c r="P100" s="3" t="str">
        <f t="shared" si="54"/>
        <v>00</v>
      </c>
      <c r="Q100" s="3" t="str">
        <f t="shared" si="50"/>
        <v>81</v>
      </c>
      <c r="R100" s="3" t="s">
        <v>9</v>
      </c>
      <c r="S100" s="3"/>
      <c r="T100" s="3" t="str">
        <f t="shared" si="51"/>
        <v>01</v>
      </c>
      <c r="U100" s="3" t="str">
        <f t="shared" si="52"/>
        <v>F4</v>
      </c>
      <c r="V100" s="3" t="s">
        <v>4</v>
      </c>
      <c r="W100" s="228"/>
      <c r="X100" s="228"/>
      <c r="Y100" s="229"/>
      <c r="Z100" s="85" t="str">
        <f t="shared" si="55"/>
        <v>BE</v>
      </c>
      <c r="AA100" s="10" t="s">
        <v>5</v>
      </c>
      <c r="AC100" s="41">
        <v>129</v>
      </c>
      <c r="AD100" s="41">
        <v>500</v>
      </c>
    </row>
    <row r="101" spans="1:30" ht="15" hidden="1" outlineLevel="1" thickBot="1" x14ac:dyDescent="0.3">
      <c r="A101" s="349">
        <v>3</v>
      </c>
      <c r="C101" s="55" t="str">
        <f t="shared" si="49"/>
        <v>0x00 0x01 aa 00 09 23 05 12 00 C8 14 01 F4 01 15 55</v>
      </c>
      <c r="D101" s="349"/>
      <c r="H101" s="388" t="s">
        <v>804</v>
      </c>
      <c r="I101" s="336" t="s">
        <v>805</v>
      </c>
      <c r="J101" s="10" t="s">
        <v>0</v>
      </c>
      <c r="K101" s="1" t="s">
        <v>1</v>
      </c>
      <c r="L101" s="46" t="str">
        <f t="shared" si="53"/>
        <v>09</v>
      </c>
      <c r="M101" s="2" t="s">
        <v>71</v>
      </c>
      <c r="N101" s="2" t="s">
        <v>122</v>
      </c>
      <c r="O101" s="2" t="s">
        <v>17</v>
      </c>
      <c r="P101" s="3" t="str">
        <f t="shared" si="54"/>
        <v>00</v>
      </c>
      <c r="Q101" s="3" t="str">
        <f t="shared" si="50"/>
        <v>C8</v>
      </c>
      <c r="R101" s="3" t="s">
        <v>244</v>
      </c>
      <c r="S101" s="3"/>
      <c r="T101" s="3" t="str">
        <f t="shared" si="51"/>
        <v>01</v>
      </c>
      <c r="U101" s="3" t="str">
        <f t="shared" si="52"/>
        <v>F4</v>
      </c>
      <c r="V101" s="3" t="s">
        <v>4</v>
      </c>
      <c r="W101" s="228"/>
      <c r="X101" s="228"/>
      <c r="Y101" s="229"/>
      <c r="Z101" s="85" t="str">
        <f t="shared" si="55"/>
        <v>15</v>
      </c>
      <c r="AA101" s="10" t="s">
        <v>5</v>
      </c>
      <c r="AC101" s="41">
        <v>200</v>
      </c>
      <c r="AD101" s="41">
        <v>500</v>
      </c>
    </row>
    <row r="102" spans="1:30" ht="15" hidden="1" outlineLevel="1" thickBot="1" x14ac:dyDescent="0.3">
      <c r="A102" s="349">
        <v>3</v>
      </c>
      <c r="C102" s="55" t="str">
        <f t="shared" si="49"/>
        <v>0x00 0x01 aa 00 09 23 06 12 00 C8 0a 01 F4 01 0C 55</v>
      </c>
      <c r="D102" s="349"/>
      <c r="H102" s="388" t="s">
        <v>804</v>
      </c>
      <c r="I102" s="336" t="s">
        <v>805</v>
      </c>
      <c r="J102" s="10" t="s">
        <v>0</v>
      </c>
      <c r="K102" s="1" t="s">
        <v>1</v>
      </c>
      <c r="L102" s="46" t="str">
        <f t="shared" si="53"/>
        <v>09</v>
      </c>
      <c r="M102" s="2" t="s">
        <v>71</v>
      </c>
      <c r="N102" s="2" t="s">
        <v>123</v>
      </c>
      <c r="O102" s="2" t="s">
        <v>17</v>
      </c>
      <c r="P102" s="3" t="str">
        <f t="shared" si="54"/>
        <v>00</v>
      </c>
      <c r="Q102" s="3" t="str">
        <f t="shared" si="50"/>
        <v>C8</v>
      </c>
      <c r="R102" s="3" t="s">
        <v>238</v>
      </c>
      <c r="S102" s="3"/>
      <c r="T102" s="3" t="str">
        <f t="shared" si="51"/>
        <v>01</v>
      </c>
      <c r="U102" s="3" t="str">
        <f t="shared" si="52"/>
        <v>F4</v>
      </c>
      <c r="V102" s="3" t="s">
        <v>4</v>
      </c>
      <c r="W102" s="228"/>
      <c r="X102" s="228"/>
      <c r="Y102" s="229"/>
      <c r="Z102" s="85" t="str">
        <f t="shared" si="55"/>
        <v>0C</v>
      </c>
      <c r="AA102" s="10" t="s">
        <v>5</v>
      </c>
      <c r="AC102" s="41">
        <v>200</v>
      </c>
      <c r="AD102" s="41">
        <v>500</v>
      </c>
    </row>
    <row r="103" spans="1:30" hidden="1" outlineLevel="1" x14ac:dyDescent="0.25"/>
    <row r="104" spans="1:30" hidden="1" outlineLevel="1" x14ac:dyDescent="0.25">
      <c r="A104" s="338">
        <v>2</v>
      </c>
      <c r="C104" s="473" t="s">
        <v>240</v>
      </c>
      <c r="D104" s="473"/>
      <c r="H104" s="388" t="s">
        <v>804</v>
      </c>
      <c r="I104" s="336" t="s">
        <v>805</v>
      </c>
      <c r="J104" s="10" t="s">
        <v>0</v>
      </c>
      <c r="K104" s="1" t="s">
        <v>1</v>
      </c>
      <c r="L104" s="75" t="str">
        <f>DEC2HEX( COUNTA(M104:Y104),2)</f>
        <v>09</v>
      </c>
      <c r="M104" s="2" t="s">
        <v>71</v>
      </c>
      <c r="N104" s="2" t="s">
        <v>4</v>
      </c>
      <c r="O104" s="2" t="s">
        <v>17</v>
      </c>
      <c r="P104" s="3" t="str">
        <f t="shared" ref="P104:P109" si="56">LEFT(RIGHT(DEC2HEX(AC104,4),4),2)</f>
        <v>FD</v>
      </c>
      <c r="Q104" s="3" t="str">
        <f t="shared" ref="Q104:Q109" si="57">LEFT(RIGHT(DEC2HEX(AC104,4),2),2)</f>
        <v>A8</v>
      </c>
      <c r="R104" s="3" t="s">
        <v>244</v>
      </c>
      <c r="S104" s="3"/>
      <c r="T104" s="3" t="str">
        <f t="shared" ref="T104:T109" si="58">LEFT(RIGHT(DEC2HEX(AD104,4),4),2)</f>
        <v>01</v>
      </c>
      <c r="U104" s="3" t="str">
        <f t="shared" ref="U104:U109" si="59">LEFT(RIGHT(DEC2HEX(AD104,4),2),2)</f>
        <v>F4</v>
      </c>
      <c r="V104" s="3" t="s">
        <v>1</v>
      </c>
      <c r="W104" s="228"/>
      <c r="X104" s="228"/>
      <c r="Y104" s="229"/>
      <c r="Z104" s="84" t="str">
        <f>DEC2HEX(MOD(HEX2DEC(K104)+HEX2DEC(L104)+HEX2DEC(M104)+HEX2DEC(N104)+HEX2DEC(O104)+HEX2DEC(P104)+HEX2DEC(Q104)+HEX2DEC(R104)+HEX2DEC(S104)+HEX2DEC(T104)+HEX2DEC(U104)+HEX2DEC(V104)+HEX2DEC(W104)+HEX2DEC(X104)+HEX2DEC(Y104),256),2)</f>
        <v>ED</v>
      </c>
      <c r="AA104" s="11" t="s">
        <v>5</v>
      </c>
      <c r="AC104" s="41">
        <v>-600</v>
      </c>
      <c r="AD104" s="41">
        <v>500</v>
      </c>
    </row>
    <row r="105" spans="1:30" hidden="1" outlineLevel="1" x14ac:dyDescent="0.25">
      <c r="A105" s="349">
        <v>3</v>
      </c>
      <c r="C105" s="55" t="str">
        <f t="shared" ref="C105:C109" si="60">IF(ISBLANK(H105),,H105&amp;" ")&amp;IF(ISBLANK(I105),,I105&amp;" ")&amp;IF(ISBLANK(J105),,J105&amp;" ")&amp;IF(ISBLANK(K105),,K105&amp;" ")&amp;IF(ISBLANK(L105),,L105&amp;" ")&amp;IF(ISBLANK(M105),,M105&amp;" ")&amp;IF(ISBLANK(N105),,N105&amp;" ")&amp;IF(ISBLANK(O105),,O105&amp;" ")&amp;IF(ISBLANK(P105),,P105&amp;" ")&amp;IF(ISBLANK(Q105),,Q105&amp;" ")&amp;IF(ISBLANK(R105),,R105&amp;" ")&amp;IF(ISBLANK(S105),,S105&amp;" ")&amp;IF(ISBLANK(T105),,T105&amp;" ")&amp;IF(ISBLANK(U105),,U105&amp;" ")&amp;IF(ISBLANK(V105),,V105&amp;" ")&amp;IF(ISBLANK(W105),,W105&amp;" ")&amp;IF(ISBLANK(X105),,X105&amp;" ")&amp;IF(ISBLANK(Y105),,Y105&amp;" ")&amp;IF(ISBLANK(Z105),,Z105&amp;" ")&amp;IF(ISBLANK(AA105),,AA105)</f>
        <v>0x00 0x01 aa 00 09 23 02 12 FF 9C 0a 01 F4 00 DA 55</v>
      </c>
      <c r="D105" s="349" t="s">
        <v>240</v>
      </c>
      <c r="H105" s="388" t="s">
        <v>804</v>
      </c>
      <c r="I105" s="336" t="s">
        <v>805</v>
      </c>
      <c r="J105" s="10" t="s">
        <v>0</v>
      </c>
      <c r="K105" s="1" t="s">
        <v>1</v>
      </c>
      <c r="L105" s="75" t="str">
        <f t="shared" ref="L105:L109" si="61">DEC2HEX( COUNTA(M105:Y105),2)</f>
        <v>09</v>
      </c>
      <c r="M105" s="2" t="s">
        <v>71</v>
      </c>
      <c r="N105" s="2" t="s">
        <v>15</v>
      </c>
      <c r="O105" s="2" t="s">
        <v>17</v>
      </c>
      <c r="P105" s="3" t="str">
        <f t="shared" si="56"/>
        <v>FF</v>
      </c>
      <c r="Q105" s="3" t="str">
        <f t="shared" si="57"/>
        <v>9C</v>
      </c>
      <c r="R105" s="3" t="s">
        <v>238</v>
      </c>
      <c r="S105" s="3"/>
      <c r="T105" s="3" t="str">
        <f t="shared" si="58"/>
        <v>01</v>
      </c>
      <c r="U105" s="3" t="str">
        <f t="shared" si="59"/>
        <v>F4</v>
      </c>
      <c r="V105" s="3" t="s">
        <v>1</v>
      </c>
      <c r="W105" s="228"/>
      <c r="X105" s="228"/>
      <c r="Y105" s="229"/>
      <c r="Z105" s="84" t="str">
        <f t="shared" ref="Z105:Z109" si="62">DEC2HEX(MOD(HEX2DEC(K105)+HEX2DEC(L105)+HEX2DEC(M105)+HEX2DEC(N105)+HEX2DEC(O105)+HEX2DEC(P105)+HEX2DEC(Q105)+HEX2DEC(R105)+HEX2DEC(S105)+HEX2DEC(T105)+HEX2DEC(U105)+HEX2DEC(V105)+HEX2DEC(W105)+HEX2DEC(X105)+HEX2DEC(Y105),256),2)</f>
        <v>DA</v>
      </c>
      <c r="AA105" s="11" t="s">
        <v>5</v>
      </c>
      <c r="AC105" s="41">
        <v>-100</v>
      </c>
      <c r="AD105" s="41">
        <v>500</v>
      </c>
    </row>
    <row r="106" spans="1:30" hidden="1" outlineLevel="1" x14ac:dyDescent="0.25">
      <c r="A106" s="349">
        <v>3</v>
      </c>
      <c r="C106" s="55" t="str">
        <f t="shared" si="60"/>
        <v>0x00 0x01 aa 00 09 23 03 12 FF 9C 0a 01 F4 00 DB 55</v>
      </c>
      <c r="D106" s="349"/>
      <c r="H106" s="388" t="s">
        <v>804</v>
      </c>
      <c r="I106" s="336" t="s">
        <v>805</v>
      </c>
      <c r="J106" s="10" t="s">
        <v>0</v>
      </c>
      <c r="K106" s="1" t="s">
        <v>1</v>
      </c>
      <c r="L106" s="75" t="str">
        <f t="shared" si="61"/>
        <v>09</v>
      </c>
      <c r="M106" s="2" t="s">
        <v>71</v>
      </c>
      <c r="N106" s="2" t="s">
        <v>13</v>
      </c>
      <c r="O106" s="2" t="s">
        <v>17</v>
      </c>
      <c r="P106" s="3" t="str">
        <f t="shared" si="56"/>
        <v>FF</v>
      </c>
      <c r="Q106" s="3" t="str">
        <f t="shared" si="57"/>
        <v>9C</v>
      </c>
      <c r="R106" s="3" t="s">
        <v>238</v>
      </c>
      <c r="S106" s="3"/>
      <c r="T106" s="3" t="str">
        <f t="shared" si="58"/>
        <v>01</v>
      </c>
      <c r="U106" s="3" t="str">
        <f t="shared" si="59"/>
        <v>F4</v>
      </c>
      <c r="V106" s="3" t="s">
        <v>1</v>
      </c>
      <c r="W106" s="228"/>
      <c r="X106" s="228"/>
      <c r="Y106" s="229"/>
      <c r="Z106" s="84" t="str">
        <f t="shared" si="62"/>
        <v>DB</v>
      </c>
      <c r="AA106" s="11" t="s">
        <v>5</v>
      </c>
      <c r="AC106" s="41">
        <v>-100</v>
      </c>
      <c r="AD106" s="41">
        <v>500</v>
      </c>
    </row>
    <row r="107" spans="1:30" hidden="1" outlineLevel="1" x14ac:dyDescent="0.25">
      <c r="A107" s="349">
        <v>3</v>
      </c>
      <c r="C107" s="55" t="str">
        <f t="shared" si="60"/>
        <v>0x00 0x01 aa 00 09 23 04 12 FD A8 0a 01 F4 00 E6 55</v>
      </c>
      <c r="D107" s="349"/>
      <c r="H107" s="388" t="s">
        <v>804</v>
      </c>
      <c r="I107" s="336" t="s">
        <v>805</v>
      </c>
      <c r="J107" s="10" t="s">
        <v>0</v>
      </c>
      <c r="K107" s="1" t="s">
        <v>1</v>
      </c>
      <c r="L107" s="75" t="str">
        <f t="shared" si="61"/>
        <v>09</v>
      </c>
      <c r="M107" s="2" t="s">
        <v>71</v>
      </c>
      <c r="N107" s="2" t="s">
        <v>18</v>
      </c>
      <c r="O107" s="2" t="s">
        <v>17</v>
      </c>
      <c r="P107" s="3" t="str">
        <f t="shared" si="56"/>
        <v>FD</v>
      </c>
      <c r="Q107" s="3" t="str">
        <f t="shared" si="57"/>
        <v>A8</v>
      </c>
      <c r="R107" s="3" t="s">
        <v>238</v>
      </c>
      <c r="S107" s="3"/>
      <c r="T107" s="3" t="str">
        <f t="shared" si="58"/>
        <v>01</v>
      </c>
      <c r="U107" s="3" t="str">
        <f t="shared" si="59"/>
        <v>F4</v>
      </c>
      <c r="V107" s="3" t="s">
        <v>1</v>
      </c>
      <c r="W107" s="228"/>
      <c r="X107" s="228"/>
      <c r="Y107" s="229"/>
      <c r="Z107" s="84" t="str">
        <f t="shared" si="62"/>
        <v>E6</v>
      </c>
      <c r="AA107" s="11" t="s">
        <v>5</v>
      </c>
      <c r="AC107" s="41">
        <v>-600</v>
      </c>
      <c r="AD107" s="41">
        <v>500</v>
      </c>
    </row>
    <row r="108" spans="1:30" hidden="1" outlineLevel="1" x14ac:dyDescent="0.25">
      <c r="A108" s="349">
        <v>3</v>
      </c>
      <c r="C108" s="55" t="str">
        <f t="shared" si="60"/>
        <v>0x00 0x01 aa 00 09 23 05 12 FF B0 0a 01 F4 01 F2 55</v>
      </c>
      <c r="D108" s="349"/>
      <c r="H108" s="388" t="s">
        <v>804</v>
      </c>
      <c r="I108" s="336" t="s">
        <v>805</v>
      </c>
      <c r="J108" s="10" t="s">
        <v>0</v>
      </c>
      <c r="K108" s="1" t="s">
        <v>1</v>
      </c>
      <c r="L108" s="75" t="str">
        <f t="shared" si="61"/>
        <v>09</v>
      </c>
      <c r="M108" s="2" t="s">
        <v>71</v>
      </c>
      <c r="N108" s="2" t="s">
        <v>122</v>
      </c>
      <c r="O108" s="2" t="s">
        <v>17</v>
      </c>
      <c r="P108" s="3" t="str">
        <f t="shared" si="56"/>
        <v>FF</v>
      </c>
      <c r="Q108" s="3" t="str">
        <f t="shared" si="57"/>
        <v>B0</v>
      </c>
      <c r="R108" s="3" t="s">
        <v>238</v>
      </c>
      <c r="S108" s="3"/>
      <c r="T108" s="3" t="str">
        <f t="shared" si="58"/>
        <v>01</v>
      </c>
      <c r="U108" s="3" t="str">
        <f t="shared" si="59"/>
        <v>F4</v>
      </c>
      <c r="V108" s="3" t="s">
        <v>4</v>
      </c>
      <c r="W108" s="228"/>
      <c r="X108" s="228"/>
      <c r="Y108" s="229"/>
      <c r="Z108" s="84" t="str">
        <f t="shared" si="62"/>
        <v>F2</v>
      </c>
      <c r="AA108" s="11" t="s">
        <v>5</v>
      </c>
      <c r="AC108" s="41">
        <v>-80</v>
      </c>
      <c r="AD108" s="41">
        <v>500</v>
      </c>
    </row>
    <row r="109" spans="1:30" hidden="1" outlineLevel="1" x14ac:dyDescent="0.25">
      <c r="A109" s="349">
        <v>3</v>
      </c>
      <c r="C109" s="55" t="str">
        <f t="shared" si="60"/>
        <v>0x00 0x01 aa 00 09 23 06 12 FF 9C 0a 01 F4 00 DE 55</v>
      </c>
      <c r="D109" s="349"/>
      <c r="H109" s="388" t="s">
        <v>804</v>
      </c>
      <c r="I109" s="336" t="s">
        <v>805</v>
      </c>
      <c r="J109" s="10" t="s">
        <v>0</v>
      </c>
      <c r="K109" s="1" t="s">
        <v>1</v>
      </c>
      <c r="L109" s="75" t="str">
        <f t="shared" si="61"/>
        <v>09</v>
      </c>
      <c r="M109" s="2" t="s">
        <v>71</v>
      </c>
      <c r="N109" s="2" t="s">
        <v>123</v>
      </c>
      <c r="O109" s="2" t="s">
        <v>17</v>
      </c>
      <c r="P109" s="3" t="str">
        <f t="shared" si="56"/>
        <v>FF</v>
      </c>
      <c r="Q109" s="3" t="str">
        <f t="shared" si="57"/>
        <v>9C</v>
      </c>
      <c r="R109" s="3" t="s">
        <v>238</v>
      </c>
      <c r="S109" s="3"/>
      <c r="T109" s="3" t="str">
        <f t="shared" si="58"/>
        <v>01</v>
      </c>
      <c r="U109" s="3" t="str">
        <f t="shared" si="59"/>
        <v>F4</v>
      </c>
      <c r="V109" s="3" t="s">
        <v>1</v>
      </c>
      <c r="W109" s="228"/>
      <c r="X109" s="228"/>
      <c r="Y109" s="229"/>
      <c r="Z109" s="84" t="str">
        <f t="shared" si="62"/>
        <v>DE</v>
      </c>
      <c r="AA109" s="11" t="s">
        <v>5</v>
      </c>
      <c r="AC109" s="256">
        <v>-100</v>
      </c>
      <c r="AD109" s="256">
        <v>500</v>
      </c>
    </row>
    <row r="110" spans="1:30" hidden="1" outlineLevel="1" x14ac:dyDescent="0.25"/>
    <row r="111" spans="1:30" hidden="1" outlineLevel="1" x14ac:dyDescent="0.25">
      <c r="A111" s="338">
        <v>2</v>
      </c>
      <c r="C111" s="473" t="s">
        <v>820</v>
      </c>
      <c r="D111" s="473"/>
      <c r="H111" s="383"/>
      <c r="I111" s="351"/>
      <c r="J111" s="211"/>
      <c r="K111" s="9"/>
      <c r="L111" s="9"/>
      <c r="M111" s="8"/>
      <c r="N111" s="101" t="s">
        <v>86</v>
      </c>
      <c r="O111" s="8"/>
      <c r="P111" s="458" t="s">
        <v>242</v>
      </c>
      <c r="Q111" s="476"/>
      <c r="R111" s="7" t="s">
        <v>73</v>
      </c>
      <c r="S111" s="7"/>
      <c r="T111" s="458" t="s">
        <v>74</v>
      </c>
      <c r="U111" s="459"/>
      <c r="V111" s="7" t="s">
        <v>75</v>
      </c>
      <c r="W111" s="225"/>
      <c r="X111" s="226"/>
      <c r="Y111" s="227"/>
      <c r="Z111" s="227" t="s">
        <v>81</v>
      </c>
      <c r="AA111" s="9"/>
      <c r="AC111" s="149" t="s">
        <v>76</v>
      </c>
    </row>
    <row r="112" spans="1:30" hidden="1" outlineLevel="1" x14ac:dyDescent="0.25">
      <c r="A112" s="349">
        <v>3</v>
      </c>
      <c r="C112" s="55" t="str">
        <f t="shared" ref="C112:C122" si="63">IF(ISBLANK(H112),,H112&amp;" ")&amp;IF(ISBLANK(I112),,I112&amp;" ")&amp;IF(ISBLANK(J112),,J112&amp;" ")&amp;IF(ISBLANK(K112),,K112&amp;" ")&amp;IF(ISBLANK(L112),,L112&amp;" ")&amp;IF(ISBLANK(M112),,M112&amp;" ")&amp;IF(ISBLANK(N112),,N112&amp;" ")&amp;IF(ISBLANK(O112),,O112&amp;" ")&amp;IF(ISBLANK(P112),,P112&amp;" ")&amp;IF(ISBLANK(Q112),,Q112&amp;" ")&amp;IF(ISBLANK(R112),,R112&amp;" ")&amp;IF(ISBLANK(S112),,S112&amp;" ")&amp;IF(ISBLANK(T112),,T112&amp;" ")&amp;IF(ISBLANK(U112),,U112&amp;" ")&amp;IF(ISBLANK(V112),,V112&amp;" ")&amp;IF(ISBLANK(W112),,W112&amp;" ")&amp;IF(ISBLANK(X112),,X112&amp;" ")&amp;IF(ISBLANK(Y112),,Y112&amp;" ")&amp;IF(ISBLANK(Z112),,Z112&amp;" ")&amp;IF(ISBLANK(AA112),,AA112)</f>
        <v>0x00 0x01 aa 00 08 23 02 11 01 10 03 E8 00 3A 55</v>
      </c>
      <c r="D112" s="354" t="s">
        <v>528</v>
      </c>
      <c r="H112" s="388" t="s">
        <v>804</v>
      </c>
      <c r="I112" s="336" t="s">
        <v>805</v>
      </c>
      <c r="J112" s="10" t="s">
        <v>0</v>
      </c>
      <c r="K112" s="1" t="s">
        <v>1</v>
      </c>
      <c r="L112" s="75" t="str">
        <f t="shared" ref="L112:L123" si="64">DEC2HEX( COUNTA(M112:Y112),2)</f>
        <v>08</v>
      </c>
      <c r="M112" s="2" t="s">
        <v>71</v>
      </c>
      <c r="N112" s="2" t="s">
        <v>7</v>
      </c>
      <c r="O112" s="2" t="s">
        <v>28</v>
      </c>
      <c r="P112" s="460" t="s">
        <v>4</v>
      </c>
      <c r="Q112" s="461"/>
      <c r="R112" s="3" t="s">
        <v>70</v>
      </c>
      <c r="S112" s="3"/>
      <c r="T112" s="3" t="str">
        <f t="shared" ref="T112:T123" si="65">LEFT(RIGHT(DEC2HEX(AC112,4),4),2)</f>
        <v>03</v>
      </c>
      <c r="U112" s="3" t="str">
        <f t="shared" ref="U112:U123" si="66">LEFT(RIGHT(DEC2HEX(AC112,4),2),2)</f>
        <v>E8</v>
      </c>
      <c r="V112" s="3" t="s">
        <v>1</v>
      </c>
      <c r="W112" s="228"/>
      <c r="X112" s="228"/>
      <c r="Y112" s="229"/>
      <c r="Z112" s="84" t="str">
        <f>DEC2HEX(MOD(HEX2DEC(K112)+HEX2DEC(L112)+HEX2DEC(M112)+HEX2DEC(N112)+HEX2DEC(O112)+HEX2DEC(P112)+HEX2DEC(Q112)+HEX2DEC(R112)+HEX2DEC(S112)+HEX2DEC(T112)+HEX2DEC(U112)+HEX2DEC(V112)+HEX2DEC(W112)+HEX2DEC(X112)+HEX2DEC(Y112),256),2)</f>
        <v>3A</v>
      </c>
      <c r="AA112" s="11" t="s">
        <v>5</v>
      </c>
      <c r="AC112" s="41">
        <v>1000</v>
      </c>
    </row>
    <row r="113" spans="1:29" hidden="1" outlineLevel="1" x14ac:dyDescent="0.25">
      <c r="A113" s="349">
        <v>3</v>
      </c>
      <c r="C113" s="55" t="str">
        <f t="shared" si="63"/>
        <v>0x00 0x01 aa 00 08 23 02 11 02 10 03 E8 00 3B 55</v>
      </c>
      <c r="D113" s="354" t="s">
        <v>529</v>
      </c>
      <c r="H113" s="388" t="s">
        <v>804</v>
      </c>
      <c r="I113" s="336" t="s">
        <v>805</v>
      </c>
      <c r="J113" s="10" t="s">
        <v>0</v>
      </c>
      <c r="K113" s="1" t="s">
        <v>1</v>
      </c>
      <c r="L113" s="75" t="str">
        <f t="shared" si="64"/>
        <v>08</v>
      </c>
      <c r="M113" s="2" t="s">
        <v>71</v>
      </c>
      <c r="N113" s="2" t="s">
        <v>7</v>
      </c>
      <c r="O113" s="2" t="s">
        <v>28</v>
      </c>
      <c r="P113" s="460" t="s">
        <v>15</v>
      </c>
      <c r="Q113" s="461"/>
      <c r="R113" s="3" t="s">
        <v>70</v>
      </c>
      <c r="S113" s="3"/>
      <c r="T113" s="3" t="str">
        <f t="shared" si="65"/>
        <v>03</v>
      </c>
      <c r="U113" s="3" t="str">
        <f t="shared" si="66"/>
        <v>E8</v>
      </c>
      <c r="V113" s="3" t="s">
        <v>1</v>
      </c>
      <c r="W113" s="228"/>
      <c r="X113" s="228"/>
      <c r="Y113" s="229"/>
      <c r="Z113" s="84" t="str">
        <f t="shared" ref="Z113:Z123" si="67">DEC2HEX(MOD(HEX2DEC(K113)+HEX2DEC(L113)+HEX2DEC(M113)+HEX2DEC(N113)+HEX2DEC(O113)+HEX2DEC(P113)+HEX2DEC(Q113)+HEX2DEC(R113)+HEX2DEC(S113)+HEX2DEC(T113)+HEX2DEC(U113)+HEX2DEC(V113)+HEX2DEC(W113)+HEX2DEC(X113)+HEX2DEC(Y113),256),2)</f>
        <v>3B</v>
      </c>
      <c r="AA113" s="11" t="s">
        <v>5</v>
      </c>
      <c r="AC113" s="41">
        <v>1000</v>
      </c>
    </row>
    <row r="114" spans="1:29" hidden="1" outlineLevel="1" x14ac:dyDescent="0.25">
      <c r="A114" s="349">
        <v>3</v>
      </c>
      <c r="C114" s="55" t="str">
        <f t="shared" si="63"/>
        <v>0x00 0x01 aa 00 08 23 02 11 03 10 03 E8 00 3C 55</v>
      </c>
      <c r="D114" s="354" t="s">
        <v>530</v>
      </c>
      <c r="H114" s="388" t="s">
        <v>804</v>
      </c>
      <c r="I114" s="336" t="s">
        <v>805</v>
      </c>
      <c r="J114" s="10" t="s">
        <v>0</v>
      </c>
      <c r="K114" s="1" t="s">
        <v>1</v>
      </c>
      <c r="L114" s="75" t="str">
        <f t="shared" si="64"/>
        <v>08</v>
      </c>
      <c r="M114" s="2" t="s">
        <v>71</v>
      </c>
      <c r="N114" s="2" t="s">
        <v>7</v>
      </c>
      <c r="O114" s="2" t="s">
        <v>28</v>
      </c>
      <c r="P114" s="460" t="s">
        <v>13</v>
      </c>
      <c r="Q114" s="461"/>
      <c r="R114" s="3" t="s">
        <v>70</v>
      </c>
      <c r="S114" s="3"/>
      <c r="T114" s="3" t="str">
        <f t="shared" si="65"/>
        <v>03</v>
      </c>
      <c r="U114" s="3" t="str">
        <f t="shared" si="66"/>
        <v>E8</v>
      </c>
      <c r="V114" s="3" t="s">
        <v>1</v>
      </c>
      <c r="W114" s="228"/>
      <c r="X114" s="228"/>
      <c r="Y114" s="229"/>
      <c r="Z114" s="84" t="str">
        <f t="shared" si="67"/>
        <v>3C</v>
      </c>
      <c r="AA114" s="11" t="s">
        <v>5</v>
      </c>
      <c r="AC114" s="41">
        <v>1000</v>
      </c>
    </row>
    <row r="115" spans="1:29" hidden="1" outlineLevel="1" x14ac:dyDescent="0.25">
      <c r="A115" s="349">
        <v>3</v>
      </c>
      <c r="C115" s="55" t="str">
        <f t="shared" si="63"/>
        <v>0x00 0x01 aa 00 08 23 02 11 04 10 03 E8 00 3D 55</v>
      </c>
      <c r="D115" s="354" t="s">
        <v>531</v>
      </c>
      <c r="H115" s="388" t="s">
        <v>804</v>
      </c>
      <c r="I115" s="336" t="s">
        <v>805</v>
      </c>
      <c r="J115" s="10" t="s">
        <v>0</v>
      </c>
      <c r="K115" s="1" t="s">
        <v>1</v>
      </c>
      <c r="L115" s="75" t="str">
        <f t="shared" si="64"/>
        <v>08</v>
      </c>
      <c r="M115" s="2" t="s">
        <v>71</v>
      </c>
      <c r="N115" s="2" t="s">
        <v>7</v>
      </c>
      <c r="O115" s="2" t="s">
        <v>28</v>
      </c>
      <c r="P115" s="460" t="s">
        <v>18</v>
      </c>
      <c r="Q115" s="461"/>
      <c r="R115" s="3" t="s">
        <v>70</v>
      </c>
      <c r="S115" s="3"/>
      <c r="T115" s="3" t="str">
        <f t="shared" si="65"/>
        <v>03</v>
      </c>
      <c r="U115" s="3" t="str">
        <f t="shared" si="66"/>
        <v>E8</v>
      </c>
      <c r="V115" s="3" t="s">
        <v>1</v>
      </c>
      <c r="W115" s="228"/>
      <c r="X115" s="228"/>
      <c r="Y115" s="229"/>
      <c r="Z115" s="84" t="str">
        <f t="shared" si="67"/>
        <v>3D</v>
      </c>
      <c r="AA115" s="11" t="s">
        <v>5</v>
      </c>
      <c r="AC115" s="41">
        <v>1000</v>
      </c>
    </row>
    <row r="116" spans="1:29" hidden="1" outlineLevel="1" x14ac:dyDescent="0.25">
      <c r="A116" s="349">
        <v>3</v>
      </c>
      <c r="C116" s="55" t="str">
        <f t="shared" si="63"/>
        <v>0x00 0x01 aa 00 08 23 02 11 05 10 03 E8 00 3E 55</v>
      </c>
      <c r="D116" s="354" t="s">
        <v>532</v>
      </c>
      <c r="H116" s="388" t="s">
        <v>804</v>
      </c>
      <c r="I116" s="336" t="s">
        <v>805</v>
      </c>
      <c r="J116" s="10" t="s">
        <v>0</v>
      </c>
      <c r="K116" s="1" t="s">
        <v>1</v>
      </c>
      <c r="L116" s="75" t="str">
        <f t="shared" si="64"/>
        <v>08</v>
      </c>
      <c r="M116" s="2" t="s">
        <v>71</v>
      </c>
      <c r="N116" s="2" t="s">
        <v>7</v>
      </c>
      <c r="O116" s="2" t="s">
        <v>28</v>
      </c>
      <c r="P116" s="460" t="s">
        <v>122</v>
      </c>
      <c r="Q116" s="461"/>
      <c r="R116" s="3" t="s">
        <v>70</v>
      </c>
      <c r="S116" s="3"/>
      <c r="T116" s="3" t="str">
        <f t="shared" si="65"/>
        <v>03</v>
      </c>
      <c r="U116" s="3" t="str">
        <f t="shared" si="66"/>
        <v>E8</v>
      </c>
      <c r="V116" s="3" t="s">
        <v>1</v>
      </c>
      <c r="W116" s="228"/>
      <c r="X116" s="228"/>
      <c r="Y116" s="229"/>
      <c r="Z116" s="84" t="str">
        <f t="shared" si="67"/>
        <v>3E</v>
      </c>
      <c r="AA116" s="11" t="s">
        <v>5</v>
      </c>
      <c r="AC116" s="41">
        <v>1000</v>
      </c>
    </row>
    <row r="117" spans="1:29" hidden="1" outlineLevel="1" x14ac:dyDescent="0.25">
      <c r="A117" s="349">
        <v>3</v>
      </c>
      <c r="C117" s="55" t="str">
        <f t="shared" si="63"/>
        <v>0x00 0x01 aa 00 08 23 02 11 06 10 03 E8 00 3F 55</v>
      </c>
      <c r="D117" s="354" t="s">
        <v>533</v>
      </c>
      <c r="H117" s="388" t="s">
        <v>804</v>
      </c>
      <c r="I117" s="336" t="s">
        <v>805</v>
      </c>
      <c r="J117" s="10" t="s">
        <v>0</v>
      </c>
      <c r="K117" s="1" t="s">
        <v>1</v>
      </c>
      <c r="L117" s="75" t="str">
        <f t="shared" si="64"/>
        <v>08</v>
      </c>
      <c r="M117" s="2" t="s">
        <v>71</v>
      </c>
      <c r="N117" s="2" t="s">
        <v>7</v>
      </c>
      <c r="O117" s="2" t="s">
        <v>28</v>
      </c>
      <c r="P117" s="460" t="s">
        <v>123</v>
      </c>
      <c r="Q117" s="461"/>
      <c r="R117" s="3" t="s">
        <v>70</v>
      </c>
      <c r="S117" s="3"/>
      <c r="T117" s="3" t="str">
        <f t="shared" si="65"/>
        <v>03</v>
      </c>
      <c r="U117" s="3" t="str">
        <f t="shared" si="66"/>
        <v>E8</v>
      </c>
      <c r="V117" s="3" t="s">
        <v>1</v>
      </c>
      <c r="W117" s="228"/>
      <c r="X117" s="228"/>
      <c r="Y117" s="229"/>
      <c r="Z117" s="84" t="str">
        <f t="shared" si="67"/>
        <v>3F</v>
      </c>
      <c r="AA117" s="11" t="s">
        <v>5</v>
      </c>
      <c r="AC117" s="41">
        <v>1000</v>
      </c>
    </row>
    <row r="118" spans="1:29" hidden="1" outlineLevel="1" x14ac:dyDescent="0.25">
      <c r="A118" s="349">
        <v>3</v>
      </c>
      <c r="C118" s="55" t="str">
        <f t="shared" si="63"/>
        <v>0x00 0x01 aa 00 08 23 02 11 07 10 03 E8 00 40 55</v>
      </c>
      <c r="D118" s="354" t="s">
        <v>695</v>
      </c>
      <c r="H118" s="388" t="s">
        <v>804</v>
      </c>
      <c r="I118" s="336" t="s">
        <v>805</v>
      </c>
      <c r="J118" s="10" t="s">
        <v>0</v>
      </c>
      <c r="K118" s="1" t="s">
        <v>1</v>
      </c>
      <c r="L118" s="75" t="str">
        <f t="shared" si="64"/>
        <v>08</v>
      </c>
      <c r="M118" s="2" t="s">
        <v>71</v>
      </c>
      <c r="N118" s="2" t="s">
        <v>7</v>
      </c>
      <c r="O118" s="2" t="s">
        <v>28</v>
      </c>
      <c r="P118" s="460" t="s">
        <v>124</v>
      </c>
      <c r="Q118" s="461"/>
      <c r="R118" s="3" t="s">
        <v>70</v>
      </c>
      <c r="S118" s="3"/>
      <c r="T118" s="3" t="str">
        <f t="shared" si="65"/>
        <v>03</v>
      </c>
      <c r="U118" s="3" t="str">
        <f t="shared" si="66"/>
        <v>E8</v>
      </c>
      <c r="V118" s="3" t="s">
        <v>1</v>
      </c>
      <c r="W118" s="228"/>
      <c r="X118" s="228"/>
      <c r="Y118" s="229"/>
      <c r="Z118" s="84" t="str">
        <f t="shared" si="67"/>
        <v>40</v>
      </c>
      <c r="AA118" s="11" t="s">
        <v>5</v>
      </c>
      <c r="AC118" s="41">
        <v>1000</v>
      </c>
    </row>
    <row r="119" spans="1:29" hidden="1" outlineLevel="1" x14ac:dyDescent="0.25">
      <c r="A119" s="349">
        <v>3</v>
      </c>
      <c r="C119" s="55" t="str">
        <f t="shared" si="63"/>
        <v>0x00 0x01 aa 00 08 23 02 11 08 10 03 E8 00 41 55</v>
      </c>
      <c r="D119" s="354" t="s">
        <v>534</v>
      </c>
      <c r="H119" s="388" t="s">
        <v>804</v>
      </c>
      <c r="I119" s="336" t="s">
        <v>805</v>
      </c>
      <c r="J119" s="10" t="s">
        <v>0</v>
      </c>
      <c r="K119" s="1" t="s">
        <v>1</v>
      </c>
      <c r="L119" s="75" t="str">
        <f t="shared" si="64"/>
        <v>08</v>
      </c>
      <c r="M119" s="2" t="s">
        <v>71</v>
      </c>
      <c r="N119" s="2" t="s">
        <v>7</v>
      </c>
      <c r="O119" s="2" t="s">
        <v>28</v>
      </c>
      <c r="P119" s="460" t="s">
        <v>125</v>
      </c>
      <c r="Q119" s="461"/>
      <c r="R119" s="3" t="s">
        <v>70</v>
      </c>
      <c r="S119" s="3"/>
      <c r="T119" s="3" t="str">
        <f t="shared" si="65"/>
        <v>03</v>
      </c>
      <c r="U119" s="3" t="str">
        <f t="shared" si="66"/>
        <v>E8</v>
      </c>
      <c r="V119" s="3" t="s">
        <v>1</v>
      </c>
      <c r="W119" s="228"/>
      <c r="X119" s="228"/>
      <c r="Y119" s="229"/>
      <c r="Z119" s="84" t="str">
        <f t="shared" si="67"/>
        <v>41</v>
      </c>
      <c r="AA119" s="11" t="s">
        <v>5</v>
      </c>
      <c r="AC119" s="41">
        <v>1000</v>
      </c>
    </row>
    <row r="120" spans="1:29" hidden="1" outlineLevel="1" x14ac:dyDescent="0.25">
      <c r="A120" s="349">
        <v>3</v>
      </c>
      <c r="C120" s="55" t="str">
        <f t="shared" si="63"/>
        <v>0x00 0x01 aa 00 08 23 02 11 09 10 03 E8 00 42 55</v>
      </c>
      <c r="D120" s="354" t="s">
        <v>535</v>
      </c>
      <c r="H120" s="388" t="s">
        <v>804</v>
      </c>
      <c r="I120" s="336" t="s">
        <v>805</v>
      </c>
      <c r="J120" s="10" t="s">
        <v>0</v>
      </c>
      <c r="K120" s="1" t="s">
        <v>1</v>
      </c>
      <c r="L120" s="75" t="str">
        <f t="shared" si="64"/>
        <v>08</v>
      </c>
      <c r="M120" s="2" t="s">
        <v>71</v>
      </c>
      <c r="N120" s="2" t="s">
        <v>7</v>
      </c>
      <c r="O120" s="2" t="s">
        <v>28</v>
      </c>
      <c r="P120" s="460" t="s">
        <v>126</v>
      </c>
      <c r="Q120" s="461"/>
      <c r="R120" s="3" t="s">
        <v>70</v>
      </c>
      <c r="S120" s="3"/>
      <c r="T120" s="3" t="str">
        <f t="shared" si="65"/>
        <v>03</v>
      </c>
      <c r="U120" s="3" t="str">
        <f t="shared" si="66"/>
        <v>E8</v>
      </c>
      <c r="V120" s="3" t="s">
        <v>1</v>
      </c>
      <c r="W120" s="228"/>
      <c r="X120" s="228"/>
      <c r="Y120" s="229"/>
      <c r="Z120" s="84" t="str">
        <f t="shared" si="67"/>
        <v>42</v>
      </c>
      <c r="AA120" s="11" t="s">
        <v>5</v>
      </c>
      <c r="AC120" s="41">
        <v>1000</v>
      </c>
    </row>
    <row r="121" spans="1:29" hidden="1" outlineLevel="1" x14ac:dyDescent="0.25">
      <c r="A121" s="349">
        <v>3</v>
      </c>
      <c r="C121" s="55" t="str">
        <f t="shared" si="63"/>
        <v>0x00 0x01 aa 00 08 23 02 11 0A 10 03 E8 00 43 55</v>
      </c>
      <c r="D121" s="354" t="s">
        <v>536</v>
      </c>
      <c r="H121" s="388" t="s">
        <v>804</v>
      </c>
      <c r="I121" s="336" t="s">
        <v>805</v>
      </c>
      <c r="J121" s="10" t="s">
        <v>0</v>
      </c>
      <c r="K121" s="1" t="s">
        <v>1</v>
      </c>
      <c r="L121" s="75" t="str">
        <f t="shared" si="64"/>
        <v>08</v>
      </c>
      <c r="M121" s="2" t="s">
        <v>71</v>
      </c>
      <c r="N121" s="2" t="s">
        <v>7</v>
      </c>
      <c r="O121" s="2" t="s">
        <v>28</v>
      </c>
      <c r="P121" s="460" t="s">
        <v>37</v>
      </c>
      <c r="Q121" s="461"/>
      <c r="R121" s="3" t="s">
        <v>70</v>
      </c>
      <c r="S121" s="3"/>
      <c r="T121" s="3" t="str">
        <f t="shared" si="65"/>
        <v>03</v>
      </c>
      <c r="U121" s="3" t="str">
        <f t="shared" si="66"/>
        <v>E8</v>
      </c>
      <c r="V121" s="3" t="s">
        <v>1</v>
      </c>
      <c r="W121" s="228"/>
      <c r="X121" s="228"/>
      <c r="Y121" s="229"/>
      <c r="Z121" s="84" t="str">
        <f t="shared" si="67"/>
        <v>43</v>
      </c>
      <c r="AA121" s="11" t="s">
        <v>5</v>
      </c>
      <c r="AC121" s="41">
        <v>1000</v>
      </c>
    </row>
    <row r="122" spans="1:29" hidden="1" outlineLevel="1" x14ac:dyDescent="0.25">
      <c r="A122" s="349">
        <v>3</v>
      </c>
      <c r="C122" s="55" t="str">
        <f t="shared" si="63"/>
        <v>0x00 0x01 aa 00 08 23 02 11 0B 10 03 E8 00 44 55</v>
      </c>
      <c r="D122" s="354" t="s">
        <v>537</v>
      </c>
      <c r="H122" s="388" t="s">
        <v>804</v>
      </c>
      <c r="I122" s="336" t="s">
        <v>805</v>
      </c>
      <c r="J122" s="10" t="s">
        <v>0</v>
      </c>
      <c r="K122" s="1" t="s">
        <v>1</v>
      </c>
      <c r="L122" s="75" t="str">
        <f t="shared" si="64"/>
        <v>08</v>
      </c>
      <c r="M122" s="2" t="s">
        <v>71</v>
      </c>
      <c r="N122" s="2" t="s">
        <v>7</v>
      </c>
      <c r="O122" s="2" t="s">
        <v>28</v>
      </c>
      <c r="P122" s="460" t="s">
        <v>36</v>
      </c>
      <c r="Q122" s="461"/>
      <c r="R122" s="3" t="s">
        <v>70</v>
      </c>
      <c r="S122" s="3"/>
      <c r="T122" s="3" t="str">
        <f t="shared" si="65"/>
        <v>03</v>
      </c>
      <c r="U122" s="3" t="str">
        <f t="shared" si="66"/>
        <v>E8</v>
      </c>
      <c r="V122" s="3" t="s">
        <v>1</v>
      </c>
      <c r="W122" s="228"/>
      <c r="X122" s="228"/>
      <c r="Y122" s="229"/>
      <c r="Z122" s="84" t="str">
        <f t="shared" si="67"/>
        <v>44</v>
      </c>
      <c r="AA122" s="11" t="s">
        <v>5</v>
      </c>
      <c r="AC122" s="41">
        <v>1000</v>
      </c>
    </row>
    <row r="123" spans="1:29" hidden="1" outlineLevel="1" x14ac:dyDescent="0.25">
      <c r="A123" s="349">
        <v>3</v>
      </c>
      <c r="C123" s="55" t="str">
        <f>IF(ISBLANK(H123),,H123&amp;" ")&amp;IF(ISBLANK(I123),,I123&amp;" ")&amp;IF(ISBLANK(J123),,J123&amp;" ")&amp;IF(ISBLANK(K123),,K123&amp;" ")&amp;IF(ISBLANK(L123),,L123&amp;" ")&amp;IF(ISBLANK(M123),,M123&amp;" ")&amp;IF(ISBLANK(N123),,N123&amp;" ")&amp;IF(ISBLANK(O123),,O123&amp;" ")&amp;IF(ISBLANK(P123),,P123&amp;" ")&amp;IF(ISBLANK(Q123),,Q123&amp;" ")&amp;IF(ISBLANK(R123),,R123&amp;" ")&amp;IF(ISBLANK(S123),,S123&amp;" ")&amp;IF(ISBLANK(T123),,T123&amp;" ")&amp;IF(ISBLANK(U123),,U123&amp;" ")&amp;IF(ISBLANK(V123),,V123&amp;" ")&amp;IF(ISBLANK(W123),,W123&amp;" ")&amp;IF(ISBLANK(X123),,X123&amp;" ")&amp;IF(ISBLANK(Y123),,Y123&amp;" ")&amp;IF(ISBLANK(Z123),,Z123&amp;" ")&amp;IF(ISBLANK(AA123),,AA123)</f>
        <v>0x00 0x01 aa 00 08 23 02 11 0C 10 05 DC 00 3B 55</v>
      </c>
      <c r="D123" s="354" t="s">
        <v>538</v>
      </c>
      <c r="H123" s="388" t="s">
        <v>804</v>
      </c>
      <c r="I123" s="336" t="s">
        <v>805</v>
      </c>
      <c r="J123" s="10" t="s">
        <v>0</v>
      </c>
      <c r="K123" s="1" t="s">
        <v>1</v>
      </c>
      <c r="L123" s="75" t="str">
        <f t="shared" si="64"/>
        <v>08</v>
      </c>
      <c r="M123" s="2" t="s">
        <v>71</v>
      </c>
      <c r="N123" s="2" t="s">
        <v>7</v>
      </c>
      <c r="O123" s="2" t="s">
        <v>28</v>
      </c>
      <c r="P123" s="460" t="s">
        <v>352</v>
      </c>
      <c r="Q123" s="461"/>
      <c r="R123" s="3" t="s">
        <v>70</v>
      </c>
      <c r="S123" s="3"/>
      <c r="T123" s="3" t="str">
        <f t="shared" si="65"/>
        <v>05</v>
      </c>
      <c r="U123" s="3" t="str">
        <f t="shared" si="66"/>
        <v>DC</v>
      </c>
      <c r="V123" s="3" t="s">
        <v>1</v>
      </c>
      <c r="W123" s="228"/>
      <c r="X123" s="228"/>
      <c r="Y123" s="229"/>
      <c r="Z123" s="84" t="str">
        <f t="shared" si="67"/>
        <v>3B</v>
      </c>
      <c r="AA123" s="11" t="s">
        <v>5</v>
      </c>
      <c r="AC123" s="41">
        <v>1500</v>
      </c>
    </row>
    <row r="124" spans="1:29" hidden="1" outlineLevel="1" x14ac:dyDescent="0.25"/>
    <row r="125" spans="1:29" hidden="1" outlineLevel="1" x14ac:dyDescent="0.25">
      <c r="A125" s="338">
        <v>2</v>
      </c>
      <c r="C125" s="474" t="s">
        <v>821</v>
      </c>
      <c r="D125" s="475"/>
      <c r="H125" s="383"/>
      <c r="I125" s="351"/>
      <c r="J125" s="211"/>
      <c r="K125" s="9"/>
      <c r="L125" s="9"/>
      <c r="M125" s="8"/>
      <c r="N125" s="7" t="s">
        <v>86</v>
      </c>
      <c r="O125" s="8"/>
      <c r="P125" s="458" t="s">
        <v>242</v>
      </c>
      <c r="Q125" s="476"/>
      <c r="R125" s="7" t="s">
        <v>73</v>
      </c>
      <c r="S125" s="7"/>
      <c r="T125" s="458" t="s">
        <v>74</v>
      </c>
      <c r="U125" s="459"/>
      <c r="V125" s="7" t="s">
        <v>75</v>
      </c>
      <c r="W125" s="225"/>
      <c r="X125" s="226"/>
      <c r="Y125" s="227"/>
      <c r="Z125" s="227" t="s">
        <v>81</v>
      </c>
      <c r="AA125" s="9"/>
      <c r="AC125" s="355" t="s">
        <v>76</v>
      </c>
    </row>
    <row r="126" spans="1:29" hidden="1" outlineLevel="1" x14ac:dyDescent="0.25">
      <c r="A126" s="349">
        <v>3</v>
      </c>
      <c r="C126" s="55" t="str">
        <f>IF(ISBLANK(H126),,H126&amp;" ")&amp;IF(ISBLANK(I126),,I126&amp;" ")&amp;IF(ISBLANK(J126),,J126&amp;" ")&amp;IF(ISBLANK(K126),,K126&amp;" ")&amp;IF(ISBLANK(L126),,L126&amp;" ")&amp;IF(ISBLANK(M126),,M126&amp;" ")&amp;IF(ISBLANK(N126),,N126&amp;" ")&amp;IF(ISBLANK(O126),,O126&amp;" ")&amp;IF(ISBLANK(P126),,P126&amp;" ")&amp;IF(ISBLANK(Q126),,Q126&amp;" ")&amp;IF(ISBLANK(R126),,R126&amp;" ")&amp;IF(ISBLANK(S126),,S126&amp;" ")&amp;IF(ISBLANK(T126),,T126&amp;" ")&amp;IF(ISBLANK(U126),,U126&amp;" ")&amp;IF(ISBLANK(V126),,V126&amp;" ")&amp;IF(ISBLANK(W126),,W126&amp;" ")&amp;IF(ISBLANK(X126),,X126&amp;" ")&amp;IF(ISBLANK(Y126),,Y126&amp;" ")&amp;IF(ISBLANK(Z126),,Z126&amp;" ")&amp;IF(ISBLANK(AA126),,AA126)</f>
        <v>0x00 0x01 aa 00 08 23 01 11 01 10 01 F4 00 43 55</v>
      </c>
      <c r="D126" s="354" t="s">
        <v>542</v>
      </c>
      <c r="H126" s="388" t="s">
        <v>804</v>
      </c>
      <c r="I126" s="336" t="s">
        <v>805</v>
      </c>
      <c r="J126" s="10" t="s">
        <v>0</v>
      </c>
      <c r="K126" s="1" t="s">
        <v>1</v>
      </c>
      <c r="L126" s="75" t="str">
        <f t="shared" ref="L126:L132" si="68">DEC2HEX( COUNTA(M126:Y126),2)</f>
        <v>08</v>
      </c>
      <c r="M126" s="2" t="s">
        <v>71</v>
      </c>
      <c r="N126" s="2" t="s">
        <v>4</v>
      </c>
      <c r="O126" s="2" t="s">
        <v>28</v>
      </c>
      <c r="P126" s="460" t="s">
        <v>4</v>
      </c>
      <c r="Q126" s="461"/>
      <c r="R126" s="3" t="s">
        <v>70</v>
      </c>
      <c r="S126" s="3"/>
      <c r="T126" s="3" t="str">
        <f t="shared" ref="T126:T129" si="69">LEFT(RIGHT(DEC2HEX(AC126,4),4),2)</f>
        <v>01</v>
      </c>
      <c r="U126" s="3" t="str">
        <f t="shared" ref="U126:U129" si="70">LEFT(RIGHT(DEC2HEX(AC126,4),2),2)</f>
        <v>F4</v>
      </c>
      <c r="V126" s="3" t="s">
        <v>1</v>
      </c>
      <c r="W126" s="228"/>
      <c r="X126" s="228"/>
      <c r="Y126" s="229"/>
      <c r="Z126" s="84" t="str">
        <f t="shared" ref="Z126:Z132" si="71">DEC2HEX(MOD(HEX2DEC(K126)+HEX2DEC(L126)+HEX2DEC(M126)+HEX2DEC(N126)+HEX2DEC(O126)+HEX2DEC(P126)+HEX2DEC(Q126)+HEX2DEC(R126)+HEX2DEC(S126)+HEX2DEC(T126)+HEX2DEC(U126)+HEX2DEC(V126)+HEX2DEC(W126)+HEX2DEC(X126)+HEX2DEC(Y126),256),2)</f>
        <v>43</v>
      </c>
      <c r="AA126" s="11" t="s">
        <v>5</v>
      </c>
      <c r="AC126" s="41">
        <v>500</v>
      </c>
    </row>
    <row r="127" spans="1:29" hidden="1" outlineLevel="1" x14ac:dyDescent="0.25">
      <c r="A127" s="349">
        <v>3</v>
      </c>
      <c r="C127" s="55" t="str">
        <f t="shared" ref="C127:C132" si="72">IF(ISBLANK(H127),,H127&amp;" ")&amp;IF(ISBLANK(I127),,I127&amp;" ")&amp;IF(ISBLANK(J127),,J127&amp;" ")&amp;IF(ISBLANK(K127),,K127&amp;" ")&amp;IF(ISBLANK(L127),,L127&amp;" ")&amp;IF(ISBLANK(M127),,M127&amp;" ")&amp;IF(ISBLANK(N127),,N127&amp;" ")&amp;IF(ISBLANK(O127),,O127&amp;" ")&amp;IF(ISBLANK(P127),,P127&amp;" ")&amp;IF(ISBLANK(Q127),,Q127&amp;" ")&amp;IF(ISBLANK(R127),,R127&amp;" ")&amp;IF(ISBLANK(S127),,S127&amp;" ")&amp;IF(ISBLANK(T127),,T127&amp;" ")&amp;IF(ISBLANK(U127),,U127&amp;" ")&amp;IF(ISBLANK(V127),,V127&amp;" ")&amp;IF(ISBLANK(W127),,W127&amp;" ")&amp;IF(ISBLANK(X127),,X127&amp;" ")&amp;IF(ISBLANK(Y127),,Y127&amp;" ")&amp;IF(ISBLANK(Z127),,Z127&amp;" ")&amp;IF(ISBLANK(AA127),,AA127)</f>
        <v>0x00 0x01 aa 00 08 23 01 11 02 08 01 F4 01 3D 55</v>
      </c>
      <c r="D127" s="354" t="s">
        <v>699</v>
      </c>
      <c r="H127" s="388" t="s">
        <v>804</v>
      </c>
      <c r="I127" s="336" t="s">
        <v>805</v>
      </c>
      <c r="J127" s="10" t="s">
        <v>0</v>
      </c>
      <c r="K127" s="1" t="s">
        <v>1</v>
      </c>
      <c r="L127" s="75" t="str">
        <f t="shared" si="68"/>
        <v>08</v>
      </c>
      <c r="M127" s="2" t="s">
        <v>71</v>
      </c>
      <c r="N127" s="2" t="s">
        <v>4</v>
      </c>
      <c r="O127" s="2" t="s">
        <v>28</v>
      </c>
      <c r="P127" s="460" t="s">
        <v>15</v>
      </c>
      <c r="Q127" s="461"/>
      <c r="R127" s="3" t="s">
        <v>93</v>
      </c>
      <c r="S127" s="3"/>
      <c r="T127" s="3" t="str">
        <f t="shared" si="69"/>
        <v>01</v>
      </c>
      <c r="U127" s="3" t="str">
        <f t="shared" si="70"/>
        <v>F4</v>
      </c>
      <c r="V127" s="3" t="s">
        <v>4</v>
      </c>
      <c r="W127" s="228"/>
      <c r="X127" s="228"/>
      <c r="Y127" s="229"/>
      <c r="Z127" s="84" t="str">
        <f t="shared" si="71"/>
        <v>3D</v>
      </c>
      <c r="AA127" s="11" t="s">
        <v>5</v>
      </c>
      <c r="AC127" s="41">
        <v>500</v>
      </c>
    </row>
    <row r="128" spans="1:29" hidden="1" outlineLevel="1" x14ac:dyDescent="0.25">
      <c r="A128" s="349">
        <v>3</v>
      </c>
      <c r="C128" s="55" t="str">
        <f t="shared" si="72"/>
        <v>0x00 0x01 aa 00 08 23 01 11 03 0D 01 F4 00 42 55</v>
      </c>
      <c r="D128" s="354" t="s">
        <v>700</v>
      </c>
      <c r="H128" s="388" t="s">
        <v>804</v>
      </c>
      <c r="I128" s="336" t="s">
        <v>805</v>
      </c>
      <c r="J128" s="10" t="s">
        <v>0</v>
      </c>
      <c r="K128" s="1" t="s">
        <v>1</v>
      </c>
      <c r="L128" s="75" t="str">
        <f t="shared" si="68"/>
        <v>08</v>
      </c>
      <c r="M128" s="2" t="s">
        <v>71</v>
      </c>
      <c r="N128" s="2" t="s">
        <v>4</v>
      </c>
      <c r="O128" s="2" t="s">
        <v>28</v>
      </c>
      <c r="P128" s="460" t="s">
        <v>13</v>
      </c>
      <c r="Q128" s="461"/>
      <c r="R128" s="3" t="s">
        <v>353</v>
      </c>
      <c r="S128" s="3"/>
      <c r="T128" s="3" t="str">
        <f t="shared" si="69"/>
        <v>01</v>
      </c>
      <c r="U128" s="3" t="str">
        <f t="shared" si="70"/>
        <v>F4</v>
      </c>
      <c r="V128" s="3" t="s">
        <v>1</v>
      </c>
      <c r="W128" s="228"/>
      <c r="X128" s="228"/>
      <c r="Y128" s="229"/>
      <c r="Z128" s="84" t="str">
        <f t="shared" si="71"/>
        <v>42</v>
      </c>
      <c r="AA128" s="11" t="s">
        <v>5</v>
      </c>
      <c r="AC128" s="41">
        <v>500</v>
      </c>
    </row>
    <row r="129" spans="1:29" hidden="1" outlineLevel="1" x14ac:dyDescent="0.25">
      <c r="A129" s="349">
        <v>3</v>
      </c>
      <c r="C129" s="55" t="str">
        <f t="shared" si="72"/>
        <v>0x00 0x01 aa 00 08 23 01 11 04 14 01 F4 00 4A 55</v>
      </c>
      <c r="D129" s="354" t="s">
        <v>701</v>
      </c>
      <c r="H129" s="388" t="s">
        <v>804</v>
      </c>
      <c r="I129" s="336" t="s">
        <v>805</v>
      </c>
      <c r="J129" s="10" t="s">
        <v>0</v>
      </c>
      <c r="K129" s="1" t="s">
        <v>1</v>
      </c>
      <c r="L129" s="75" t="str">
        <f t="shared" si="68"/>
        <v>08</v>
      </c>
      <c r="M129" s="2" t="s">
        <v>71</v>
      </c>
      <c r="N129" s="2" t="s">
        <v>4</v>
      </c>
      <c r="O129" s="2" t="s">
        <v>28</v>
      </c>
      <c r="P129" s="460" t="s">
        <v>18</v>
      </c>
      <c r="Q129" s="461"/>
      <c r="R129" s="3" t="s">
        <v>244</v>
      </c>
      <c r="S129" s="3"/>
      <c r="T129" s="3" t="str">
        <f t="shared" si="69"/>
        <v>01</v>
      </c>
      <c r="U129" s="3" t="str">
        <f t="shared" si="70"/>
        <v>F4</v>
      </c>
      <c r="V129" s="3" t="s">
        <v>1</v>
      </c>
      <c r="W129" s="228"/>
      <c r="X129" s="228"/>
      <c r="Y129" s="229"/>
      <c r="Z129" s="84" t="str">
        <f t="shared" si="71"/>
        <v>4A</v>
      </c>
      <c r="AA129" s="11" t="s">
        <v>5</v>
      </c>
      <c r="AC129" s="41">
        <v>500</v>
      </c>
    </row>
    <row r="130" spans="1:29" hidden="1" outlineLevel="1" x14ac:dyDescent="0.25">
      <c r="A130" s="349">
        <v>3</v>
      </c>
      <c r="C130" s="55" t="str">
        <f t="shared" si="72"/>
        <v>0x00 0x01 aa 00 08 23 01 11 05 14 01 F4 00 4B 55</v>
      </c>
      <c r="D130" s="354" t="s">
        <v>702</v>
      </c>
      <c r="H130" s="388" t="s">
        <v>804</v>
      </c>
      <c r="I130" s="336" t="s">
        <v>805</v>
      </c>
      <c r="J130" s="10" t="s">
        <v>0</v>
      </c>
      <c r="K130" s="1" t="s">
        <v>1</v>
      </c>
      <c r="L130" s="75" t="str">
        <f t="shared" si="68"/>
        <v>08</v>
      </c>
      <c r="M130" s="2" t="s">
        <v>71</v>
      </c>
      <c r="N130" s="2" t="s">
        <v>4</v>
      </c>
      <c r="O130" s="2" t="s">
        <v>28</v>
      </c>
      <c r="P130" s="460" t="s">
        <v>122</v>
      </c>
      <c r="Q130" s="460"/>
      <c r="R130" s="3" t="s">
        <v>244</v>
      </c>
      <c r="S130" s="3"/>
      <c r="T130" s="3" t="str">
        <f>LEFT(RIGHT(DEC2HEX(AC130,4),4),2)</f>
        <v>01</v>
      </c>
      <c r="U130" s="3" t="str">
        <f>LEFT(RIGHT(DEC2HEX(AC130,4),2),2)</f>
        <v>F4</v>
      </c>
      <c r="V130" s="3" t="s">
        <v>1</v>
      </c>
      <c r="W130" s="228"/>
      <c r="X130" s="228"/>
      <c r="Y130" s="228"/>
      <c r="Z130" s="84" t="str">
        <f t="shared" si="71"/>
        <v>4B</v>
      </c>
      <c r="AA130" s="11" t="s">
        <v>5</v>
      </c>
      <c r="AC130" s="41">
        <v>500</v>
      </c>
    </row>
    <row r="131" spans="1:29" hidden="1" outlineLevel="1" x14ac:dyDescent="0.25">
      <c r="A131" s="349">
        <v>3</v>
      </c>
      <c r="C131" s="55" t="str">
        <f t="shared" si="72"/>
        <v>0x00 0x01 aa 00 08 23 01 11 06 14 01 F4 00 4C 55</v>
      </c>
      <c r="D131" s="354" t="s">
        <v>703</v>
      </c>
      <c r="H131" s="388" t="s">
        <v>804</v>
      </c>
      <c r="I131" s="336" t="s">
        <v>805</v>
      </c>
      <c r="J131" s="10" t="s">
        <v>0</v>
      </c>
      <c r="K131" s="1" t="s">
        <v>1</v>
      </c>
      <c r="L131" s="75" t="str">
        <f t="shared" si="68"/>
        <v>08</v>
      </c>
      <c r="M131" s="2" t="s">
        <v>71</v>
      </c>
      <c r="N131" s="2" t="s">
        <v>4</v>
      </c>
      <c r="O131" s="2" t="s">
        <v>28</v>
      </c>
      <c r="P131" s="460" t="s">
        <v>123</v>
      </c>
      <c r="Q131" s="460"/>
      <c r="R131" s="3" t="s">
        <v>244</v>
      </c>
      <c r="S131" s="3"/>
      <c r="T131" s="3" t="str">
        <f>LEFT(RIGHT(DEC2HEX(AC131,4),4),2)</f>
        <v>01</v>
      </c>
      <c r="U131" s="3" t="str">
        <f>LEFT(RIGHT(DEC2HEX(AC131,4),2),2)</f>
        <v>F4</v>
      </c>
      <c r="V131" s="3" t="s">
        <v>1</v>
      </c>
      <c r="W131" s="228"/>
      <c r="X131" s="228"/>
      <c r="Y131" s="228"/>
      <c r="Z131" s="84" t="str">
        <f t="shared" si="71"/>
        <v>4C</v>
      </c>
      <c r="AA131" s="11" t="s">
        <v>5</v>
      </c>
      <c r="AC131" s="41">
        <v>500</v>
      </c>
    </row>
    <row r="132" spans="1:29" hidden="1" outlineLevel="1" x14ac:dyDescent="0.25">
      <c r="A132" s="349">
        <v>3</v>
      </c>
      <c r="C132" s="55" t="str">
        <f t="shared" si="72"/>
        <v>0x00 0x01 aa 00 08 23 01 11 07 14 01 F4 00 4D 55</v>
      </c>
      <c r="D132" s="354" t="s">
        <v>704</v>
      </c>
      <c r="H132" s="388" t="s">
        <v>804</v>
      </c>
      <c r="I132" s="336" t="s">
        <v>805</v>
      </c>
      <c r="J132" s="10" t="s">
        <v>0</v>
      </c>
      <c r="K132" s="1" t="s">
        <v>1</v>
      </c>
      <c r="L132" s="75" t="str">
        <f t="shared" si="68"/>
        <v>08</v>
      </c>
      <c r="M132" s="2" t="s">
        <v>71</v>
      </c>
      <c r="N132" s="2" t="s">
        <v>4</v>
      </c>
      <c r="O132" s="2" t="s">
        <v>28</v>
      </c>
      <c r="P132" s="460" t="s">
        <v>823</v>
      </c>
      <c r="Q132" s="460"/>
      <c r="R132" s="3" t="s">
        <v>244</v>
      </c>
      <c r="S132" s="3"/>
      <c r="T132" s="3" t="str">
        <f>LEFT(RIGHT(DEC2HEX(AC132,4),4),2)</f>
        <v>01</v>
      </c>
      <c r="U132" s="3" t="str">
        <f>LEFT(RIGHT(DEC2HEX(AC132,4),2),2)</f>
        <v>F4</v>
      </c>
      <c r="V132" s="3" t="s">
        <v>1</v>
      </c>
      <c r="W132" s="228"/>
      <c r="X132" s="228"/>
      <c r="Y132" s="228"/>
      <c r="Z132" s="84" t="str">
        <f t="shared" si="71"/>
        <v>4D</v>
      </c>
      <c r="AA132" s="11" t="s">
        <v>5</v>
      </c>
      <c r="AC132" s="41">
        <v>500</v>
      </c>
    </row>
    <row r="133" spans="1:29" collapsed="1" x14ac:dyDescent="0.25"/>
    <row r="134" spans="1:29" x14ac:dyDescent="0.25">
      <c r="A134" s="330">
        <v>1</v>
      </c>
      <c r="B134" s="330"/>
      <c r="C134" s="330"/>
      <c r="D134" s="330" t="s">
        <v>840</v>
      </c>
      <c r="J134" s="435" t="s">
        <v>275</v>
      </c>
      <c r="K134" s="435"/>
      <c r="L134" s="435"/>
      <c r="M134" s="435"/>
      <c r="N134" s="435"/>
      <c r="O134" s="435"/>
      <c r="P134" s="435"/>
      <c r="Q134" s="435"/>
      <c r="R134" s="435"/>
      <c r="S134" s="435"/>
      <c r="T134" s="435"/>
      <c r="U134" s="435"/>
      <c r="V134" s="435"/>
      <c r="W134" s="435"/>
      <c r="X134" s="435"/>
      <c r="Y134" s="435"/>
      <c r="Z134" s="435"/>
      <c r="AA134" s="435"/>
    </row>
    <row r="135" spans="1:29" ht="16.8" hidden="1" outlineLevel="1" x14ac:dyDescent="0.25">
      <c r="A135" s="338">
        <v>2</v>
      </c>
      <c r="C135" s="360" t="s">
        <v>266</v>
      </c>
      <c r="D135" s="97" t="s">
        <v>252</v>
      </c>
      <c r="J135" s="86" t="s">
        <v>77</v>
      </c>
      <c r="K135" s="361" t="s">
        <v>78</v>
      </c>
      <c r="L135" s="361" t="s">
        <v>10</v>
      </c>
      <c r="M135" s="361" t="s">
        <v>79</v>
      </c>
      <c r="N135" s="361" t="s">
        <v>80</v>
      </c>
      <c r="O135" s="361" t="s">
        <v>11</v>
      </c>
      <c r="P135" s="462" t="s">
        <v>525</v>
      </c>
      <c r="Q135" s="477"/>
      <c r="R135" s="477"/>
      <c r="S135" s="477"/>
      <c r="T135" s="463"/>
      <c r="U135" s="462" t="s">
        <v>526</v>
      </c>
      <c r="V135" s="477"/>
      <c r="W135" s="477"/>
      <c r="X135" s="477"/>
      <c r="Y135" s="463"/>
      <c r="Z135" s="83" t="s">
        <v>81</v>
      </c>
      <c r="AA135" s="83" t="s">
        <v>82</v>
      </c>
      <c r="AB135" s="188" t="s">
        <v>520</v>
      </c>
      <c r="AC135" s="188" t="s">
        <v>519</v>
      </c>
    </row>
    <row r="136" spans="1:29" hidden="1" outlineLevel="1" x14ac:dyDescent="0.25">
      <c r="A136" s="338">
        <v>2</v>
      </c>
      <c r="C136" s="55" t="str">
        <f t="shared" ref="C136:C162" si="73">IF(ISBLANK(H136),,H136&amp;" ")&amp;IF(ISBLANK(I136),,I136&amp;" ")&amp;IF(ISBLANK(J136),,J136&amp;" ")&amp;IF(ISBLANK(K136),,K136&amp;" ")&amp;IF(ISBLANK(L136),,L136&amp;" ")&amp;IF(ISBLANK(M136),,M136&amp;" ")&amp;IF(ISBLANK(N136),,N136&amp;" ")&amp;IF(ISBLANK(O136),,O136&amp;" ")&amp;IF(ISBLANK(P136),,P136&amp;" ")&amp;IF(ISBLANK(Q136),,Q136&amp;" ")&amp;IF(ISBLANK(R136),,R136&amp;" ")&amp;IF(ISBLANK(S136),,S136&amp;" ")&amp;IF(ISBLANK(T136),,T136&amp;" ")&amp;IF(ISBLANK(U136),,U136&amp;" ")&amp;IF(ISBLANK(V136),,V136&amp;" ")&amp;IF(ISBLANK(W136),,W136&amp;" ")&amp;IF(ISBLANK(X136),,X136&amp;" ")&amp;IF(ISBLANK(Y136),,Y136&amp;" ")&amp;IF(ISBLANK(Z136),,Z136&amp;" ")&amp;IF(ISBLANK(AA136),,AA136)</f>
        <v>0x00 0x01 aa 00 05 61 00 00 01 00 67 55</v>
      </c>
      <c r="D136" s="364" t="s">
        <v>845</v>
      </c>
      <c r="H136" s="388" t="s">
        <v>804</v>
      </c>
      <c r="I136" s="336" t="s">
        <v>805</v>
      </c>
      <c r="J136" s="84" t="s">
        <v>0</v>
      </c>
      <c r="K136" s="75" t="s">
        <v>1</v>
      </c>
      <c r="L136" s="75" t="str">
        <f>DEC2HEX( COUNTA(M136:Y136),2)</f>
        <v>05</v>
      </c>
      <c r="M136" s="76" t="s">
        <v>409</v>
      </c>
      <c r="N136" s="76" t="s">
        <v>1</v>
      </c>
      <c r="O136" s="76" t="s">
        <v>1</v>
      </c>
      <c r="P136" s="457" t="str">
        <f>RIGHT(DEC2HEX(AC136,4),2)</f>
        <v>01</v>
      </c>
      <c r="Q136" s="457"/>
      <c r="R136" s="457"/>
      <c r="S136" s="457"/>
      <c r="T136" s="457"/>
      <c r="U136" s="457" t="str">
        <f>RIGHT(DEC2HEX(AD136,4),2)</f>
        <v>00</v>
      </c>
      <c r="V136" s="457"/>
      <c r="W136" s="457"/>
      <c r="X136" s="457"/>
      <c r="Y136" s="457"/>
      <c r="Z136" s="84" t="str">
        <f>DEC2HEX(MOD(HEX2DEC(K136)+HEX2DEC(L136)+HEX2DEC(M136)+HEX2DEC(N136)+HEX2DEC(O136)+HEX2DEC(P136)+HEX2DEC(Q136)+HEX2DEC(R136)+HEX2DEC(S136)+HEX2DEC(T136)+HEX2DEC(U136)+HEX2DEC(V136)+HEX2DEC(Y136),256),2)</f>
        <v>67</v>
      </c>
      <c r="AA136" s="84" t="s">
        <v>5</v>
      </c>
      <c r="AB136" s="116">
        <v>2</v>
      </c>
      <c r="AC136" s="116">
        <v>1</v>
      </c>
    </row>
    <row r="137" spans="1:29" ht="16.8" hidden="1" outlineLevel="1" x14ac:dyDescent="0.25">
      <c r="A137" s="338">
        <v>2</v>
      </c>
      <c r="D137" s="364" t="s">
        <v>252</v>
      </c>
      <c r="H137" s="388"/>
      <c r="I137" s="336"/>
      <c r="J137" s="86" t="s">
        <v>77</v>
      </c>
      <c r="K137" s="361" t="s">
        <v>78</v>
      </c>
      <c r="L137" s="361" t="s">
        <v>10</v>
      </c>
      <c r="M137" s="361" t="s">
        <v>79</v>
      </c>
      <c r="N137" s="361" t="s">
        <v>80</v>
      </c>
      <c r="O137" s="361" t="s">
        <v>11</v>
      </c>
      <c r="P137" s="190"/>
      <c r="Q137" s="190"/>
      <c r="R137" s="190"/>
      <c r="S137" s="190" t="s">
        <v>524</v>
      </c>
      <c r="T137" s="462" t="s">
        <v>394</v>
      </c>
      <c r="U137" s="463"/>
      <c r="V137" s="361" t="s">
        <v>75</v>
      </c>
      <c r="W137" s="190"/>
      <c r="X137" s="190"/>
      <c r="Y137" s="190"/>
      <c r="Z137" s="83" t="s">
        <v>81</v>
      </c>
      <c r="AA137" s="83" t="s">
        <v>82</v>
      </c>
      <c r="AB137" s="23" t="s">
        <v>522</v>
      </c>
      <c r="AC137" s="23" t="s">
        <v>523</v>
      </c>
    </row>
    <row r="138" spans="1:29" hidden="1" outlineLevel="1" x14ac:dyDescent="0.25">
      <c r="A138" s="338">
        <v>2</v>
      </c>
      <c r="C138" s="55" t="str">
        <f t="shared" si="73"/>
        <v>0x00 0x01 aa 00 07 61 00 12 10 03 E8 01 76 55</v>
      </c>
      <c r="D138" s="364" t="s">
        <v>841</v>
      </c>
      <c r="H138" s="388" t="s">
        <v>804</v>
      </c>
      <c r="I138" s="336" t="s">
        <v>805</v>
      </c>
      <c r="J138" s="84" t="s">
        <v>0</v>
      </c>
      <c r="K138" s="75" t="s">
        <v>1</v>
      </c>
      <c r="L138" s="75" t="str">
        <f>DEC2HEX(COUNTA(M138:Y138),2)</f>
        <v>07</v>
      </c>
      <c r="M138" s="76" t="s">
        <v>409</v>
      </c>
      <c r="N138" s="76" t="s">
        <v>1</v>
      </c>
      <c r="O138" s="76" t="s">
        <v>17</v>
      </c>
      <c r="P138" s="189"/>
      <c r="Q138" s="189"/>
      <c r="R138" s="189"/>
      <c r="S138" s="189" t="str">
        <f>DEC2HEX(AB138,2)</f>
        <v>10</v>
      </c>
      <c r="T138" s="189" t="str">
        <f>LEFT(DEC2HEX(AC138,4),2)</f>
        <v>03</v>
      </c>
      <c r="U138" s="189" t="str">
        <f>RIGHT(DEC2HEX(AC138,4),2)</f>
        <v>E8</v>
      </c>
      <c r="V138" s="189" t="s">
        <v>4</v>
      </c>
      <c r="W138" s="189"/>
      <c r="X138" s="189"/>
      <c r="Y138" s="189"/>
      <c r="Z138" s="84" t="str">
        <f>DEC2HEX(MOD(HEX2DEC(K138)+HEX2DEC(L138)+HEX2DEC(M138)+HEX2DEC(N138)+HEX2DEC(O138)+HEX2DEC(P138)+HEX2DEC(Q138)+HEX2DEC(R138)+HEX2DEC(S138)+HEX2DEC(T138)+HEX2DEC(U138)+HEX2DEC(V138)+HEX2DEC(Y138),256),2)</f>
        <v>76</v>
      </c>
      <c r="AA138" s="84" t="s">
        <v>5</v>
      </c>
      <c r="AB138" s="116">
        <v>16</v>
      </c>
      <c r="AC138" s="116">
        <v>1000</v>
      </c>
    </row>
    <row r="139" spans="1:29" hidden="1" outlineLevel="1" x14ac:dyDescent="0.25">
      <c r="A139" s="338">
        <v>2</v>
      </c>
      <c r="C139" s="55" t="str">
        <f t="shared" si="73"/>
        <v>0x00 0x01 aa 00 07 61 00 13 10 03 E8 01 77 55</v>
      </c>
      <c r="D139" s="364" t="s">
        <v>842</v>
      </c>
      <c r="H139" s="388" t="s">
        <v>804</v>
      </c>
      <c r="I139" s="336" t="s">
        <v>805</v>
      </c>
      <c r="J139" s="84" t="s">
        <v>0</v>
      </c>
      <c r="K139" s="75" t="s">
        <v>1</v>
      </c>
      <c r="L139" s="75" t="str">
        <f>DEC2HEX(COUNTA(M139:Y139),2)</f>
        <v>07</v>
      </c>
      <c r="M139" s="76" t="s">
        <v>409</v>
      </c>
      <c r="N139" s="76" t="s">
        <v>1</v>
      </c>
      <c r="O139" s="76" t="s">
        <v>377</v>
      </c>
      <c r="P139" s="189"/>
      <c r="Q139" s="189"/>
      <c r="R139" s="189"/>
      <c r="S139" s="189" t="str">
        <f>DEC2HEX(AB139,2)</f>
        <v>10</v>
      </c>
      <c r="T139" s="189" t="str">
        <f>LEFT(DEC2HEX(AC139,4),2)</f>
        <v>03</v>
      </c>
      <c r="U139" s="189" t="str">
        <f>RIGHT(DEC2HEX(AC139,4),2)</f>
        <v>E8</v>
      </c>
      <c r="V139" s="189" t="s">
        <v>4</v>
      </c>
      <c r="W139" s="189"/>
      <c r="X139" s="189"/>
      <c r="Y139" s="189"/>
      <c r="Z139" s="84" t="str">
        <f>DEC2HEX(MOD(HEX2DEC(K139)+HEX2DEC(L139)+HEX2DEC(M139)+HEX2DEC(N139)+HEX2DEC(O139)+HEX2DEC(P139)+HEX2DEC(Q139)+HEX2DEC(R139)+HEX2DEC(S139)+HEX2DEC(T139)+HEX2DEC(U139)+HEX2DEC(V139)+HEX2DEC(Y139),256),2)</f>
        <v>77</v>
      </c>
      <c r="AA139" s="84" t="s">
        <v>5</v>
      </c>
      <c r="AB139" s="116">
        <v>16</v>
      </c>
      <c r="AC139" s="116">
        <v>1000</v>
      </c>
    </row>
    <row r="140" spans="1:29" ht="17.399999999999999" hidden="1" outlineLevel="1" thickBot="1" x14ac:dyDescent="0.3">
      <c r="A140" s="338">
        <v>2</v>
      </c>
      <c r="D140" s="364" t="s">
        <v>252</v>
      </c>
      <c r="H140" s="388"/>
      <c r="I140" s="336"/>
      <c r="J140" s="191" t="s">
        <v>77</v>
      </c>
      <c r="K140" s="366" t="s">
        <v>78</v>
      </c>
      <c r="L140" s="366" t="s">
        <v>10</v>
      </c>
      <c r="M140" s="366" t="s">
        <v>79</v>
      </c>
      <c r="N140" s="366" t="s">
        <v>80</v>
      </c>
      <c r="O140" s="366" t="s">
        <v>11</v>
      </c>
      <c r="P140" s="464" t="s">
        <v>242</v>
      </c>
      <c r="Q140" s="465"/>
      <c r="R140" s="466"/>
      <c r="S140" s="192" t="s">
        <v>524</v>
      </c>
      <c r="T140" s="464" t="s">
        <v>394</v>
      </c>
      <c r="U140" s="466"/>
      <c r="V140" s="366" t="s">
        <v>75</v>
      </c>
      <c r="W140" s="192"/>
      <c r="X140" s="192"/>
      <c r="Y140" s="192"/>
      <c r="Z140" s="193" t="s">
        <v>81</v>
      </c>
      <c r="AA140" s="193" t="s">
        <v>82</v>
      </c>
      <c r="AB140" s="194" t="s">
        <v>522</v>
      </c>
      <c r="AC140" s="194" t="s">
        <v>523</v>
      </c>
    </row>
    <row r="141" spans="1:29" ht="15.6" hidden="1" outlineLevel="1" x14ac:dyDescent="0.25">
      <c r="A141" s="338">
        <v>2</v>
      </c>
      <c r="C141" s="55" t="str">
        <f t="shared" si="73"/>
        <v>0x00 0x01 aa 00 08 61 00 14 01 0F 03 E8 01 79 55</v>
      </c>
      <c r="D141" s="364" t="s">
        <v>846</v>
      </c>
      <c r="H141" s="388" t="s">
        <v>804</v>
      </c>
      <c r="I141" s="336" t="s">
        <v>805</v>
      </c>
      <c r="J141" s="195" t="s">
        <v>0</v>
      </c>
      <c r="K141" s="196" t="s">
        <v>1</v>
      </c>
      <c r="L141" s="196" t="str">
        <f>DEC2HEX(COUNTA(M141:Y141),2)</f>
        <v>08</v>
      </c>
      <c r="M141" s="197" t="s">
        <v>409</v>
      </c>
      <c r="N141" s="197" t="s">
        <v>1</v>
      </c>
      <c r="O141" s="197" t="s">
        <v>244</v>
      </c>
      <c r="P141" s="467" t="s">
        <v>4</v>
      </c>
      <c r="Q141" s="468"/>
      <c r="R141" s="469"/>
      <c r="S141" s="189" t="str">
        <f>DEC2HEX(AB141,2)</f>
        <v>0F</v>
      </c>
      <c r="T141" s="189" t="str">
        <f>LEFT(DEC2HEX(AC141,4),2)</f>
        <v>03</v>
      </c>
      <c r="U141" s="189" t="str">
        <f>RIGHT(DEC2HEX(AC141,4),2)</f>
        <v>E8</v>
      </c>
      <c r="V141" s="198" t="s">
        <v>4</v>
      </c>
      <c r="W141" s="198"/>
      <c r="X141" s="198"/>
      <c r="Y141" s="198"/>
      <c r="Z141" s="199" t="str">
        <f>DEC2HEX(MOD(HEX2DEC(K141)+HEX2DEC(L141)+HEX2DEC(M141)+HEX2DEC(N141)+HEX2DEC(O141)+HEX2DEC(P141)+HEX2DEC(Q141)+HEX2DEC(R141)+HEX2DEC(S141)+HEX2DEC(T141)+HEX2DEC(U141)+HEX2DEC(V141)+HEX2DEC(Y141),256),2)</f>
        <v>79</v>
      </c>
      <c r="AA141" s="199" t="s">
        <v>5</v>
      </c>
      <c r="AB141" s="116">
        <v>15</v>
      </c>
      <c r="AC141" s="201">
        <v>1000</v>
      </c>
    </row>
    <row r="142" spans="1:29" ht="15.6" hidden="1" outlineLevel="1" x14ac:dyDescent="0.25">
      <c r="A142" s="338">
        <v>2</v>
      </c>
      <c r="C142" s="55" t="str">
        <f t="shared" si="73"/>
        <v>0x00 0x01 aa 00 08 61 00 14 02 0F 03 E8 01 7A 55</v>
      </c>
      <c r="D142" s="364" t="s">
        <v>843</v>
      </c>
      <c r="H142" s="388" t="s">
        <v>804</v>
      </c>
      <c r="I142" s="336" t="s">
        <v>805</v>
      </c>
      <c r="J142" s="202" t="s">
        <v>0</v>
      </c>
      <c r="K142" s="75" t="s">
        <v>1</v>
      </c>
      <c r="L142" s="75" t="str">
        <f t="shared" ref="L142:L151" si="74">DEC2HEX(COUNTA(M142:Y142),2)</f>
        <v>08</v>
      </c>
      <c r="M142" s="76" t="s">
        <v>409</v>
      </c>
      <c r="N142" s="76" t="s">
        <v>1</v>
      </c>
      <c r="O142" s="76" t="s">
        <v>244</v>
      </c>
      <c r="P142" s="443" t="s">
        <v>15</v>
      </c>
      <c r="Q142" s="444"/>
      <c r="R142" s="445"/>
      <c r="S142" s="189" t="str">
        <f>DEC2HEX(AB142,2)</f>
        <v>0F</v>
      </c>
      <c r="T142" s="189" t="str">
        <f>LEFT(DEC2HEX(AC142,4),2)</f>
        <v>03</v>
      </c>
      <c r="U142" s="189" t="str">
        <f>RIGHT(DEC2HEX(AC142,4),2)</f>
        <v>E8</v>
      </c>
      <c r="V142" s="189" t="s">
        <v>4</v>
      </c>
      <c r="W142" s="189"/>
      <c r="X142" s="189"/>
      <c r="Y142" s="189"/>
      <c r="Z142" s="84" t="str">
        <f t="shared" ref="Z142:Z151" si="75">DEC2HEX(MOD(HEX2DEC(K142)+HEX2DEC(L142)+HEX2DEC(M142)+HEX2DEC(N142)+HEX2DEC(O142)+HEX2DEC(P142)+HEX2DEC(Q142)+HEX2DEC(R142)+HEX2DEC(S142)+HEX2DEC(T142)+HEX2DEC(U142)+HEX2DEC(V142)+HEX2DEC(Y142),256),2)</f>
        <v>7A</v>
      </c>
      <c r="AA142" s="84" t="s">
        <v>5</v>
      </c>
      <c r="AB142" s="116">
        <v>15</v>
      </c>
      <c r="AC142" s="116">
        <v>1000</v>
      </c>
    </row>
    <row r="143" spans="1:29" ht="15.6" hidden="1" outlineLevel="1" x14ac:dyDescent="0.25">
      <c r="A143" s="338">
        <v>2</v>
      </c>
      <c r="C143" s="55" t="str">
        <f t="shared" si="73"/>
        <v>0x00 0x01 aa 00 08 61 00 14 03 0F 03 E8 01 7B 55</v>
      </c>
      <c r="D143" s="364" t="s">
        <v>843</v>
      </c>
      <c r="H143" s="388" t="s">
        <v>804</v>
      </c>
      <c r="I143" s="336" t="s">
        <v>805</v>
      </c>
      <c r="J143" s="202" t="s">
        <v>0</v>
      </c>
      <c r="K143" s="75" t="s">
        <v>1</v>
      </c>
      <c r="L143" s="75" t="str">
        <f t="shared" si="74"/>
        <v>08</v>
      </c>
      <c r="M143" s="76" t="s">
        <v>409</v>
      </c>
      <c r="N143" s="76" t="s">
        <v>1</v>
      </c>
      <c r="O143" s="76" t="s">
        <v>244</v>
      </c>
      <c r="P143" s="443" t="s">
        <v>13</v>
      </c>
      <c r="Q143" s="444"/>
      <c r="R143" s="445"/>
      <c r="S143" s="189" t="str">
        <f t="shared" ref="S143:S151" si="76">DEC2HEX(AB143,2)</f>
        <v>0F</v>
      </c>
      <c r="T143" s="189" t="str">
        <f t="shared" ref="T143:T151" si="77">LEFT(DEC2HEX(AC143,4),2)</f>
        <v>03</v>
      </c>
      <c r="U143" s="189" t="str">
        <f t="shared" ref="U143:U151" si="78">RIGHT(DEC2HEX(AC143,4),2)</f>
        <v>E8</v>
      </c>
      <c r="V143" s="189" t="s">
        <v>4</v>
      </c>
      <c r="W143" s="189"/>
      <c r="X143" s="189"/>
      <c r="Y143" s="189"/>
      <c r="Z143" s="84" t="str">
        <f t="shared" si="75"/>
        <v>7B</v>
      </c>
      <c r="AA143" s="84" t="s">
        <v>5</v>
      </c>
      <c r="AB143" s="116">
        <v>15</v>
      </c>
      <c r="AC143" s="116">
        <v>1000</v>
      </c>
    </row>
    <row r="144" spans="1:29" ht="15.6" hidden="1" outlineLevel="1" x14ac:dyDescent="0.25">
      <c r="A144" s="338">
        <v>2</v>
      </c>
      <c r="C144" s="55" t="str">
        <f t="shared" si="73"/>
        <v>0x00 0x01 aa 00 08 61 00 14 04 0F 03 E8 01 7C 55</v>
      </c>
      <c r="D144" s="364" t="s">
        <v>846</v>
      </c>
      <c r="H144" s="388" t="s">
        <v>804</v>
      </c>
      <c r="I144" s="336" t="s">
        <v>805</v>
      </c>
      <c r="J144" s="202" t="s">
        <v>0</v>
      </c>
      <c r="K144" s="75" t="s">
        <v>1</v>
      </c>
      <c r="L144" s="75" t="str">
        <f t="shared" si="74"/>
        <v>08</v>
      </c>
      <c r="M144" s="76" t="s">
        <v>409</v>
      </c>
      <c r="N144" s="76" t="s">
        <v>1</v>
      </c>
      <c r="O144" s="76" t="s">
        <v>244</v>
      </c>
      <c r="P144" s="443" t="s">
        <v>18</v>
      </c>
      <c r="Q144" s="444"/>
      <c r="R144" s="445"/>
      <c r="S144" s="189" t="str">
        <f t="shared" si="76"/>
        <v>0F</v>
      </c>
      <c r="T144" s="189" t="str">
        <f t="shared" si="77"/>
        <v>03</v>
      </c>
      <c r="U144" s="189" t="str">
        <f t="shared" si="78"/>
        <v>E8</v>
      </c>
      <c r="V144" s="189" t="s">
        <v>4</v>
      </c>
      <c r="W144" s="189"/>
      <c r="X144" s="189"/>
      <c r="Y144" s="189"/>
      <c r="Z144" s="84" t="str">
        <f t="shared" si="75"/>
        <v>7C</v>
      </c>
      <c r="AA144" s="84" t="s">
        <v>5</v>
      </c>
      <c r="AB144" s="116">
        <v>15</v>
      </c>
      <c r="AC144" s="116">
        <v>1000</v>
      </c>
    </row>
    <row r="145" spans="1:29" ht="15.6" hidden="1" outlineLevel="1" x14ac:dyDescent="0.25">
      <c r="A145" s="338">
        <v>2</v>
      </c>
      <c r="C145" s="55" t="str">
        <f t="shared" si="73"/>
        <v>0x00 0x01 aa 00 08 61 00 14 05 0F 03 E8 01 7D 55</v>
      </c>
      <c r="D145" s="364" t="s">
        <v>843</v>
      </c>
      <c r="H145" s="388" t="s">
        <v>804</v>
      </c>
      <c r="I145" s="336" t="s">
        <v>805</v>
      </c>
      <c r="J145" s="202" t="s">
        <v>0</v>
      </c>
      <c r="K145" s="75" t="s">
        <v>1</v>
      </c>
      <c r="L145" s="75" t="str">
        <f t="shared" si="74"/>
        <v>08</v>
      </c>
      <c r="M145" s="76" t="s">
        <v>409</v>
      </c>
      <c r="N145" s="76" t="s">
        <v>1</v>
      </c>
      <c r="O145" s="76" t="s">
        <v>244</v>
      </c>
      <c r="P145" s="443" t="s">
        <v>122</v>
      </c>
      <c r="Q145" s="444"/>
      <c r="R145" s="445"/>
      <c r="S145" s="189" t="str">
        <f t="shared" si="76"/>
        <v>0F</v>
      </c>
      <c r="T145" s="189" t="str">
        <f t="shared" si="77"/>
        <v>03</v>
      </c>
      <c r="U145" s="189" t="str">
        <f t="shared" si="78"/>
        <v>E8</v>
      </c>
      <c r="V145" s="189" t="s">
        <v>4</v>
      </c>
      <c r="W145" s="189"/>
      <c r="X145" s="189"/>
      <c r="Y145" s="189"/>
      <c r="Z145" s="84" t="str">
        <f t="shared" si="75"/>
        <v>7D</v>
      </c>
      <c r="AA145" s="84" t="s">
        <v>5</v>
      </c>
      <c r="AB145" s="116">
        <v>15</v>
      </c>
      <c r="AC145" s="116">
        <v>1000</v>
      </c>
    </row>
    <row r="146" spans="1:29" ht="15.6" hidden="1" outlineLevel="1" x14ac:dyDescent="0.25">
      <c r="A146" s="338">
        <v>2</v>
      </c>
      <c r="C146" s="55" t="str">
        <f t="shared" si="73"/>
        <v>0x00 0x01 aa 00 08 61 00 14 06 0F 03 E8 01 7E 55</v>
      </c>
      <c r="D146" s="364" t="s">
        <v>843</v>
      </c>
      <c r="H146" s="388" t="s">
        <v>804</v>
      </c>
      <c r="I146" s="336" t="s">
        <v>805</v>
      </c>
      <c r="J146" s="202" t="s">
        <v>0</v>
      </c>
      <c r="K146" s="75" t="s">
        <v>1</v>
      </c>
      <c r="L146" s="75" t="str">
        <f t="shared" si="74"/>
        <v>08</v>
      </c>
      <c r="M146" s="76" t="s">
        <v>409</v>
      </c>
      <c r="N146" s="76" t="s">
        <v>1</v>
      </c>
      <c r="O146" s="76" t="s">
        <v>244</v>
      </c>
      <c r="P146" s="443" t="s">
        <v>123</v>
      </c>
      <c r="Q146" s="444"/>
      <c r="R146" s="445"/>
      <c r="S146" s="189" t="str">
        <f t="shared" si="76"/>
        <v>0F</v>
      </c>
      <c r="T146" s="189" t="str">
        <f t="shared" si="77"/>
        <v>03</v>
      </c>
      <c r="U146" s="189" t="str">
        <f t="shared" si="78"/>
        <v>E8</v>
      </c>
      <c r="V146" s="189" t="s">
        <v>4</v>
      </c>
      <c r="W146" s="189"/>
      <c r="X146" s="189"/>
      <c r="Y146" s="189"/>
      <c r="Z146" s="84" t="str">
        <f t="shared" si="75"/>
        <v>7E</v>
      </c>
      <c r="AA146" s="84" t="s">
        <v>5</v>
      </c>
      <c r="AB146" s="116">
        <v>15</v>
      </c>
      <c r="AC146" s="116">
        <v>1000</v>
      </c>
    </row>
    <row r="147" spans="1:29" ht="15.6" hidden="1" outlineLevel="1" x14ac:dyDescent="0.25">
      <c r="A147" s="338">
        <v>2</v>
      </c>
      <c r="C147" s="55" t="str">
        <f t="shared" si="73"/>
        <v>0x00 0x01 aa 00 08 61 00 14 07 0F 03 E8 01 7F 55</v>
      </c>
      <c r="D147" s="364" t="s">
        <v>843</v>
      </c>
      <c r="H147" s="388" t="s">
        <v>804</v>
      </c>
      <c r="I147" s="336" t="s">
        <v>805</v>
      </c>
      <c r="J147" s="202" t="s">
        <v>0</v>
      </c>
      <c r="K147" s="75" t="s">
        <v>1</v>
      </c>
      <c r="L147" s="75" t="str">
        <f t="shared" si="74"/>
        <v>08</v>
      </c>
      <c r="M147" s="76" t="s">
        <v>409</v>
      </c>
      <c r="N147" s="76" t="s">
        <v>1</v>
      </c>
      <c r="O147" s="76" t="s">
        <v>244</v>
      </c>
      <c r="P147" s="443" t="s">
        <v>124</v>
      </c>
      <c r="Q147" s="444"/>
      <c r="R147" s="445"/>
      <c r="S147" s="189" t="str">
        <f t="shared" si="76"/>
        <v>0F</v>
      </c>
      <c r="T147" s="189" t="str">
        <f t="shared" si="77"/>
        <v>03</v>
      </c>
      <c r="U147" s="189" t="str">
        <f t="shared" si="78"/>
        <v>E8</v>
      </c>
      <c r="V147" s="189" t="s">
        <v>4</v>
      </c>
      <c r="W147" s="189"/>
      <c r="X147" s="189"/>
      <c r="Y147" s="189"/>
      <c r="Z147" s="84" t="str">
        <f t="shared" si="75"/>
        <v>7F</v>
      </c>
      <c r="AA147" s="84" t="s">
        <v>5</v>
      </c>
      <c r="AB147" s="116">
        <v>15</v>
      </c>
      <c r="AC147" s="116">
        <v>1000</v>
      </c>
    </row>
    <row r="148" spans="1:29" ht="15.6" hidden="1" outlineLevel="1" x14ac:dyDescent="0.25">
      <c r="A148" s="338">
        <v>2</v>
      </c>
      <c r="C148" s="55" t="str">
        <f t="shared" si="73"/>
        <v>0x00 0x01 aa 00 08 61 00 14 08 0F 03 E8 01 80 55</v>
      </c>
      <c r="D148" s="364" t="s">
        <v>843</v>
      </c>
      <c r="H148" s="388" t="s">
        <v>804</v>
      </c>
      <c r="I148" s="336" t="s">
        <v>805</v>
      </c>
      <c r="J148" s="202" t="s">
        <v>0</v>
      </c>
      <c r="K148" s="75" t="s">
        <v>1</v>
      </c>
      <c r="L148" s="75" t="str">
        <f t="shared" si="74"/>
        <v>08</v>
      </c>
      <c r="M148" s="76" t="s">
        <v>409</v>
      </c>
      <c r="N148" s="76" t="s">
        <v>1</v>
      </c>
      <c r="O148" s="76" t="s">
        <v>244</v>
      </c>
      <c r="P148" s="443" t="s">
        <v>125</v>
      </c>
      <c r="Q148" s="444"/>
      <c r="R148" s="445"/>
      <c r="S148" s="189" t="str">
        <f t="shared" si="76"/>
        <v>0F</v>
      </c>
      <c r="T148" s="189" t="str">
        <f t="shared" si="77"/>
        <v>03</v>
      </c>
      <c r="U148" s="189" t="str">
        <f t="shared" si="78"/>
        <v>E8</v>
      </c>
      <c r="V148" s="189" t="s">
        <v>4</v>
      </c>
      <c r="W148" s="189"/>
      <c r="X148" s="189"/>
      <c r="Y148" s="189"/>
      <c r="Z148" s="84" t="str">
        <f t="shared" si="75"/>
        <v>80</v>
      </c>
      <c r="AA148" s="84" t="s">
        <v>5</v>
      </c>
      <c r="AB148" s="116">
        <v>15</v>
      </c>
      <c r="AC148" s="116">
        <v>1000</v>
      </c>
    </row>
    <row r="149" spans="1:29" ht="15.6" hidden="1" outlineLevel="1" x14ac:dyDescent="0.25">
      <c r="A149" s="338">
        <v>2</v>
      </c>
      <c r="C149" s="55" t="str">
        <f t="shared" si="73"/>
        <v>0x00 0x01 aa 00 08 61 00 14 09 0F 03 E8 01 81 55</v>
      </c>
      <c r="D149" s="364" t="s">
        <v>843</v>
      </c>
      <c r="H149" s="388" t="s">
        <v>804</v>
      </c>
      <c r="I149" s="336" t="s">
        <v>805</v>
      </c>
      <c r="J149" s="202" t="s">
        <v>0</v>
      </c>
      <c r="K149" s="75" t="s">
        <v>1</v>
      </c>
      <c r="L149" s="75" t="str">
        <f t="shared" si="74"/>
        <v>08</v>
      </c>
      <c r="M149" s="76" t="s">
        <v>409</v>
      </c>
      <c r="N149" s="76" t="s">
        <v>1</v>
      </c>
      <c r="O149" s="76" t="s">
        <v>244</v>
      </c>
      <c r="P149" s="443" t="s">
        <v>126</v>
      </c>
      <c r="Q149" s="444"/>
      <c r="R149" s="445"/>
      <c r="S149" s="189" t="str">
        <f t="shared" si="76"/>
        <v>0F</v>
      </c>
      <c r="T149" s="189" t="str">
        <f t="shared" si="77"/>
        <v>03</v>
      </c>
      <c r="U149" s="189" t="str">
        <f t="shared" si="78"/>
        <v>E8</v>
      </c>
      <c r="V149" s="189" t="s">
        <v>4</v>
      </c>
      <c r="W149" s="189"/>
      <c r="X149" s="189"/>
      <c r="Y149" s="189"/>
      <c r="Z149" s="84" t="str">
        <f t="shared" si="75"/>
        <v>81</v>
      </c>
      <c r="AA149" s="84" t="s">
        <v>5</v>
      </c>
      <c r="AB149" s="116">
        <v>15</v>
      </c>
      <c r="AC149" s="116">
        <v>1000</v>
      </c>
    </row>
    <row r="150" spans="1:29" ht="15.6" hidden="1" outlineLevel="1" x14ac:dyDescent="0.25">
      <c r="A150" s="338">
        <v>2</v>
      </c>
      <c r="C150" s="55" t="str">
        <f t="shared" si="73"/>
        <v>0x00 0x01 aa 00 08 61 00 14 0A 0F 03 E8 01 82 55</v>
      </c>
      <c r="D150" s="364" t="s">
        <v>843</v>
      </c>
      <c r="H150" s="388" t="s">
        <v>804</v>
      </c>
      <c r="I150" s="336" t="s">
        <v>805</v>
      </c>
      <c r="J150" s="202" t="s">
        <v>0</v>
      </c>
      <c r="K150" s="75" t="s">
        <v>1</v>
      </c>
      <c r="L150" s="75" t="str">
        <f t="shared" si="74"/>
        <v>08</v>
      </c>
      <c r="M150" s="76" t="s">
        <v>409</v>
      </c>
      <c r="N150" s="76" t="s">
        <v>1</v>
      </c>
      <c r="O150" s="76" t="s">
        <v>244</v>
      </c>
      <c r="P150" s="443" t="s">
        <v>37</v>
      </c>
      <c r="Q150" s="444"/>
      <c r="R150" s="445"/>
      <c r="S150" s="189" t="str">
        <f t="shared" si="76"/>
        <v>0F</v>
      </c>
      <c r="T150" s="189" t="str">
        <f t="shared" si="77"/>
        <v>03</v>
      </c>
      <c r="U150" s="189" t="str">
        <f t="shared" si="78"/>
        <v>E8</v>
      </c>
      <c r="V150" s="189" t="s">
        <v>4</v>
      </c>
      <c r="W150" s="189"/>
      <c r="X150" s="189"/>
      <c r="Y150" s="189"/>
      <c r="Z150" s="84" t="str">
        <f t="shared" si="75"/>
        <v>82</v>
      </c>
      <c r="AA150" s="84" t="s">
        <v>5</v>
      </c>
      <c r="AB150" s="116">
        <v>15</v>
      </c>
      <c r="AC150" s="116">
        <v>1000</v>
      </c>
    </row>
    <row r="151" spans="1:29" ht="15.6" hidden="1" outlineLevel="1" x14ac:dyDescent="0.25">
      <c r="A151" s="338">
        <v>2</v>
      </c>
      <c r="C151" s="55" t="str">
        <f t="shared" si="73"/>
        <v>0x00 0x01 aa 00 08 61 00 14 0B 0F 03 E8 01 83 55</v>
      </c>
      <c r="D151" s="364" t="s">
        <v>843</v>
      </c>
      <c r="H151" s="388" t="s">
        <v>804</v>
      </c>
      <c r="I151" s="336" t="s">
        <v>805</v>
      </c>
      <c r="J151" s="202" t="s">
        <v>0</v>
      </c>
      <c r="K151" s="75" t="s">
        <v>1</v>
      </c>
      <c r="L151" s="75" t="str">
        <f t="shared" si="74"/>
        <v>08</v>
      </c>
      <c r="M151" s="76" t="s">
        <v>409</v>
      </c>
      <c r="N151" s="76" t="s">
        <v>1</v>
      </c>
      <c r="O151" s="76" t="s">
        <v>244</v>
      </c>
      <c r="P151" s="443" t="s">
        <v>36</v>
      </c>
      <c r="Q151" s="444"/>
      <c r="R151" s="445"/>
      <c r="S151" s="189" t="str">
        <f t="shared" si="76"/>
        <v>0F</v>
      </c>
      <c r="T151" s="189" t="str">
        <f t="shared" si="77"/>
        <v>03</v>
      </c>
      <c r="U151" s="189" t="str">
        <f t="shared" si="78"/>
        <v>E8</v>
      </c>
      <c r="V151" s="189" t="s">
        <v>4</v>
      </c>
      <c r="W151" s="189"/>
      <c r="X151" s="189"/>
      <c r="Y151" s="189"/>
      <c r="Z151" s="84" t="str">
        <f t="shared" si="75"/>
        <v>83</v>
      </c>
      <c r="AA151" s="84" t="s">
        <v>5</v>
      </c>
      <c r="AB151" s="116">
        <v>15</v>
      </c>
      <c r="AC151" s="116">
        <v>1000</v>
      </c>
    </row>
    <row r="152" spans="1:29" ht="15.6" hidden="1" outlineLevel="1" x14ac:dyDescent="0.25">
      <c r="A152" s="338">
        <v>2</v>
      </c>
      <c r="C152" t="str">
        <f t="shared" si="73"/>
        <v/>
      </c>
      <c r="D152" s="364"/>
      <c r="H152" s="388"/>
      <c r="I152" s="336"/>
      <c r="J152" s="202"/>
      <c r="K152" s="75"/>
      <c r="L152" s="75"/>
      <c r="M152" s="76"/>
      <c r="N152" s="76"/>
      <c r="O152" s="76"/>
      <c r="P152" s="443"/>
      <c r="Q152" s="444"/>
      <c r="R152" s="445"/>
      <c r="S152" s="189"/>
      <c r="T152" s="189"/>
      <c r="U152" s="189"/>
      <c r="V152" s="189"/>
      <c r="W152" s="189"/>
      <c r="X152" s="189"/>
      <c r="Y152" s="189"/>
      <c r="Z152" s="84"/>
      <c r="AA152" s="84"/>
      <c r="AB152" s="116"/>
      <c r="AC152" s="116"/>
    </row>
    <row r="153" spans="1:29" ht="16.2" hidden="1" outlineLevel="1" thickBot="1" x14ac:dyDescent="0.3">
      <c r="A153" s="338">
        <v>2</v>
      </c>
      <c r="C153" t="str">
        <f t="shared" si="73"/>
        <v/>
      </c>
      <c r="D153" s="364"/>
      <c r="H153" s="388"/>
      <c r="I153" s="336"/>
      <c r="J153" s="88"/>
      <c r="K153" s="46"/>
      <c r="L153" s="46"/>
      <c r="M153" s="47"/>
      <c r="N153" s="47"/>
      <c r="O153" s="47"/>
      <c r="P153" s="470"/>
      <c r="Q153" s="471"/>
      <c r="R153" s="472"/>
      <c r="S153" s="203"/>
      <c r="T153" s="203"/>
      <c r="U153" s="203"/>
      <c r="V153" s="203"/>
      <c r="W153" s="203"/>
      <c r="X153" s="203"/>
      <c r="Y153" s="203"/>
      <c r="Z153" s="85"/>
      <c r="AA153" s="85"/>
      <c r="AB153" s="204"/>
      <c r="AC153" s="204"/>
    </row>
    <row r="154" spans="1:29" ht="16.2" hidden="1" outlineLevel="1" thickBot="1" x14ac:dyDescent="0.3">
      <c r="A154" s="338">
        <v>2</v>
      </c>
      <c r="C154" s="55" t="str">
        <f t="shared" si="73"/>
        <v>0x00 0x01 aa 00 08 61 00 15 01 02 03 E8 01 6D 55</v>
      </c>
      <c r="D154" s="364" t="s">
        <v>844</v>
      </c>
      <c r="H154" s="388" t="s">
        <v>804</v>
      </c>
      <c r="I154" s="336" t="s">
        <v>805</v>
      </c>
      <c r="J154" s="195" t="s">
        <v>0</v>
      </c>
      <c r="K154" s="196" t="s">
        <v>1</v>
      </c>
      <c r="L154" s="196" t="str">
        <f>DEC2HEX(COUNTA(M154:Y154),2)</f>
        <v>08</v>
      </c>
      <c r="M154" s="197" t="s">
        <v>409</v>
      </c>
      <c r="N154" s="197" t="s">
        <v>1</v>
      </c>
      <c r="O154" s="197" t="s">
        <v>527</v>
      </c>
      <c r="P154" s="467" t="s">
        <v>4</v>
      </c>
      <c r="Q154" s="468"/>
      <c r="R154" s="469"/>
      <c r="S154" s="189" t="str">
        <f t="shared" ref="S154:S159" si="79">DEC2HEX(AB154,2)</f>
        <v>02</v>
      </c>
      <c r="T154" s="189" t="str">
        <f t="shared" ref="T154" si="80">LEFT(DEC2HEX(AC154,4),2)</f>
        <v>03</v>
      </c>
      <c r="U154" s="189" t="str">
        <f t="shared" ref="U154" si="81">RIGHT(DEC2HEX(AC154,4),2)</f>
        <v>E8</v>
      </c>
      <c r="V154" s="198" t="s">
        <v>4</v>
      </c>
      <c r="W154" s="198"/>
      <c r="X154" s="198"/>
      <c r="Y154" s="198"/>
      <c r="Z154" s="199" t="str">
        <f>DEC2HEX(MOD(HEX2DEC(K154)+HEX2DEC(L154)+HEX2DEC(M154)+HEX2DEC(N154)+HEX2DEC(O154)+HEX2DEC(P154)+HEX2DEC(Q154)+HEX2DEC(R154)+HEX2DEC(S154)+HEX2DEC(T154)+HEX2DEC(U154)+HEX2DEC(V154)+HEX2DEC(Y154),256),2)</f>
        <v>6D</v>
      </c>
      <c r="AA154" s="199" t="s">
        <v>5</v>
      </c>
      <c r="AB154" s="201">
        <v>2</v>
      </c>
      <c r="AC154" s="201">
        <v>1000</v>
      </c>
    </row>
    <row r="155" spans="1:29" ht="16.2" hidden="1" outlineLevel="1" thickBot="1" x14ac:dyDescent="0.3">
      <c r="A155" s="338">
        <v>2</v>
      </c>
      <c r="C155" s="55" t="str">
        <f t="shared" si="73"/>
        <v>0x00 0x01 aa 00 08 61 00 15 02 0E 03 E8 01 7A 55</v>
      </c>
      <c r="D155" s="364" t="s">
        <v>844</v>
      </c>
      <c r="H155" s="388" t="s">
        <v>804</v>
      </c>
      <c r="I155" s="336" t="s">
        <v>805</v>
      </c>
      <c r="J155" s="202" t="s">
        <v>0</v>
      </c>
      <c r="K155" s="75" t="s">
        <v>1</v>
      </c>
      <c r="L155" s="75" t="str">
        <f t="shared" ref="L155:L159" si="82">DEC2HEX(COUNTA(M155:Y155),2)</f>
        <v>08</v>
      </c>
      <c r="M155" s="76" t="s">
        <v>409</v>
      </c>
      <c r="N155" s="76" t="s">
        <v>1</v>
      </c>
      <c r="O155" s="76" t="s">
        <v>527</v>
      </c>
      <c r="P155" s="443" t="s">
        <v>15</v>
      </c>
      <c r="Q155" s="444"/>
      <c r="R155" s="445"/>
      <c r="S155" s="189" t="str">
        <f t="shared" si="79"/>
        <v>0E</v>
      </c>
      <c r="T155" s="189" t="str">
        <f t="shared" ref="T155:T159" si="83">LEFT(DEC2HEX(AC155,4),2)</f>
        <v>03</v>
      </c>
      <c r="U155" s="189" t="str">
        <f t="shared" ref="U155:U159" si="84">RIGHT(DEC2HEX(AC155,4),2)</f>
        <v>E8</v>
      </c>
      <c r="V155" s="189" t="s">
        <v>4</v>
      </c>
      <c r="W155" s="189"/>
      <c r="X155" s="189"/>
      <c r="Y155" s="189"/>
      <c r="Z155" s="84" t="str">
        <f t="shared" ref="Z155:Z159" si="85">DEC2HEX(MOD(HEX2DEC(K155)+HEX2DEC(L155)+HEX2DEC(M155)+HEX2DEC(N155)+HEX2DEC(O155)+HEX2DEC(P155)+HEX2DEC(Q155)+HEX2DEC(R155)+HEX2DEC(S155)+HEX2DEC(T155)+HEX2DEC(U155)+HEX2DEC(V155)+HEX2DEC(Y155),256),2)</f>
        <v>7A</v>
      </c>
      <c r="AA155" s="84" t="s">
        <v>5</v>
      </c>
      <c r="AB155" s="201">
        <v>14</v>
      </c>
      <c r="AC155" s="116">
        <v>1000</v>
      </c>
    </row>
    <row r="156" spans="1:29" ht="16.2" hidden="1" outlineLevel="1" thickBot="1" x14ac:dyDescent="0.3">
      <c r="A156" s="338">
        <v>2</v>
      </c>
      <c r="C156" s="55" t="str">
        <f t="shared" si="73"/>
        <v>0x00 0x01 aa 00 08 61 00 15 03 0E 03 E8 01 7B 55</v>
      </c>
      <c r="D156" s="364" t="s">
        <v>844</v>
      </c>
      <c r="H156" s="388" t="s">
        <v>804</v>
      </c>
      <c r="I156" s="336" t="s">
        <v>805</v>
      </c>
      <c r="J156" s="202" t="s">
        <v>0</v>
      </c>
      <c r="K156" s="75" t="s">
        <v>1</v>
      </c>
      <c r="L156" s="75" t="str">
        <f t="shared" si="82"/>
        <v>08</v>
      </c>
      <c r="M156" s="76" t="s">
        <v>409</v>
      </c>
      <c r="N156" s="76" t="s">
        <v>1</v>
      </c>
      <c r="O156" s="76" t="s">
        <v>527</v>
      </c>
      <c r="P156" s="443" t="s">
        <v>13</v>
      </c>
      <c r="Q156" s="444"/>
      <c r="R156" s="445"/>
      <c r="S156" s="189" t="str">
        <f t="shared" si="79"/>
        <v>0E</v>
      </c>
      <c r="T156" s="189" t="str">
        <f t="shared" si="83"/>
        <v>03</v>
      </c>
      <c r="U156" s="189" t="str">
        <f t="shared" si="84"/>
        <v>E8</v>
      </c>
      <c r="V156" s="189" t="s">
        <v>4</v>
      </c>
      <c r="W156" s="189"/>
      <c r="X156" s="189"/>
      <c r="Y156" s="189"/>
      <c r="Z156" s="84" t="str">
        <f t="shared" si="85"/>
        <v>7B</v>
      </c>
      <c r="AA156" s="84" t="s">
        <v>5</v>
      </c>
      <c r="AB156" s="201">
        <v>14</v>
      </c>
      <c r="AC156" s="116">
        <v>1000</v>
      </c>
    </row>
    <row r="157" spans="1:29" ht="16.2" hidden="1" outlineLevel="1" thickBot="1" x14ac:dyDescent="0.3">
      <c r="A157" s="338">
        <v>2</v>
      </c>
      <c r="C157" s="55" t="str">
        <f t="shared" si="73"/>
        <v>0x00 0x01 aa 00 08 61 00 15 04 0E 03 E8 01 7C 55</v>
      </c>
      <c r="D157" s="364" t="s">
        <v>844</v>
      </c>
      <c r="H157" s="388" t="s">
        <v>804</v>
      </c>
      <c r="I157" s="336" t="s">
        <v>805</v>
      </c>
      <c r="J157" s="202" t="s">
        <v>0</v>
      </c>
      <c r="K157" s="75" t="s">
        <v>1</v>
      </c>
      <c r="L157" s="75" t="str">
        <f t="shared" si="82"/>
        <v>08</v>
      </c>
      <c r="M157" s="76" t="s">
        <v>409</v>
      </c>
      <c r="N157" s="76" t="s">
        <v>1</v>
      </c>
      <c r="O157" s="76" t="s">
        <v>527</v>
      </c>
      <c r="P157" s="443" t="s">
        <v>18</v>
      </c>
      <c r="Q157" s="444"/>
      <c r="R157" s="445"/>
      <c r="S157" s="189" t="str">
        <f t="shared" si="79"/>
        <v>0E</v>
      </c>
      <c r="T157" s="189" t="str">
        <f t="shared" si="83"/>
        <v>03</v>
      </c>
      <c r="U157" s="189" t="str">
        <f t="shared" si="84"/>
        <v>E8</v>
      </c>
      <c r="V157" s="189" t="s">
        <v>4</v>
      </c>
      <c r="W157" s="189"/>
      <c r="X157" s="189"/>
      <c r="Y157" s="189"/>
      <c r="Z157" s="84" t="str">
        <f t="shared" si="85"/>
        <v>7C</v>
      </c>
      <c r="AA157" s="84" t="s">
        <v>5</v>
      </c>
      <c r="AB157" s="201">
        <v>14</v>
      </c>
      <c r="AC157" s="116">
        <v>1000</v>
      </c>
    </row>
    <row r="158" spans="1:29" ht="16.2" hidden="1" outlineLevel="1" thickBot="1" x14ac:dyDescent="0.3">
      <c r="A158" s="338">
        <v>2</v>
      </c>
      <c r="C158" s="55" t="str">
        <f t="shared" si="73"/>
        <v>0x00 0x01 aa 00 08 61 00 15 05 0E 03 E8 01 7D 55</v>
      </c>
      <c r="D158" s="364" t="s">
        <v>844</v>
      </c>
      <c r="H158" s="388" t="s">
        <v>804</v>
      </c>
      <c r="I158" s="336" t="s">
        <v>805</v>
      </c>
      <c r="J158" s="202" t="s">
        <v>0</v>
      </c>
      <c r="K158" s="75" t="s">
        <v>1</v>
      </c>
      <c r="L158" s="75" t="str">
        <f t="shared" si="82"/>
        <v>08</v>
      </c>
      <c r="M158" s="76" t="s">
        <v>409</v>
      </c>
      <c r="N158" s="76" t="s">
        <v>1</v>
      </c>
      <c r="O158" s="76" t="s">
        <v>527</v>
      </c>
      <c r="P158" s="443" t="s">
        <v>122</v>
      </c>
      <c r="Q158" s="444"/>
      <c r="R158" s="445"/>
      <c r="S158" s="189" t="str">
        <f t="shared" si="79"/>
        <v>0E</v>
      </c>
      <c r="T158" s="189" t="str">
        <f t="shared" si="83"/>
        <v>03</v>
      </c>
      <c r="U158" s="189" t="str">
        <f t="shared" si="84"/>
        <v>E8</v>
      </c>
      <c r="V158" s="189" t="s">
        <v>4</v>
      </c>
      <c r="W158" s="189"/>
      <c r="X158" s="189"/>
      <c r="Y158" s="189"/>
      <c r="Z158" s="84" t="str">
        <f t="shared" si="85"/>
        <v>7D</v>
      </c>
      <c r="AA158" s="84" t="s">
        <v>5</v>
      </c>
      <c r="AB158" s="201">
        <v>14</v>
      </c>
      <c r="AC158" s="116">
        <v>1000</v>
      </c>
    </row>
    <row r="159" spans="1:29" ht="15.6" hidden="1" outlineLevel="1" x14ac:dyDescent="0.25">
      <c r="A159" s="338">
        <v>2</v>
      </c>
      <c r="C159" s="55" t="str">
        <f t="shared" si="73"/>
        <v>0x00 0x01 aa 00 08 61 00 15 06 0E 03 E8 01 7E 55</v>
      </c>
      <c r="D159" s="364" t="s">
        <v>844</v>
      </c>
      <c r="H159" s="388" t="s">
        <v>804</v>
      </c>
      <c r="I159" s="336" t="s">
        <v>805</v>
      </c>
      <c r="J159" s="202" t="s">
        <v>0</v>
      </c>
      <c r="K159" s="75" t="s">
        <v>1</v>
      </c>
      <c r="L159" s="75" t="str">
        <f t="shared" si="82"/>
        <v>08</v>
      </c>
      <c r="M159" s="76" t="s">
        <v>409</v>
      </c>
      <c r="N159" s="76" t="s">
        <v>1</v>
      </c>
      <c r="O159" s="76" t="s">
        <v>527</v>
      </c>
      <c r="P159" s="443" t="s">
        <v>123</v>
      </c>
      <c r="Q159" s="444"/>
      <c r="R159" s="445"/>
      <c r="S159" s="189" t="str">
        <f t="shared" si="79"/>
        <v>0E</v>
      </c>
      <c r="T159" s="189" t="str">
        <f t="shared" si="83"/>
        <v>03</v>
      </c>
      <c r="U159" s="189" t="str">
        <f t="shared" si="84"/>
        <v>E8</v>
      </c>
      <c r="V159" s="189" t="s">
        <v>4</v>
      </c>
      <c r="W159" s="189"/>
      <c r="X159" s="189"/>
      <c r="Y159" s="189"/>
      <c r="Z159" s="84" t="str">
        <f t="shared" si="85"/>
        <v>7E</v>
      </c>
      <c r="AA159" s="84" t="s">
        <v>5</v>
      </c>
      <c r="AB159" s="201">
        <v>14</v>
      </c>
      <c r="AC159" s="116">
        <v>1000</v>
      </c>
    </row>
    <row r="160" spans="1:29" hidden="1" outlineLevel="1" x14ac:dyDescent="0.25">
      <c r="A160" s="338">
        <v>2</v>
      </c>
    </row>
    <row r="161" spans="1:32" ht="16.8" hidden="1" outlineLevel="1" x14ac:dyDescent="0.25">
      <c r="A161" s="338">
        <v>2</v>
      </c>
      <c r="J161" s="86" t="s">
        <v>77</v>
      </c>
      <c r="K161" s="361" t="s">
        <v>78</v>
      </c>
      <c r="L161" s="361" t="s">
        <v>10</v>
      </c>
      <c r="M161" s="361" t="s">
        <v>79</v>
      </c>
      <c r="N161" s="361" t="s">
        <v>80</v>
      </c>
      <c r="O161" s="361" t="s">
        <v>11</v>
      </c>
      <c r="P161" s="190"/>
      <c r="Q161" s="190"/>
      <c r="R161" s="190"/>
      <c r="S161" s="190" t="s">
        <v>632</v>
      </c>
      <c r="T161" s="190" t="s">
        <v>630</v>
      </c>
      <c r="U161" s="190" t="s">
        <v>631</v>
      </c>
      <c r="V161" s="190" t="s">
        <v>524</v>
      </c>
      <c r="W161" s="462" t="s">
        <v>394</v>
      </c>
      <c r="X161" s="463"/>
      <c r="Y161" s="361" t="s">
        <v>75</v>
      </c>
      <c r="Z161" s="83" t="s">
        <v>81</v>
      </c>
      <c r="AA161" s="83" t="s">
        <v>82</v>
      </c>
      <c r="AB161" s="23" t="s">
        <v>632</v>
      </c>
      <c r="AC161" s="23" t="s">
        <v>630</v>
      </c>
      <c r="AD161" s="23" t="s">
        <v>631</v>
      </c>
      <c r="AE161" s="23" t="s">
        <v>522</v>
      </c>
      <c r="AF161" s="23" t="s">
        <v>523</v>
      </c>
    </row>
    <row r="162" spans="1:32" ht="15" hidden="1" outlineLevel="1" thickBot="1" x14ac:dyDescent="0.3">
      <c r="A162" s="338">
        <v>2</v>
      </c>
      <c r="C162" s="55" t="str">
        <f t="shared" si="73"/>
        <v>0x00 0x01 aa 00 0A 61 00 11 14 14 14 13 03 E8 01 B7 55</v>
      </c>
      <c r="D162" s="365" t="s">
        <v>633</v>
      </c>
      <c r="H162" s="388" t="s">
        <v>804</v>
      </c>
      <c r="I162" s="336" t="s">
        <v>805</v>
      </c>
      <c r="J162" s="84" t="s">
        <v>0</v>
      </c>
      <c r="K162" s="75" t="s">
        <v>1</v>
      </c>
      <c r="L162" s="75" t="str">
        <f>DEC2HEX(COUNTA(M162:Y162),2)</f>
        <v>0A</v>
      </c>
      <c r="M162" s="76" t="s">
        <v>409</v>
      </c>
      <c r="N162" s="76" t="s">
        <v>1</v>
      </c>
      <c r="O162" s="76" t="s">
        <v>28</v>
      </c>
      <c r="P162" s="189"/>
      <c r="Q162" s="189"/>
      <c r="R162" s="189"/>
      <c r="S162" s="189" t="str">
        <f>DEC2HEX(AB162,2)</f>
        <v>14</v>
      </c>
      <c r="T162" s="189" t="str">
        <f>DEC2HEX(AC162,2)</f>
        <v>14</v>
      </c>
      <c r="U162" s="189" t="str">
        <f>DEC2HEX(AD162,2)</f>
        <v>14</v>
      </c>
      <c r="V162" s="189" t="str">
        <f>DEC2HEX(AE162,2)</f>
        <v>13</v>
      </c>
      <c r="W162" s="189" t="str">
        <f>LEFT(DEC2HEX(AF162,4),2)</f>
        <v>03</v>
      </c>
      <c r="X162" s="189" t="str">
        <f>RIGHT(DEC2HEX(AF162,4),2)</f>
        <v>E8</v>
      </c>
      <c r="Y162" s="189" t="s">
        <v>4</v>
      </c>
      <c r="Z162" s="85" t="str">
        <f>DEC2HEX(MOD(HEX2DEC(K162)+HEX2DEC(L162)+HEX2DEC(M162)+HEX2DEC(N162)+HEX2DEC(O162)+HEX2DEC(P162)+HEX2DEC(Q162)+HEX2DEC(R162)+HEX2DEC(S162)+HEX2DEC(T162)+HEX2DEC(U162)+HEX2DEC(V162)+HEX2DEC(W162)+HEX2DEC(X162)+HEX2DEC(Y162),256),2)</f>
        <v>B7</v>
      </c>
      <c r="AA162" s="84" t="s">
        <v>5</v>
      </c>
      <c r="AB162" s="116">
        <v>20</v>
      </c>
      <c r="AC162" s="116">
        <v>20</v>
      </c>
      <c r="AD162" s="116">
        <v>20</v>
      </c>
      <c r="AE162" s="116">
        <v>19</v>
      </c>
      <c r="AF162" s="116">
        <v>1000</v>
      </c>
    </row>
    <row r="163" spans="1:32" collapsed="1" x14ac:dyDescent="0.25"/>
    <row r="165" spans="1:32" x14ac:dyDescent="0.25">
      <c r="A165" s="330">
        <v>1</v>
      </c>
      <c r="B165" s="330"/>
      <c r="C165" s="330"/>
      <c r="D165" s="330" t="s">
        <v>822</v>
      </c>
      <c r="AC165" s="45" t="s">
        <v>394</v>
      </c>
      <c r="AD165" s="112" t="s">
        <v>389</v>
      </c>
      <c r="AE165" s="112" t="s">
        <v>390</v>
      </c>
    </row>
    <row r="166" spans="1:32" x14ac:dyDescent="0.25">
      <c r="A166" s="338">
        <v>2</v>
      </c>
      <c r="C166" s="55" t="str">
        <f t="shared" ref="C166" si="86">IF(ISBLANK(H166),,H166&amp;" ")&amp;IF(ISBLANK(I166),,I166&amp;" ")&amp;IF(ISBLANK(J166),,J166&amp;" ")&amp;IF(ISBLANK(K166),,K166&amp;" ")&amp;IF(ISBLANK(L166),,L166&amp;" ")&amp;IF(ISBLANK(M166),,M166&amp;" ")&amp;IF(ISBLANK(N166),,N166&amp;" ")&amp;IF(ISBLANK(O166),,O166&amp;" ")&amp;IF(ISBLANK(P166),,P166&amp;" ")&amp;IF(ISBLANK(Q166),,Q166&amp;" ")&amp;IF(ISBLANK(R166),,R166&amp;" ")&amp;IF(ISBLANK(S166),,S166&amp;" ")&amp;IF(ISBLANK(T166),,T166&amp;" ")&amp;IF(ISBLANK(U166),,U166&amp;" ")&amp;IF(ISBLANK(V166),,V166&amp;" ")&amp;IF(ISBLANK(W166),,W166&amp;" ")&amp;IF(ISBLANK(X166),,X166&amp;" ")&amp;IF(ISBLANK(Y166),,Y166&amp;" ")&amp;IF(ISBLANK(Z166),,Z166&amp;" ")&amp;IF(ISBLANK(AA166),,AA166)</f>
        <v>0x00 0x01 aa 00 09 E2 00 00 03 E8 00 00 00 00 D6 55</v>
      </c>
      <c r="D166" s="354" t="s">
        <v>824</v>
      </c>
      <c r="H166" s="388" t="s">
        <v>804</v>
      </c>
      <c r="I166" s="336" t="s">
        <v>805</v>
      </c>
      <c r="J166" s="84" t="s">
        <v>0</v>
      </c>
      <c r="K166" s="75" t="s">
        <v>1</v>
      </c>
      <c r="L166" s="75" t="s">
        <v>52</v>
      </c>
      <c r="M166" s="76" t="s">
        <v>388</v>
      </c>
      <c r="N166" s="76" t="s">
        <v>1</v>
      </c>
      <c r="O166" s="113" t="s">
        <v>1</v>
      </c>
      <c r="P166" s="353" t="str">
        <f>LEFT(DEC2HEX(AC166,4),2)</f>
        <v>03</v>
      </c>
      <c r="Q166" s="353" t="str">
        <f>RIGHT(DEC2HEX(AC166,4),2)</f>
        <v>E8</v>
      </c>
      <c r="R166" s="353" t="str">
        <f>LEFT(DEC2HEX(AD166,4),2)</f>
        <v>00</v>
      </c>
      <c r="S166" s="353" t="str">
        <f>RIGHT(DEC2HEX(AD166,4),2)</f>
        <v>00</v>
      </c>
      <c r="T166" s="353" t="str">
        <f>LEFT(DEC2HEX(AE166,4),2)</f>
        <v>00</v>
      </c>
      <c r="U166" s="353" t="str">
        <f>RIGHT(DEC2HEX(AE166,4),2)</f>
        <v>00</v>
      </c>
      <c r="V166" s="114"/>
      <c r="W166" s="57"/>
      <c r="X166" s="57"/>
      <c r="Y166" s="57"/>
      <c r="Z166" s="84" t="str">
        <f>DEC2HEX(MOD(HEX2DEC(K166)+HEX2DEC(L166)+HEX2DEC(M166)+HEX2DEC(N166)+HEX2DEC(O166)+HEX2DEC(P166)+HEX2DEC(Q166)+HEX2DEC(R166)+HEX2DEC(S166)+HEX2DEC(T166)+HEX2DEC(U166)+HEX2DEC(V166)+HEX2DEC(Y166),256),2)</f>
        <v>D6</v>
      </c>
      <c r="AA166" s="84" t="s">
        <v>5</v>
      </c>
      <c r="AC166" s="110">
        <v>1000</v>
      </c>
      <c r="AD166" s="77">
        <v>0</v>
      </c>
      <c r="AE166" s="77">
        <v>0</v>
      </c>
    </row>
    <row r="167" spans="1:32" x14ac:dyDescent="0.25">
      <c r="A167" s="338">
        <v>2</v>
      </c>
      <c r="C167" s="55" t="str">
        <f t="shared" ref="C167" si="87">IF(ISBLANK(H167),,H167&amp;" ")&amp;IF(ISBLANK(I167),,I167&amp;" ")&amp;IF(ISBLANK(J167),,J167&amp;" ")&amp;IF(ISBLANK(K167),,K167&amp;" ")&amp;IF(ISBLANK(L167),,L167&amp;" ")&amp;IF(ISBLANK(M167),,M167&amp;" ")&amp;IF(ISBLANK(N167),,N167&amp;" ")&amp;IF(ISBLANK(O167),,O167&amp;" ")&amp;IF(ISBLANK(P167),,P167&amp;" ")&amp;IF(ISBLANK(Q167),,Q167&amp;" ")&amp;IF(ISBLANK(R167),,R167&amp;" ")&amp;IF(ISBLANK(S167),,S167&amp;" ")&amp;IF(ISBLANK(T167),,T167&amp;" ")&amp;IF(ISBLANK(U167),,U167&amp;" ")&amp;IF(ISBLANK(V167),,V167&amp;" ")&amp;IF(ISBLANK(W167),,W167&amp;" ")&amp;IF(ISBLANK(X167),,X167&amp;" ")&amp;IF(ISBLANK(Y167),,Y167&amp;" ")&amp;IF(ISBLANK(Z167),,Z167&amp;" ")&amp;IF(ISBLANK(AA167),,AA167)</f>
        <v>0x00 0x01 aa 00 09 E2 00 01 03 E8 00 00 00 00 D7 55</v>
      </c>
      <c r="D167" s="354" t="s">
        <v>825</v>
      </c>
      <c r="H167" s="388" t="s">
        <v>804</v>
      </c>
      <c r="I167" s="336" t="s">
        <v>805</v>
      </c>
      <c r="J167" s="84" t="s">
        <v>0</v>
      </c>
      <c r="K167" s="75" t="s">
        <v>1</v>
      </c>
      <c r="L167" s="75" t="s">
        <v>52</v>
      </c>
      <c r="M167" s="76" t="s">
        <v>388</v>
      </c>
      <c r="N167" s="76" t="s">
        <v>1</v>
      </c>
      <c r="O167" s="113" t="s">
        <v>4</v>
      </c>
      <c r="P167" s="353" t="str">
        <f>LEFT(DEC2HEX(AC167,4),2)</f>
        <v>03</v>
      </c>
      <c r="Q167" s="353" t="str">
        <f>RIGHT(DEC2HEX(AC167,4),2)</f>
        <v>E8</v>
      </c>
      <c r="R167" s="353" t="str">
        <f>LEFT(DEC2HEX(AD167,4),2)</f>
        <v>00</v>
      </c>
      <c r="S167" s="353" t="str">
        <f>RIGHT(DEC2HEX(AD167,4),2)</f>
        <v>00</v>
      </c>
      <c r="T167" s="353" t="str">
        <f>LEFT(DEC2HEX(AE167,4),2)</f>
        <v>00</v>
      </c>
      <c r="U167" s="353" t="str">
        <f>RIGHT(DEC2HEX(AE167,4),2)</f>
        <v>00</v>
      </c>
      <c r="V167" s="114"/>
      <c r="W167" s="57"/>
      <c r="X167" s="57"/>
      <c r="Y167" s="57"/>
      <c r="Z167" s="84" t="str">
        <f>DEC2HEX(MOD(HEX2DEC(K167)+HEX2DEC(L167)+HEX2DEC(M167)+HEX2DEC(N167)+HEX2DEC(O167)+HEX2DEC(P167)+HEX2DEC(Q167)+HEX2DEC(R167)+HEX2DEC(S167)+HEX2DEC(T167)+HEX2DEC(U167)+HEX2DEC(V167)+HEX2DEC(Y167),256),2)</f>
        <v>D7</v>
      </c>
      <c r="AA167" s="84" t="s">
        <v>5</v>
      </c>
      <c r="AC167" s="110">
        <v>1000</v>
      </c>
      <c r="AD167" s="77">
        <v>0</v>
      </c>
      <c r="AE167" s="77">
        <v>0</v>
      </c>
    </row>
    <row r="171" spans="1:32" x14ac:dyDescent="0.25">
      <c r="A171" s="330">
        <v>1</v>
      </c>
      <c r="B171" s="369"/>
      <c r="C171" s="330"/>
      <c r="D171" s="330" t="s">
        <v>660</v>
      </c>
      <c r="H171" s="383"/>
      <c r="I171" s="359"/>
      <c r="J171" s="435" t="s">
        <v>275</v>
      </c>
      <c r="K171" s="435"/>
      <c r="L171" s="435"/>
      <c r="M171" s="435"/>
      <c r="N171" s="435"/>
      <c r="O171" s="435"/>
      <c r="P171" s="435"/>
      <c r="Q171" s="435"/>
      <c r="R171" s="435"/>
      <c r="S171" s="435"/>
      <c r="T171" s="435"/>
      <c r="U171" s="435"/>
      <c r="V171" s="435"/>
      <c r="W171" s="435"/>
      <c r="X171" s="435"/>
      <c r="Y171" s="435"/>
      <c r="Z171" s="435"/>
      <c r="AA171" s="435"/>
    </row>
    <row r="172" spans="1:32" ht="18" hidden="1" customHeight="1" outlineLevel="1" x14ac:dyDescent="0.25">
      <c r="A172" s="359"/>
      <c r="C172" s="359"/>
      <c r="D172" s="362" t="s">
        <v>6</v>
      </c>
      <c r="H172" s="383"/>
      <c r="I172" s="359"/>
      <c r="J172" s="86" t="s">
        <v>77</v>
      </c>
      <c r="K172" s="361" t="s">
        <v>78</v>
      </c>
      <c r="L172" s="361" t="s">
        <v>10</v>
      </c>
      <c r="M172" s="361" t="s">
        <v>79</v>
      </c>
      <c r="N172" s="361" t="s">
        <v>80</v>
      </c>
      <c r="O172" s="361" t="s">
        <v>11</v>
      </c>
      <c r="P172" s="436" t="s">
        <v>83</v>
      </c>
      <c r="Q172" s="436"/>
      <c r="R172" s="436"/>
      <c r="S172" s="436"/>
      <c r="T172" s="436"/>
      <c r="U172" s="436"/>
      <c r="V172" s="436"/>
      <c r="W172" s="436"/>
      <c r="X172" s="436"/>
      <c r="Y172" s="436"/>
      <c r="Z172" s="83" t="s">
        <v>81</v>
      </c>
      <c r="AA172" s="83" t="s">
        <v>82</v>
      </c>
    </row>
    <row r="173" spans="1:32" hidden="1" outlineLevel="1" x14ac:dyDescent="0.25">
      <c r="A173" s="338">
        <v>2</v>
      </c>
      <c r="C173" s="55" t="str">
        <f t="shared" ref="C173:C186" si="88">IF(ISBLANK(H173),,H173&amp;" ")&amp;IF(ISBLANK(I173),,I173&amp;" ")&amp;IF(ISBLANK(J173),,J173&amp;" ")&amp;IF(ISBLANK(K173),,K173&amp;" ")&amp;IF(ISBLANK(L173),,L173&amp;" ")&amp;IF(ISBLANK(M173),,M173&amp;" ")&amp;IF(ISBLANK(N173),,N173&amp;" ")&amp;IF(ISBLANK(O173),,O173&amp;" ")&amp;IF(ISBLANK(P173),,P173&amp;" ")&amp;IF(ISBLANK(Q173),,Q173&amp;" ")&amp;IF(ISBLANK(R173),,R173&amp;" ")&amp;IF(ISBLANK(S173),,S173&amp;" ")&amp;IF(ISBLANK(T173),,T173&amp;" ")&amp;IF(ISBLANK(U173),,U173&amp;" ")&amp;IF(ISBLANK(V173),,V173&amp;" ")&amp;IF(ISBLANK(W173),,W173&amp;" ")&amp;IF(ISBLANK(X173),,X173&amp;" ")&amp;IF(ISBLANK(Y173),,Y173&amp;" ")&amp;IF(ISBLANK(Z173),,Z173&amp;" ")&amp;IF(ISBLANK(AA173),,AA173)</f>
        <v>0x00 0x04 aa 00 03 02 00 00 05 55</v>
      </c>
      <c r="D173" s="273" t="s">
        <v>662</v>
      </c>
      <c r="H173" s="388" t="s">
        <v>804</v>
      </c>
      <c r="I173" s="368" t="s">
        <v>847</v>
      </c>
      <c r="J173" s="84" t="s">
        <v>0</v>
      </c>
      <c r="K173" s="75" t="s">
        <v>1</v>
      </c>
      <c r="L173" s="75" t="str">
        <f t="shared" ref="L173:L186" si="89">DEC2HEX( COUNTA(M173:Y173),2)</f>
        <v>03</v>
      </c>
      <c r="M173" s="76" t="s">
        <v>661</v>
      </c>
      <c r="N173" s="76" t="s">
        <v>1</v>
      </c>
      <c r="O173" s="76" t="s">
        <v>1</v>
      </c>
      <c r="P173" s="363"/>
      <c r="Q173" s="363"/>
      <c r="R173" s="363"/>
      <c r="S173" s="363"/>
      <c r="T173" s="363"/>
      <c r="U173" s="363"/>
      <c r="V173" s="363"/>
      <c r="W173" s="363"/>
      <c r="X173" s="363"/>
      <c r="Y173" s="363"/>
      <c r="Z173" s="84" t="str">
        <f t="shared" ref="Z173:Z186" si="90">DEC2HEX(MOD(HEX2DEC(K173)+HEX2DEC(L173)+HEX2DEC(M173)+HEX2DEC(N173)+HEX2DEC(O173)+HEX2DEC(P173)+HEX2DEC(Q173)+HEX2DEC(R173)+HEX2DEC(S173)+HEX2DEC(T173)+HEX2DEC(U173)+HEX2DEC(V173)+HEX2DEC(W173)+HEX2DEC(X173)+HEX2DEC(Y173),256),2)</f>
        <v>05</v>
      </c>
      <c r="AA173" s="84" t="s">
        <v>5</v>
      </c>
    </row>
    <row r="174" spans="1:32" hidden="1" outlineLevel="1" x14ac:dyDescent="0.25">
      <c r="A174" s="338">
        <v>2</v>
      </c>
      <c r="C174" s="55" t="str">
        <f t="shared" si="88"/>
        <v>0x00 0x04 aa 00 03 02 00 01 06 55</v>
      </c>
      <c r="D174" s="273" t="s">
        <v>663</v>
      </c>
      <c r="H174" s="388" t="s">
        <v>804</v>
      </c>
      <c r="I174" s="368" t="s">
        <v>847</v>
      </c>
      <c r="J174" s="84" t="s">
        <v>0</v>
      </c>
      <c r="K174" s="75" t="s">
        <v>1</v>
      </c>
      <c r="L174" s="75" t="str">
        <f t="shared" si="89"/>
        <v>03</v>
      </c>
      <c r="M174" s="76" t="s">
        <v>661</v>
      </c>
      <c r="N174" s="76" t="s">
        <v>1</v>
      </c>
      <c r="O174" s="76" t="s">
        <v>14</v>
      </c>
      <c r="P174" s="363"/>
      <c r="Q174" s="363"/>
      <c r="R174" s="363"/>
      <c r="S174" s="363"/>
      <c r="T174" s="363"/>
      <c r="U174" s="363"/>
      <c r="V174" s="363"/>
      <c r="W174" s="363"/>
      <c r="X174" s="363"/>
      <c r="Y174" s="363"/>
      <c r="Z174" s="84" t="str">
        <f t="shared" si="90"/>
        <v>06</v>
      </c>
      <c r="AA174" s="84" t="s">
        <v>5</v>
      </c>
    </row>
    <row r="175" spans="1:32" ht="28.8" hidden="1" outlineLevel="1" x14ac:dyDescent="0.25">
      <c r="A175" s="338">
        <v>2</v>
      </c>
      <c r="C175" s="55" t="e">
        <f t="shared" si="88"/>
        <v>#NUM!</v>
      </c>
      <c r="D175" s="273" t="s">
        <v>668</v>
      </c>
      <c r="H175" s="388" t="s">
        <v>804</v>
      </c>
      <c r="I175" s="368" t="s">
        <v>847</v>
      </c>
      <c r="J175" s="84" t="s">
        <v>0</v>
      </c>
      <c r="K175" s="75" t="s">
        <v>1</v>
      </c>
      <c r="L175" s="75" t="str">
        <f t="shared" si="89"/>
        <v>04</v>
      </c>
      <c r="M175" s="76" t="s">
        <v>661</v>
      </c>
      <c r="N175" s="76" t="s">
        <v>1</v>
      </c>
      <c r="O175" s="76" t="s">
        <v>15</v>
      </c>
      <c r="P175" s="370" t="s">
        <v>664</v>
      </c>
      <c r="Q175" s="363"/>
      <c r="R175" s="363"/>
      <c r="S175" s="363"/>
      <c r="T175" s="363"/>
      <c r="U175" s="363"/>
      <c r="V175" s="363"/>
      <c r="W175" s="363"/>
      <c r="X175" s="363"/>
      <c r="Y175" s="363"/>
      <c r="Z175" s="84" t="e">
        <f t="shared" si="90"/>
        <v>#NUM!</v>
      </c>
      <c r="AA175" s="84" t="s">
        <v>5</v>
      </c>
    </row>
    <row r="176" spans="1:32" ht="19.2" hidden="1" outlineLevel="1" x14ac:dyDescent="0.25">
      <c r="A176" s="338">
        <v>2</v>
      </c>
      <c r="C176" s="55" t="e">
        <f t="shared" si="88"/>
        <v>#NUM!</v>
      </c>
      <c r="D176" s="273" t="s">
        <v>669</v>
      </c>
      <c r="H176" s="388" t="s">
        <v>804</v>
      </c>
      <c r="I176" s="368" t="s">
        <v>847</v>
      </c>
      <c r="J176" s="84" t="s">
        <v>0</v>
      </c>
      <c r="K176" s="75" t="s">
        <v>1</v>
      </c>
      <c r="L176" s="75" t="str">
        <f t="shared" si="89"/>
        <v>04</v>
      </c>
      <c r="M176" s="76" t="s">
        <v>661</v>
      </c>
      <c r="N176" s="76" t="s">
        <v>1</v>
      </c>
      <c r="O176" s="76" t="s">
        <v>13</v>
      </c>
      <c r="P176" s="363" t="s">
        <v>665</v>
      </c>
      <c r="Q176" s="363"/>
      <c r="R176" s="363"/>
      <c r="S176" s="363"/>
      <c r="T176" s="363"/>
      <c r="U176" s="363"/>
      <c r="V176" s="363"/>
      <c r="W176" s="363"/>
      <c r="X176" s="363"/>
      <c r="Y176" s="363"/>
      <c r="Z176" s="84" t="e">
        <f t="shared" si="90"/>
        <v>#NUM!</v>
      </c>
      <c r="AA176" s="84" t="s">
        <v>5</v>
      </c>
    </row>
    <row r="177" spans="1:27" ht="19.2" hidden="1" outlineLevel="1" x14ac:dyDescent="0.25">
      <c r="A177" s="338">
        <v>2</v>
      </c>
      <c r="C177" s="55" t="str">
        <f t="shared" si="88"/>
        <v>0x00 0x04 aa 00 03 02 00 04 09 55</v>
      </c>
      <c r="D177" s="273" t="s">
        <v>670</v>
      </c>
      <c r="H177" s="388" t="s">
        <v>804</v>
      </c>
      <c r="I177" s="368" t="s">
        <v>847</v>
      </c>
      <c r="J177" s="84" t="s">
        <v>0</v>
      </c>
      <c r="K177" s="75" t="s">
        <v>1</v>
      </c>
      <c r="L177" s="75" t="str">
        <f t="shared" si="89"/>
        <v>03</v>
      </c>
      <c r="M177" s="76" t="s">
        <v>661</v>
      </c>
      <c r="N177" s="76" t="s">
        <v>1</v>
      </c>
      <c r="O177" s="76" t="s">
        <v>18</v>
      </c>
      <c r="P177" s="363"/>
      <c r="Q177" s="363"/>
      <c r="R177" s="363"/>
      <c r="S177" s="363"/>
      <c r="T177" s="363"/>
      <c r="U177" s="363"/>
      <c r="V177" s="363"/>
      <c r="W177" s="363"/>
      <c r="X177" s="363"/>
      <c r="Y177" s="363"/>
      <c r="Z177" s="84" t="str">
        <f t="shared" si="90"/>
        <v>09</v>
      </c>
      <c r="AA177" s="84" t="s">
        <v>5</v>
      </c>
    </row>
    <row r="178" spans="1:27" ht="19.2" hidden="1" outlineLevel="1" x14ac:dyDescent="0.25">
      <c r="A178" s="338">
        <v>2</v>
      </c>
      <c r="C178" s="55" t="str">
        <f t="shared" si="88"/>
        <v>0x00 0x04 aa 00 03 02 00 05 0A 55</v>
      </c>
      <c r="D178" s="273" t="s">
        <v>666</v>
      </c>
      <c r="H178" s="388" t="s">
        <v>804</v>
      </c>
      <c r="I178" s="368" t="s">
        <v>847</v>
      </c>
      <c r="J178" s="84" t="s">
        <v>0</v>
      </c>
      <c r="K178" s="75" t="s">
        <v>1</v>
      </c>
      <c r="L178" s="75" t="str">
        <f t="shared" si="89"/>
        <v>03</v>
      </c>
      <c r="M178" s="76" t="s">
        <v>661</v>
      </c>
      <c r="N178" s="76" t="s">
        <v>1</v>
      </c>
      <c r="O178" s="76" t="s">
        <v>122</v>
      </c>
      <c r="P178" s="363"/>
      <c r="Q178" s="363"/>
      <c r="R178" s="363"/>
      <c r="S178" s="363"/>
      <c r="T178" s="363"/>
      <c r="U178" s="363"/>
      <c r="V178" s="363"/>
      <c r="W178" s="363"/>
      <c r="X178" s="363"/>
      <c r="Y178" s="363"/>
      <c r="Z178" s="84" t="str">
        <f t="shared" si="90"/>
        <v>0A</v>
      </c>
      <c r="AA178" s="84" t="s">
        <v>5</v>
      </c>
    </row>
    <row r="179" spans="1:27" ht="19.2" hidden="1" outlineLevel="1" x14ac:dyDescent="0.25">
      <c r="A179" s="338">
        <v>2</v>
      </c>
      <c r="C179" s="55" t="str">
        <f t="shared" si="88"/>
        <v>0x00 0x04 aa 00 03 02 00 06 0B 55</v>
      </c>
      <c r="D179" s="273" t="s">
        <v>667</v>
      </c>
      <c r="H179" s="388" t="s">
        <v>804</v>
      </c>
      <c r="I179" s="368" t="s">
        <v>847</v>
      </c>
      <c r="J179" s="84" t="s">
        <v>0</v>
      </c>
      <c r="K179" s="75" t="s">
        <v>1</v>
      </c>
      <c r="L179" s="75" t="str">
        <f t="shared" si="89"/>
        <v>03</v>
      </c>
      <c r="M179" s="76" t="s">
        <v>661</v>
      </c>
      <c r="N179" s="76" t="s">
        <v>1</v>
      </c>
      <c r="O179" s="76" t="s">
        <v>123</v>
      </c>
      <c r="P179" s="363"/>
      <c r="Q179" s="363"/>
      <c r="R179" s="363"/>
      <c r="S179" s="363"/>
      <c r="T179" s="363"/>
      <c r="U179" s="363"/>
      <c r="V179" s="363"/>
      <c r="W179" s="363"/>
      <c r="X179" s="363"/>
      <c r="Y179" s="363"/>
      <c r="Z179" s="84" t="str">
        <f t="shared" si="90"/>
        <v>0B</v>
      </c>
      <c r="AA179" s="84" t="s">
        <v>5</v>
      </c>
    </row>
    <row r="180" spans="1:27" ht="38.4" hidden="1" outlineLevel="1" x14ac:dyDescent="0.25">
      <c r="A180" s="338">
        <v>2</v>
      </c>
      <c r="C180" s="55" t="str">
        <f t="shared" si="88"/>
        <v>0x00 0x04 aa 00 03 02 00 07 0C 55</v>
      </c>
      <c r="D180" s="273" t="s">
        <v>672</v>
      </c>
      <c r="H180" s="388" t="s">
        <v>804</v>
      </c>
      <c r="I180" s="368" t="s">
        <v>847</v>
      </c>
      <c r="J180" s="84" t="s">
        <v>0</v>
      </c>
      <c r="K180" s="75" t="s">
        <v>1</v>
      </c>
      <c r="L180" s="75" t="str">
        <f t="shared" si="89"/>
        <v>03</v>
      </c>
      <c r="M180" s="76" t="s">
        <v>661</v>
      </c>
      <c r="N180" s="76" t="s">
        <v>1</v>
      </c>
      <c r="O180" s="76" t="s">
        <v>124</v>
      </c>
      <c r="P180" s="363"/>
      <c r="Q180" s="363"/>
      <c r="R180" s="363"/>
      <c r="S180" s="363"/>
      <c r="T180" s="363"/>
      <c r="U180" s="363"/>
      <c r="V180" s="363"/>
      <c r="W180" s="363"/>
      <c r="X180" s="363"/>
      <c r="Y180" s="363"/>
      <c r="Z180" s="84" t="str">
        <f t="shared" si="90"/>
        <v>0C</v>
      </c>
      <c r="AA180" s="84" t="s">
        <v>5</v>
      </c>
    </row>
    <row r="181" spans="1:27" ht="19.2" hidden="1" outlineLevel="1" x14ac:dyDescent="0.25">
      <c r="A181" s="338">
        <v>2</v>
      </c>
      <c r="C181" s="55" t="str">
        <f t="shared" si="88"/>
        <v>0x00 0x04 aa 00 03 02 00 08 0D 55</v>
      </c>
      <c r="D181" s="273" t="s">
        <v>671</v>
      </c>
      <c r="H181" s="388" t="s">
        <v>804</v>
      </c>
      <c r="I181" s="368" t="s">
        <v>847</v>
      </c>
      <c r="J181" s="84" t="s">
        <v>0</v>
      </c>
      <c r="K181" s="75" t="s">
        <v>1</v>
      </c>
      <c r="L181" s="75" t="str">
        <f t="shared" si="89"/>
        <v>03</v>
      </c>
      <c r="M181" s="76" t="s">
        <v>661</v>
      </c>
      <c r="N181" s="76" t="s">
        <v>1</v>
      </c>
      <c r="O181" s="76" t="s">
        <v>125</v>
      </c>
      <c r="P181" s="363"/>
      <c r="Q181" s="363"/>
      <c r="R181" s="363"/>
      <c r="S181" s="363"/>
      <c r="T181" s="363"/>
      <c r="U181" s="363"/>
      <c r="V181" s="363"/>
      <c r="W181" s="363"/>
      <c r="X181" s="363"/>
      <c r="Y181" s="363"/>
      <c r="Z181" s="84" t="str">
        <f t="shared" si="90"/>
        <v>0D</v>
      </c>
      <c r="AA181" s="84" t="s">
        <v>5</v>
      </c>
    </row>
    <row r="182" spans="1:27" ht="19.2" hidden="1" outlineLevel="1" x14ac:dyDescent="0.25">
      <c r="A182" s="338">
        <v>2</v>
      </c>
      <c r="C182" s="55" t="str">
        <f t="shared" si="88"/>
        <v>0x00 0x04 aa 00 03 02 00 09 0E 55</v>
      </c>
      <c r="D182" s="273" t="s">
        <v>680</v>
      </c>
      <c r="H182" s="388" t="s">
        <v>804</v>
      </c>
      <c r="I182" s="368" t="s">
        <v>847</v>
      </c>
      <c r="J182" s="84" t="s">
        <v>0</v>
      </c>
      <c r="K182" s="75" t="s">
        <v>1</v>
      </c>
      <c r="L182" s="75" t="str">
        <f t="shared" si="89"/>
        <v>03</v>
      </c>
      <c r="M182" s="76" t="s">
        <v>661</v>
      </c>
      <c r="N182" s="76" t="s">
        <v>1</v>
      </c>
      <c r="O182" s="76" t="s">
        <v>673</v>
      </c>
      <c r="P182" s="363"/>
      <c r="Q182" s="363"/>
      <c r="R182" s="363"/>
      <c r="S182" s="363"/>
      <c r="T182" s="363"/>
      <c r="U182" s="363"/>
      <c r="V182" s="363"/>
      <c r="W182" s="363"/>
      <c r="X182" s="363"/>
      <c r="Y182" s="363"/>
      <c r="Z182" s="84" t="str">
        <f t="shared" si="90"/>
        <v>0E</v>
      </c>
      <c r="AA182" s="84" t="s">
        <v>5</v>
      </c>
    </row>
    <row r="183" spans="1:27" ht="19.2" hidden="1" outlineLevel="1" x14ac:dyDescent="0.25">
      <c r="A183" s="338">
        <v>2</v>
      </c>
      <c r="C183" s="55" t="str">
        <f t="shared" si="88"/>
        <v>0x00 0x04 aa 00 03 02 00 0A 0F 55</v>
      </c>
      <c r="D183" s="273" t="s">
        <v>681</v>
      </c>
      <c r="H183" s="388" t="s">
        <v>804</v>
      </c>
      <c r="I183" s="368" t="s">
        <v>847</v>
      </c>
      <c r="J183" s="84" t="s">
        <v>0</v>
      </c>
      <c r="K183" s="75" t="s">
        <v>1</v>
      </c>
      <c r="L183" s="75" t="str">
        <f t="shared" si="89"/>
        <v>03</v>
      </c>
      <c r="M183" s="76" t="s">
        <v>661</v>
      </c>
      <c r="N183" s="76" t="s">
        <v>1</v>
      </c>
      <c r="O183" s="76" t="s">
        <v>37</v>
      </c>
      <c r="P183" s="363"/>
      <c r="Q183" s="363"/>
      <c r="R183" s="363"/>
      <c r="S183" s="363"/>
      <c r="T183" s="363"/>
      <c r="U183" s="363"/>
      <c r="V183" s="363"/>
      <c r="W183" s="363"/>
      <c r="X183" s="363"/>
      <c r="Y183" s="363"/>
      <c r="Z183" s="84" t="str">
        <f t="shared" si="90"/>
        <v>0F</v>
      </c>
      <c r="AA183" s="84" t="s">
        <v>5</v>
      </c>
    </row>
    <row r="184" spans="1:27" hidden="1" outlineLevel="1" x14ac:dyDescent="0.25">
      <c r="A184" s="338">
        <v>2</v>
      </c>
      <c r="C184" s="55" t="str">
        <f t="shared" si="88"/>
        <v>0x00 0x04 aa 00 0D 02 00 0B 01 02 03 04 05 06 07 08 09 10 57 55</v>
      </c>
      <c r="D184" s="273" t="s">
        <v>674</v>
      </c>
      <c r="H184" s="388" t="s">
        <v>804</v>
      </c>
      <c r="I184" s="368" t="s">
        <v>847</v>
      </c>
      <c r="J184" s="84" t="s">
        <v>0</v>
      </c>
      <c r="K184" s="75" t="s">
        <v>1</v>
      </c>
      <c r="L184" s="75" t="str">
        <f t="shared" si="89"/>
        <v>0D</v>
      </c>
      <c r="M184" s="76" t="s">
        <v>661</v>
      </c>
      <c r="N184" s="76" t="s">
        <v>1</v>
      </c>
      <c r="O184" s="76" t="s">
        <v>36</v>
      </c>
      <c r="P184" s="363" t="s">
        <v>682</v>
      </c>
      <c r="Q184" s="363" t="s">
        <v>15</v>
      </c>
      <c r="R184" s="363" t="s">
        <v>13</v>
      </c>
      <c r="S184" s="363" t="s">
        <v>18</v>
      </c>
      <c r="T184" s="363" t="s">
        <v>122</v>
      </c>
      <c r="U184" s="363" t="s">
        <v>123</v>
      </c>
      <c r="V184" s="363" t="s">
        <v>124</v>
      </c>
      <c r="W184" s="363" t="s">
        <v>125</v>
      </c>
      <c r="X184" s="363" t="s">
        <v>126</v>
      </c>
      <c r="Y184" s="363" t="s">
        <v>157</v>
      </c>
      <c r="Z184" s="84" t="str">
        <f t="shared" si="90"/>
        <v>57</v>
      </c>
      <c r="AA184" s="84" t="s">
        <v>5</v>
      </c>
    </row>
    <row r="185" spans="1:27" hidden="1" outlineLevel="1" x14ac:dyDescent="0.25">
      <c r="A185" s="338">
        <v>2</v>
      </c>
      <c r="C185" s="55" t="str">
        <f t="shared" si="88"/>
        <v>0x00 0x04 aa 00 03 02 00 0C 11 55</v>
      </c>
      <c r="D185" s="273" t="s">
        <v>676</v>
      </c>
      <c r="H185" s="388" t="s">
        <v>804</v>
      </c>
      <c r="I185" s="368" t="s">
        <v>847</v>
      </c>
      <c r="J185" s="84" t="s">
        <v>0</v>
      </c>
      <c r="K185" s="75" t="s">
        <v>1</v>
      </c>
      <c r="L185" s="75" t="str">
        <f t="shared" si="89"/>
        <v>03</v>
      </c>
      <c r="M185" s="76" t="s">
        <v>661</v>
      </c>
      <c r="N185" s="76" t="s">
        <v>1</v>
      </c>
      <c r="O185" s="76" t="s">
        <v>352</v>
      </c>
      <c r="P185" s="363"/>
      <c r="Q185" s="363"/>
      <c r="R185" s="363"/>
      <c r="S185" s="363"/>
      <c r="T185" s="363"/>
      <c r="U185" s="363"/>
      <c r="V185" s="363"/>
      <c r="W185" s="363"/>
      <c r="X185" s="363"/>
      <c r="Y185" s="363"/>
      <c r="Z185" s="84" t="str">
        <f t="shared" si="90"/>
        <v>11</v>
      </c>
      <c r="AA185" s="84" t="s">
        <v>5</v>
      </c>
    </row>
    <row r="186" spans="1:27" hidden="1" outlineLevel="1" x14ac:dyDescent="0.25">
      <c r="A186" s="338">
        <v>2</v>
      </c>
      <c r="C186" s="55" t="e">
        <f t="shared" si="88"/>
        <v>#NUM!</v>
      </c>
      <c r="D186" s="273" t="s">
        <v>677</v>
      </c>
      <c r="H186" s="388" t="s">
        <v>804</v>
      </c>
      <c r="I186" s="368" t="s">
        <v>847</v>
      </c>
      <c r="J186" s="84" t="s">
        <v>0</v>
      </c>
      <c r="K186" s="75" t="s">
        <v>1</v>
      </c>
      <c r="L186" s="75" t="str">
        <f t="shared" si="89"/>
        <v>04</v>
      </c>
      <c r="M186" s="76" t="s">
        <v>661</v>
      </c>
      <c r="N186" s="76" t="s">
        <v>1</v>
      </c>
      <c r="O186" s="76" t="s">
        <v>353</v>
      </c>
      <c r="P186" s="363" t="s">
        <v>675</v>
      </c>
      <c r="Q186" s="363"/>
      <c r="R186" s="363"/>
      <c r="S186" s="363"/>
      <c r="T186" s="363"/>
      <c r="U186" s="363"/>
      <c r="V186" s="363"/>
      <c r="W186" s="363"/>
      <c r="X186" s="363"/>
      <c r="Y186" s="363"/>
      <c r="Z186" s="84" t="e">
        <f t="shared" si="90"/>
        <v>#NUM!</v>
      </c>
      <c r="AA186" s="84" t="s">
        <v>5</v>
      </c>
    </row>
    <row r="187" spans="1:27" collapsed="1" x14ac:dyDescent="0.25"/>
    <row r="188" spans="1:27" ht="16.8" x14ac:dyDescent="0.25">
      <c r="A188" s="330">
        <v>1</v>
      </c>
      <c r="B188" s="330"/>
      <c r="C188" s="330"/>
      <c r="D188" s="330" t="s">
        <v>848</v>
      </c>
      <c r="H188" s="379" t="s">
        <v>801</v>
      </c>
      <c r="I188" s="372" t="s">
        <v>802</v>
      </c>
      <c r="J188" s="86" t="s">
        <v>77</v>
      </c>
      <c r="K188" s="371" t="s">
        <v>78</v>
      </c>
      <c r="L188" s="371" t="s">
        <v>10</v>
      </c>
      <c r="M188" s="371" t="s">
        <v>79</v>
      </c>
      <c r="N188" s="371" t="s">
        <v>80</v>
      </c>
      <c r="O188" s="371" t="s">
        <v>11</v>
      </c>
      <c r="P188" s="436" t="s">
        <v>83</v>
      </c>
      <c r="Q188" s="436"/>
      <c r="R188" s="436"/>
      <c r="S188" s="436"/>
      <c r="T188" s="436"/>
      <c r="U188" s="436"/>
      <c r="V188" s="436"/>
      <c r="W188" s="436"/>
      <c r="X188" s="436"/>
      <c r="Y188" s="436"/>
      <c r="Z188" s="83" t="s">
        <v>81</v>
      </c>
      <c r="AA188" s="83" t="s">
        <v>82</v>
      </c>
    </row>
    <row r="189" spans="1:27" ht="13.5" customHeight="1" x14ac:dyDescent="0.25">
      <c r="J189" s="448" t="s">
        <v>282</v>
      </c>
      <c r="K189" s="449"/>
      <c r="L189" s="449"/>
      <c r="M189" s="449"/>
      <c r="N189" s="449"/>
      <c r="O189" s="449"/>
      <c r="P189" s="449"/>
      <c r="Q189" s="449"/>
      <c r="R189" s="449"/>
      <c r="S189" s="449"/>
      <c r="T189" s="449"/>
      <c r="U189" s="449"/>
      <c r="V189" s="449"/>
      <c r="W189" s="449"/>
      <c r="X189" s="449"/>
      <c r="Y189" s="449"/>
      <c r="Z189" s="449"/>
      <c r="AA189" s="450"/>
    </row>
    <row r="190" spans="1:27" x14ac:dyDescent="0.25">
      <c r="A190" s="338">
        <v>2</v>
      </c>
      <c r="C190" s="12" t="str">
        <f t="shared" ref="C190:C254" si="91">IF(ISBLANK(H190),,H190&amp;" ")&amp;IF(ISBLANK(I190),,I190&amp;" ")&amp;IF(ISBLANK(J190),,J190&amp;" ")&amp;IF(ISBLANK(K190),,K190&amp;" ")&amp;IF(ISBLANK(L190),,L190&amp;" ")&amp;IF(ISBLANK(M190),,M190&amp;" ")&amp;IF(ISBLANK(N190),,N190&amp;" ")&amp;IF(ISBLANK(O190),,O190&amp;" ")&amp;IF(ISBLANK(P190),,P190&amp;" ")&amp;IF(ISBLANK(Q190),,Q190&amp;" ")&amp;IF(ISBLANK(R190),,R190&amp;" ")&amp;IF(ISBLANK(S190),,S190&amp;" ")&amp;IF(ISBLANK(T190),,T190&amp;" ")&amp;IF(ISBLANK(U190),,U190&amp;" ")&amp;IF(ISBLANK(V190),,V190&amp;" ")&amp;IF(ISBLANK(W190),,W190&amp;" ")&amp;IF(ISBLANK(X190),,X190&amp;" ")&amp;IF(ISBLANK(Y190),,Y190&amp;" ")&amp;IF(ISBLANK(Z190),,Z190&amp;" ")&amp;IF(ISBLANK(AA190),,AA190)</f>
        <v>aa 00 04 21 00 00 00 25 55</v>
      </c>
      <c r="D190" s="373" t="s">
        <v>849</v>
      </c>
      <c r="H190" s="388"/>
      <c r="I190" s="336"/>
      <c r="J190" s="1" t="s">
        <v>0</v>
      </c>
      <c r="K190" s="1" t="s">
        <v>1</v>
      </c>
      <c r="L190" s="1" t="s">
        <v>2</v>
      </c>
      <c r="M190" s="2" t="s">
        <v>3</v>
      </c>
      <c r="N190" s="2" t="s">
        <v>1</v>
      </c>
      <c r="O190" s="2" t="s">
        <v>1</v>
      </c>
      <c r="P190" s="3" t="s">
        <v>1</v>
      </c>
      <c r="Q190" s="57"/>
      <c r="R190" s="57"/>
      <c r="S190" s="57"/>
      <c r="T190" s="57"/>
      <c r="U190" s="57"/>
      <c r="V190" s="57"/>
      <c r="W190" s="57"/>
      <c r="X190" s="57"/>
      <c r="Y190" s="57"/>
      <c r="Z190" s="13" t="str">
        <f t="shared" ref="Z190:Z254" si="92">DEC2HEX(MOD(HEX2DEC(K190)+HEX2DEC(L190)+HEX2DEC(M190)+HEX2DEC(N190)+HEX2DEC(O190)+HEX2DEC(P190)+HEX2DEC(Q190)+HEX2DEC(R190)+HEX2DEC(S190)+HEX2DEC(T190)+HEX2DEC(U190)+HEX2DEC(V190)+HEX2DEC(Y190),256),2)</f>
        <v>25</v>
      </c>
      <c r="AA190" s="13" t="s">
        <v>5</v>
      </c>
    </row>
    <row r="191" spans="1:27" x14ac:dyDescent="0.25">
      <c r="A191" s="338">
        <v>2</v>
      </c>
      <c r="C191" s="12" t="str">
        <f t="shared" si="91"/>
        <v>aa 00 04 21 00 00 01 26 55</v>
      </c>
      <c r="D191" s="373" t="s">
        <v>850</v>
      </c>
      <c r="H191" s="388"/>
      <c r="I191" s="336"/>
      <c r="J191" s="1" t="s">
        <v>0</v>
      </c>
      <c r="K191" s="1" t="s">
        <v>1</v>
      </c>
      <c r="L191" s="1" t="s">
        <v>2</v>
      </c>
      <c r="M191" s="2" t="s">
        <v>3</v>
      </c>
      <c r="N191" s="2" t="s">
        <v>1</v>
      </c>
      <c r="O191" s="2" t="s">
        <v>1</v>
      </c>
      <c r="P191" s="3" t="s">
        <v>14</v>
      </c>
      <c r="Q191" s="57"/>
      <c r="R191" s="57"/>
      <c r="S191" s="57"/>
      <c r="T191" s="57"/>
      <c r="U191" s="57"/>
      <c r="V191" s="57"/>
      <c r="W191" s="57"/>
      <c r="X191" s="57"/>
      <c r="Y191" s="57"/>
      <c r="Z191" s="13" t="str">
        <f t="shared" si="92"/>
        <v>26</v>
      </c>
      <c r="AA191" s="13" t="s">
        <v>5</v>
      </c>
    </row>
    <row r="192" spans="1:27" x14ac:dyDescent="0.25">
      <c r="A192" s="338">
        <v>2</v>
      </c>
      <c r="C192" s="473" t="s">
        <v>855</v>
      </c>
      <c r="D192" s="473"/>
    </row>
    <row r="193" spans="1:27" hidden="1" outlineLevel="1" x14ac:dyDescent="0.25">
      <c r="A193" s="374">
        <v>3</v>
      </c>
      <c r="C193" s="12" t="str">
        <f t="shared" si="91"/>
        <v>aa 00 04 21 01 00 00 26 55</v>
      </c>
      <c r="D193" s="373" t="s">
        <v>851</v>
      </c>
      <c r="H193" s="388"/>
      <c r="I193" s="336"/>
      <c r="J193" s="1" t="s">
        <v>0</v>
      </c>
      <c r="K193" s="1" t="s">
        <v>1</v>
      </c>
      <c r="L193" s="1" t="s">
        <v>2</v>
      </c>
      <c r="M193" s="2" t="s">
        <v>3</v>
      </c>
      <c r="N193" s="2" t="s">
        <v>4</v>
      </c>
      <c r="O193" s="2" t="s">
        <v>1</v>
      </c>
      <c r="P193" s="3" t="s">
        <v>1</v>
      </c>
      <c r="Q193" s="57"/>
      <c r="R193" s="57"/>
      <c r="S193" s="57"/>
      <c r="T193" s="57"/>
      <c r="U193" s="57"/>
      <c r="V193" s="57"/>
      <c r="W193" s="57"/>
      <c r="X193" s="57"/>
      <c r="Y193" s="57"/>
      <c r="Z193" s="13" t="str">
        <f t="shared" si="92"/>
        <v>26</v>
      </c>
      <c r="AA193" s="13" t="s">
        <v>5</v>
      </c>
    </row>
    <row r="194" spans="1:27" hidden="1" outlineLevel="1" x14ac:dyDescent="0.25">
      <c r="A194" s="374">
        <v>3</v>
      </c>
      <c r="C194" s="12" t="str">
        <f t="shared" si="91"/>
        <v>aa 00 04 21 01 00 01 27 55</v>
      </c>
      <c r="D194" s="373" t="s">
        <v>852</v>
      </c>
      <c r="H194" s="388"/>
      <c r="I194" s="336"/>
      <c r="J194" s="1" t="s">
        <v>0</v>
      </c>
      <c r="K194" s="1" t="s">
        <v>1</v>
      </c>
      <c r="L194" s="1" t="s">
        <v>2</v>
      </c>
      <c r="M194" s="2" t="s">
        <v>3</v>
      </c>
      <c r="N194" s="2" t="s">
        <v>4</v>
      </c>
      <c r="O194" s="2" t="s">
        <v>1</v>
      </c>
      <c r="P194" s="3" t="s">
        <v>14</v>
      </c>
      <c r="Q194" s="57"/>
      <c r="R194" s="57"/>
      <c r="S194" s="57"/>
      <c r="T194" s="57"/>
      <c r="U194" s="57"/>
      <c r="V194" s="57"/>
      <c r="W194" s="57"/>
      <c r="X194" s="57"/>
      <c r="Y194" s="57"/>
      <c r="Z194" s="13" t="str">
        <f t="shared" si="92"/>
        <v>27</v>
      </c>
      <c r="AA194" s="13" t="s">
        <v>5</v>
      </c>
    </row>
    <row r="195" spans="1:27" hidden="1" outlineLevel="1" x14ac:dyDescent="0.25">
      <c r="A195" s="374">
        <v>3</v>
      </c>
      <c r="C195" s="12" t="str">
        <f t="shared" si="91"/>
        <v>aa 00 04 21 02 00 00 27 55</v>
      </c>
      <c r="D195" s="373" t="s">
        <v>283</v>
      </c>
      <c r="H195" s="388"/>
      <c r="I195" s="336"/>
      <c r="J195" s="1" t="s">
        <v>0</v>
      </c>
      <c r="K195" s="1" t="s">
        <v>1</v>
      </c>
      <c r="L195" s="1" t="s">
        <v>2</v>
      </c>
      <c r="M195" s="2" t="s">
        <v>3</v>
      </c>
      <c r="N195" s="2" t="s">
        <v>7</v>
      </c>
      <c r="O195" s="2" t="s">
        <v>1</v>
      </c>
      <c r="P195" s="3" t="s">
        <v>1</v>
      </c>
      <c r="Q195" s="57"/>
      <c r="R195" s="57"/>
      <c r="S195" s="57"/>
      <c r="T195" s="57"/>
      <c r="U195" s="57"/>
      <c r="V195" s="57"/>
      <c r="W195" s="57"/>
      <c r="X195" s="57"/>
      <c r="Y195" s="57"/>
      <c r="Z195" s="13" t="str">
        <f t="shared" si="92"/>
        <v>27</v>
      </c>
      <c r="AA195" s="13" t="s">
        <v>5</v>
      </c>
    </row>
    <row r="196" spans="1:27" hidden="1" outlineLevel="1" x14ac:dyDescent="0.25">
      <c r="A196" s="374">
        <v>3</v>
      </c>
      <c r="C196" s="12" t="str">
        <f t="shared" si="91"/>
        <v>aa 00 04 21 02 00 01 28 55</v>
      </c>
      <c r="D196" s="373" t="s">
        <v>284</v>
      </c>
      <c r="H196" s="388"/>
      <c r="I196" s="336"/>
      <c r="J196" s="1" t="s">
        <v>0</v>
      </c>
      <c r="K196" s="1" t="s">
        <v>1</v>
      </c>
      <c r="L196" s="1" t="s">
        <v>2</v>
      </c>
      <c r="M196" s="2" t="s">
        <v>3</v>
      </c>
      <c r="N196" s="2" t="s">
        <v>7</v>
      </c>
      <c r="O196" s="2" t="s">
        <v>1</v>
      </c>
      <c r="P196" s="3" t="s">
        <v>14</v>
      </c>
      <c r="Q196" s="57"/>
      <c r="R196" s="57"/>
      <c r="S196" s="57"/>
      <c r="T196" s="57"/>
      <c r="U196" s="57"/>
      <c r="V196" s="57"/>
      <c r="W196" s="57"/>
      <c r="X196" s="57"/>
      <c r="Y196" s="57"/>
      <c r="Z196" s="13" t="str">
        <f t="shared" si="92"/>
        <v>28</v>
      </c>
      <c r="AA196" s="13" t="s">
        <v>5</v>
      </c>
    </row>
    <row r="197" spans="1:27" hidden="1" outlineLevel="1" x14ac:dyDescent="0.25">
      <c r="A197" s="374">
        <v>3</v>
      </c>
      <c r="C197" s="12" t="str">
        <f t="shared" si="91"/>
        <v>aa 00 04 21 03 00 00 28 55</v>
      </c>
      <c r="D197" s="373" t="s">
        <v>285</v>
      </c>
      <c r="H197" s="388"/>
      <c r="I197" s="336"/>
      <c r="J197" s="1" t="s">
        <v>0</v>
      </c>
      <c r="K197" s="1" t="s">
        <v>1</v>
      </c>
      <c r="L197" s="1" t="s">
        <v>2</v>
      </c>
      <c r="M197" s="2" t="s">
        <v>3</v>
      </c>
      <c r="N197" s="2" t="s">
        <v>8</v>
      </c>
      <c r="O197" s="2" t="s">
        <v>1</v>
      </c>
      <c r="P197" s="3" t="s">
        <v>1</v>
      </c>
      <c r="Q197" s="57"/>
      <c r="R197" s="57"/>
      <c r="S197" s="57"/>
      <c r="T197" s="57"/>
      <c r="U197" s="57"/>
      <c r="V197" s="57"/>
      <c r="W197" s="57"/>
      <c r="X197" s="57"/>
      <c r="Y197" s="57"/>
      <c r="Z197" s="13" t="str">
        <f t="shared" si="92"/>
        <v>28</v>
      </c>
      <c r="AA197" s="13" t="s">
        <v>5</v>
      </c>
    </row>
    <row r="198" spans="1:27" hidden="1" outlineLevel="1" x14ac:dyDescent="0.25">
      <c r="A198" s="374">
        <v>3</v>
      </c>
      <c r="C198" s="12" t="str">
        <f t="shared" si="91"/>
        <v>aa 00 04 21 03 00 01 29 55</v>
      </c>
      <c r="D198" s="373" t="s">
        <v>286</v>
      </c>
      <c r="H198" s="388"/>
      <c r="I198" s="336"/>
      <c r="J198" s="1" t="s">
        <v>0</v>
      </c>
      <c r="K198" s="1" t="s">
        <v>1</v>
      </c>
      <c r="L198" s="1" t="s">
        <v>2</v>
      </c>
      <c r="M198" s="2" t="s">
        <v>3</v>
      </c>
      <c r="N198" s="2" t="s">
        <v>8</v>
      </c>
      <c r="O198" s="2" t="s">
        <v>1</v>
      </c>
      <c r="P198" s="3" t="s">
        <v>14</v>
      </c>
      <c r="Q198" s="57"/>
      <c r="R198" s="57"/>
      <c r="S198" s="57"/>
      <c r="T198" s="57"/>
      <c r="U198" s="57"/>
      <c r="V198" s="57"/>
      <c r="W198" s="57"/>
      <c r="X198" s="57"/>
      <c r="Y198" s="57"/>
      <c r="Z198" s="13" t="str">
        <f t="shared" si="92"/>
        <v>29</v>
      </c>
      <c r="AA198" s="13" t="s">
        <v>5</v>
      </c>
    </row>
    <row r="199" spans="1:27" hidden="1" outlineLevel="1" x14ac:dyDescent="0.25">
      <c r="A199" s="374">
        <v>3</v>
      </c>
      <c r="C199" s="12" t="str">
        <f t="shared" si="91"/>
        <v>aa 00 04 21 04 00 01 2A 55</v>
      </c>
      <c r="D199" s="373" t="s">
        <v>117</v>
      </c>
      <c r="H199" s="388"/>
      <c r="I199" s="336"/>
      <c r="J199" s="1" t="s">
        <v>0</v>
      </c>
      <c r="K199" s="1" t="s">
        <v>1</v>
      </c>
      <c r="L199" s="1" t="s">
        <v>2</v>
      </c>
      <c r="M199" s="2" t="s">
        <v>3</v>
      </c>
      <c r="N199" s="2" t="s">
        <v>18</v>
      </c>
      <c r="O199" s="2" t="s">
        <v>1</v>
      </c>
      <c r="P199" s="3" t="s">
        <v>14</v>
      </c>
      <c r="Q199" s="57"/>
      <c r="R199" s="57"/>
      <c r="S199" s="57"/>
      <c r="T199" s="57"/>
      <c r="U199" s="57"/>
      <c r="V199" s="57"/>
      <c r="W199" s="57"/>
      <c r="X199" s="57"/>
      <c r="Y199" s="57"/>
      <c r="Z199" s="13" t="str">
        <f t="shared" si="92"/>
        <v>2A</v>
      </c>
      <c r="AA199" s="13" t="s">
        <v>5</v>
      </c>
    </row>
    <row r="200" spans="1:27" hidden="1" outlineLevel="1" x14ac:dyDescent="0.25">
      <c r="A200" s="374">
        <v>3</v>
      </c>
      <c r="C200" s="12" t="str">
        <f t="shared" si="91"/>
        <v>aa 00 04 21 05 00 01 2B 55</v>
      </c>
      <c r="D200" s="373" t="s">
        <v>118</v>
      </c>
      <c r="H200" s="388"/>
      <c r="I200" s="336"/>
      <c r="J200" s="1" t="s">
        <v>0</v>
      </c>
      <c r="K200" s="1" t="s">
        <v>1</v>
      </c>
      <c r="L200" s="1" t="s">
        <v>2</v>
      </c>
      <c r="M200" s="2" t="s">
        <v>3</v>
      </c>
      <c r="N200" s="2" t="s">
        <v>122</v>
      </c>
      <c r="O200" s="2" t="s">
        <v>1</v>
      </c>
      <c r="P200" s="3" t="s">
        <v>14</v>
      </c>
      <c r="Q200" s="57"/>
      <c r="R200" s="57"/>
      <c r="S200" s="57"/>
      <c r="T200" s="57"/>
      <c r="U200" s="57"/>
      <c r="V200" s="57"/>
      <c r="W200" s="57"/>
      <c r="X200" s="57"/>
      <c r="Y200" s="57"/>
      <c r="Z200" s="13" t="str">
        <f t="shared" si="92"/>
        <v>2B</v>
      </c>
      <c r="AA200" s="13" t="s">
        <v>5</v>
      </c>
    </row>
    <row r="201" spans="1:27" hidden="1" outlineLevel="1" x14ac:dyDescent="0.25">
      <c r="A201" s="374">
        <v>3</v>
      </c>
      <c r="C201" s="12" t="str">
        <f t="shared" si="91"/>
        <v>aa 00 04 21 06 00 01 2C 55</v>
      </c>
      <c r="D201" s="373" t="s">
        <v>853</v>
      </c>
      <c r="H201" s="388"/>
      <c r="I201" s="336"/>
      <c r="J201" s="1" t="s">
        <v>0</v>
      </c>
      <c r="K201" s="1" t="s">
        <v>1</v>
      </c>
      <c r="L201" s="1" t="s">
        <v>2</v>
      </c>
      <c r="M201" s="2" t="s">
        <v>3</v>
      </c>
      <c r="N201" s="2" t="s">
        <v>123</v>
      </c>
      <c r="O201" s="2" t="s">
        <v>1</v>
      </c>
      <c r="P201" s="3" t="s">
        <v>14</v>
      </c>
      <c r="Q201" s="57"/>
      <c r="R201" s="57"/>
      <c r="S201" s="57"/>
      <c r="T201" s="57"/>
      <c r="U201" s="57"/>
      <c r="V201" s="57"/>
      <c r="W201" s="57"/>
      <c r="X201" s="57"/>
      <c r="Y201" s="57"/>
      <c r="Z201" s="13" t="str">
        <f t="shared" si="92"/>
        <v>2C</v>
      </c>
      <c r="AA201" s="13" t="s">
        <v>5</v>
      </c>
    </row>
    <row r="202" spans="1:27" hidden="1" outlineLevel="1" x14ac:dyDescent="0.25">
      <c r="A202" s="374">
        <v>3</v>
      </c>
      <c r="C202" s="12" t="str">
        <f t="shared" si="91"/>
        <v>aa 00 04 21 07 00 01 2D 55</v>
      </c>
      <c r="D202" s="373" t="s">
        <v>119</v>
      </c>
      <c r="H202" s="388"/>
      <c r="I202" s="336"/>
      <c r="J202" s="1" t="s">
        <v>0</v>
      </c>
      <c r="K202" s="1" t="s">
        <v>1</v>
      </c>
      <c r="L202" s="1" t="s">
        <v>2</v>
      </c>
      <c r="M202" s="2" t="s">
        <v>3</v>
      </c>
      <c r="N202" s="2" t="s">
        <v>124</v>
      </c>
      <c r="O202" s="2" t="s">
        <v>1</v>
      </c>
      <c r="P202" s="3" t="s">
        <v>14</v>
      </c>
      <c r="Q202" s="57"/>
      <c r="R202" s="57"/>
      <c r="S202" s="57"/>
      <c r="T202" s="57"/>
      <c r="U202" s="57"/>
      <c r="V202" s="57"/>
      <c r="W202" s="57"/>
      <c r="X202" s="57"/>
      <c r="Y202" s="57"/>
      <c r="Z202" s="13" t="str">
        <f t="shared" si="92"/>
        <v>2D</v>
      </c>
      <c r="AA202" s="13" t="s">
        <v>5</v>
      </c>
    </row>
    <row r="203" spans="1:27" hidden="1" outlineLevel="1" x14ac:dyDescent="0.25">
      <c r="A203" s="374">
        <v>3</v>
      </c>
      <c r="C203" s="12" t="str">
        <f t="shared" si="91"/>
        <v>aa 00 04 21 08 00 01 2E 55</v>
      </c>
      <c r="D203" s="373" t="s">
        <v>120</v>
      </c>
      <c r="H203" s="388"/>
      <c r="I203" s="336"/>
      <c r="J203" s="1" t="s">
        <v>0</v>
      </c>
      <c r="K203" s="1" t="s">
        <v>1</v>
      </c>
      <c r="L203" s="1" t="s">
        <v>2</v>
      </c>
      <c r="M203" s="2" t="s">
        <v>3</v>
      </c>
      <c r="N203" s="2" t="s">
        <v>125</v>
      </c>
      <c r="O203" s="2" t="s">
        <v>1</v>
      </c>
      <c r="P203" s="3" t="s">
        <v>14</v>
      </c>
      <c r="Q203" s="57"/>
      <c r="R203" s="57"/>
      <c r="S203" s="57"/>
      <c r="T203" s="57"/>
      <c r="U203" s="57"/>
      <c r="V203" s="57"/>
      <c r="W203" s="57"/>
      <c r="X203" s="57"/>
      <c r="Y203" s="57"/>
      <c r="Z203" s="13" t="str">
        <f t="shared" si="92"/>
        <v>2E</v>
      </c>
      <c r="AA203" s="13" t="s">
        <v>5</v>
      </c>
    </row>
    <row r="204" spans="1:27" hidden="1" outlineLevel="1" x14ac:dyDescent="0.25">
      <c r="A204" s="374">
        <v>3</v>
      </c>
      <c r="C204" s="12" t="str">
        <f t="shared" si="91"/>
        <v>aa 00 04 21 09 00 01 2F 55</v>
      </c>
      <c r="D204" s="373" t="s">
        <v>121</v>
      </c>
      <c r="H204" s="388"/>
      <c r="I204" s="336"/>
      <c r="J204" s="1" t="s">
        <v>0</v>
      </c>
      <c r="K204" s="1" t="s">
        <v>1</v>
      </c>
      <c r="L204" s="1" t="s">
        <v>2</v>
      </c>
      <c r="M204" s="2" t="s">
        <v>3</v>
      </c>
      <c r="N204" s="2" t="s">
        <v>126</v>
      </c>
      <c r="O204" s="2" t="s">
        <v>1</v>
      </c>
      <c r="P204" s="3" t="s">
        <v>14</v>
      </c>
      <c r="Q204" s="57"/>
      <c r="R204" s="57"/>
      <c r="S204" s="57"/>
      <c r="T204" s="57"/>
      <c r="U204" s="57"/>
      <c r="V204" s="57"/>
      <c r="W204" s="57"/>
      <c r="X204" s="57"/>
      <c r="Y204" s="57"/>
      <c r="Z204" s="13" t="str">
        <f t="shared" si="92"/>
        <v>2F</v>
      </c>
      <c r="AA204" s="13" t="s">
        <v>5</v>
      </c>
    </row>
    <row r="205" spans="1:27" hidden="1" outlineLevel="1" x14ac:dyDescent="0.25">
      <c r="A205" s="374">
        <v>3</v>
      </c>
      <c r="C205" s="12" t="str">
        <f t="shared" si="91"/>
        <v>aa 00 04 21 0A 00 01 30 55</v>
      </c>
      <c r="D205" s="373" t="s">
        <v>127</v>
      </c>
      <c r="H205" s="388"/>
      <c r="I205" s="336"/>
      <c r="J205" s="1" t="s">
        <v>0</v>
      </c>
      <c r="K205" s="1" t="s">
        <v>1</v>
      </c>
      <c r="L205" s="1" t="s">
        <v>2</v>
      </c>
      <c r="M205" s="2" t="s">
        <v>3</v>
      </c>
      <c r="N205" s="2" t="s">
        <v>207</v>
      </c>
      <c r="O205" s="2" t="s">
        <v>1</v>
      </c>
      <c r="P205" s="3" t="s">
        <v>14</v>
      </c>
      <c r="Q205" s="57"/>
      <c r="R205" s="57"/>
      <c r="S205" s="57"/>
      <c r="T205" s="57"/>
      <c r="U205" s="57"/>
      <c r="V205" s="57"/>
      <c r="W205" s="57"/>
      <c r="X205" s="57"/>
      <c r="Y205" s="57"/>
      <c r="Z205" s="13" t="str">
        <f t="shared" si="92"/>
        <v>30</v>
      </c>
      <c r="AA205" s="13" t="s">
        <v>5</v>
      </c>
    </row>
    <row r="206" spans="1:27" hidden="1" outlineLevel="1" x14ac:dyDescent="0.25">
      <c r="A206" s="374">
        <v>3</v>
      </c>
      <c r="C206" s="12" t="str">
        <f t="shared" si="91"/>
        <v>aa 00 04 21 0B 00 01 31 55</v>
      </c>
      <c r="D206" s="373" t="s">
        <v>128</v>
      </c>
      <c r="H206" s="388"/>
      <c r="I206" s="336"/>
      <c r="J206" s="1" t="s">
        <v>0</v>
      </c>
      <c r="K206" s="1" t="s">
        <v>1</v>
      </c>
      <c r="L206" s="1" t="s">
        <v>2</v>
      </c>
      <c r="M206" s="2" t="s">
        <v>3</v>
      </c>
      <c r="N206" s="2" t="s">
        <v>208</v>
      </c>
      <c r="O206" s="2" t="s">
        <v>1</v>
      </c>
      <c r="P206" s="3" t="s">
        <v>14</v>
      </c>
      <c r="Q206" s="57"/>
      <c r="R206" s="57"/>
      <c r="S206" s="57"/>
      <c r="T206" s="57"/>
      <c r="U206" s="57"/>
      <c r="V206" s="57"/>
      <c r="W206" s="57"/>
      <c r="X206" s="57"/>
      <c r="Y206" s="57"/>
      <c r="Z206" s="13" t="str">
        <f t="shared" si="92"/>
        <v>31</v>
      </c>
      <c r="AA206" s="13" t="s">
        <v>5</v>
      </c>
    </row>
    <row r="207" spans="1:27" hidden="1" outlineLevel="1" x14ac:dyDescent="0.25">
      <c r="A207" s="374">
        <v>3</v>
      </c>
      <c r="C207" s="12" t="str">
        <f t="shared" si="91"/>
        <v>aa 00 04 21 0C 00 01 32 55</v>
      </c>
      <c r="D207" s="373" t="s">
        <v>129</v>
      </c>
      <c r="H207" s="388"/>
      <c r="I207" s="336"/>
      <c r="J207" s="1" t="s">
        <v>0</v>
      </c>
      <c r="K207" s="1" t="s">
        <v>1</v>
      </c>
      <c r="L207" s="1" t="s">
        <v>2</v>
      </c>
      <c r="M207" s="2" t="s">
        <v>3</v>
      </c>
      <c r="N207" s="2" t="s">
        <v>209</v>
      </c>
      <c r="O207" s="2" t="s">
        <v>1</v>
      </c>
      <c r="P207" s="3" t="s">
        <v>14</v>
      </c>
      <c r="Q207" s="57"/>
      <c r="R207" s="57"/>
      <c r="S207" s="57"/>
      <c r="T207" s="57"/>
      <c r="U207" s="57"/>
      <c r="V207" s="57"/>
      <c r="W207" s="57"/>
      <c r="X207" s="57"/>
      <c r="Y207" s="57"/>
      <c r="Z207" s="13" t="str">
        <f t="shared" si="92"/>
        <v>32</v>
      </c>
      <c r="AA207" s="13" t="s">
        <v>5</v>
      </c>
    </row>
    <row r="208" spans="1:27" hidden="1" outlineLevel="1" x14ac:dyDescent="0.25">
      <c r="A208" s="374">
        <v>3</v>
      </c>
      <c r="C208" s="12" t="str">
        <f t="shared" si="91"/>
        <v>aa 00 04 21 0D 00 01 33 55</v>
      </c>
      <c r="D208" s="373" t="s">
        <v>130</v>
      </c>
      <c r="H208" s="388"/>
      <c r="I208" s="336"/>
      <c r="J208" s="1" t="s">
        <v>0</v>
      </c>
      <c r="K208" s="1" t="s">
        <v>1</v>
      </c>
      <c r="L208" s="1" t="s">
        <v>2</v>
      </c>
      <c r="M208" s="2" t="s">
        <v>3</v>
      </c>
      <c r="N208" s="2" t="s">
        <v>210</v>
      </c>
      <c r="O208" s="2" t="s">
        <v>1</v>
      </c>
      <c r="P208" s="3" t="s">
        <v>14</v>
      </c>
      <c r="Q208" s="57"/>
      <c r="R208" s="57"/>
      <c r="S208" s="57"/>
      <c r="T208" s="57"/>
      <c r="U208" s="57"/>
      <c r="V208" s="57"/>
      <c r="W208" s="57"/>
      <c r="X208" s="57"/>
      <c r="Y208" s="57"/>
      <c r="Z208" s="13" t="str">
        <f t="shared" si="92"/>
        <v>33</v>
      </c>
      <c r="AA208" s="13" t="s">
        <v>5</v>
      </c>
    </row>
    <row r="209" spans="1:27" hidden="1" outlineLevel="1" x14ac:dyDescent="0.25">
      <c r="A209" s="374">
        <v>3</v>
      </c>
      <c r="C209" s="12" t="str">
        <f t="shared" si="91"/>
        <v>aa 00 04 21 0E 00 01 34 55</v>
      </c>
      <c r="D209" s="373" t="s">
        <v>131</v>
      </c>
      <c r="H209" s="388"/>
      <c r="I209" s="336"/>
      <c r="J209" s="1" t="s">
        <v>0</v>
      </c>
      <c r="K209" s="1" t="s">
        <v>1</v>
      </c>
      <c r="L209" s="1" t="s">
        <v>2</v>
      </c>
      <c r="M209" s="2" t="s">
        <v>3</v>
      </c>
      <c r="N209" s="2" t="s">
        <v>227</v>
      </c>
      <c r="O209" s="2" t="s">
        <v>1</v>
      </c>
      <c r="P209" s="3" t="s">
        <v>14</v>
      </c>
      <c r="Q209" s="57"/>
      <c r="R209" s="57"/>
      <c r="S209" s="57"/>
      <c r="T209" s="57"/>
      <c r="U209" s="57"/>
      <c r="V209" s="57"/>
      <c r="W209" s="57"/>
      <c r="X209" s="57"/>
      <c r="Y209" s="57"/>
      <c r="Z209" s="13" t="str">
        <f t="shared" si="92"/>
        <v>34</v>
      </c>
      <c r="AA209" s="13" t="s">
        <v>5</v>
      </c>
    </row>
    <row r="210" spans="1:27" hidden="1" outlineLevel="1" x14ac:dyDescent="0.25">
      <c r="A210" s="374">
        <v>3</v>
      </c>
      <c r="C210" s="12" t="str">
        <f t="shared" si="91"/>
        <v>aa 00 04 21 0F 00 01 35 55</v>
      </c>
      <c r="D210" s="373" t="s">
        <v>132</v>
      </c>
      <c r="H210" s="388"/>
      <c r="I210" s="336"/>
      <c r="J210" s="1" t="s">
        <v>0</v>
      </c>
      <c r="K210" s="1" t="s">
        <v>1</v>
      </c>
      <c r="L210" s="1" t="s">
        <v>2</v>
      </c>
      <c r="M210" s="2" t="s">
        <v>3</v>
      </c>
      <c r="N210" s="2" t="s">
        <v>211</v>
      </c>
      <c r="O210" s="2" t="s">
        <v>1</v>
      </c>
      <c r="P210" s="3" t="s">
        <v>14</v>
      </c>
      <c r="Q210" s="57"/>
      <c r="R210" s="57"/>
      <c r="S210" s="57"/>
      <c r="T210" s="57"/>
      <c r="U210" s="57"/>
      <c r="V210" s="57"/>
      <c r="W210" s="57"/>
      <c r="X210" s="57"/>
      <c r="Y210" s="57"/>
      <c r="Z210" s="13" t="str">
        <f t="shared" si="92"/>
        <v>35</v>
      </c>
      <c r="AA210" s="13" t="s">
        <v>5</v>
      </c>
    </row>
    <row r="211" spans="1:27" hidden="1" outlineLevel="1" x14ac:dyDescent="0.25">
      <c r="A211" s="374">
        <v>3</v>
      </c>
      <c r="C211" s="12" t="str">
        <f t="shared" si="91"/>
        <v>aa 00 04 21 10 00 01 36 55</v>
      </c>
      <c r="D211" s="373" t="s">
        <v>133</v>
      </c>
      <c r="H211" s="388"/>
      <c r="I211" s="336"/>
      <c r="J211" s="1" t="s">
        <v>0</v>
      </c>
      <c r="K211" s="1" t="s">
        <v>1</v>
      </c>
      <c r="L211" s="1" t="s">
        <v>2</v>
      </c>
      <c r="M211" s="2" t="s">
        <v>3</v>
      </c>
      <c r="N211" s="2" t="s">
        <v>157</v>
      </c>
      <c r="O211" s="2" t="s">
        <v>1</v>
      </c>
      <c r="P211" s="3" t="s">
        <v>14</v>
      </c>
      <c r="Q211" s="57"/>
      <c r="R211" s="57"/>
      <c r="S211" s="57"/>
      <c r="T211" s="57"/>
      <c r="U211" s="57"/>
      <c r="V211" s="57"/>
      <c r="W211" s="57"/>
      <c r="X211" s="57"/>
      <c r="Y211" s="57"/>
      <c r="Z211" s="13" t="str">
        <f t="shared" si="92"/>
        <v>36</v>
      </c>
      <c r="AA211" s="13" t="s">
        <v>5</v>
      </c>
    </row>
    <row r="212" spans="1:27" hidden="1" outlineLevel="1" x14ac:dyDescent="0.25">
      <c r="A212" s="374">
        <v>3</v>
      </c>
      <c r="C212" s="12" t="str">
        <f t="shared" si="91"/>
        <v>aa 00 04 21 11 00 01 37 55</v>
      </c>
      <c r="D212" s="373" t="s">
        <v>134</v>
      </c>
      <c r="H212" s="388"/>
      <c r="I212" s="336"/>
      <c r="J212" s="1" t="s">
        <v>0</v>
      </c>
      <c r="K212" s="1" t="s">
        <v>1</v>
      </c>
      <c r="L212" s="1" t="s">
        <v>2</v>
      </c>
      <c r="M212" s="2" t="s">
        <v>3</v>
      </c>
      <c r="N212" s="2" t="s">
        <v>158</v>
      </c>
      <c r="O212" s="2" t="s">
        <v>1</v>
      </c>
      <c r="P212" s="3" t="s">
        <v>14</v>
      </c>
      <c r="Q212" s="57"/>
      <c r="R212" s="57"/>
      <c r="S212" s="57"/>
      <c r="T212" s="57"/>
      <c r="U212" s="57"/>
      <c r="V212" s="57"/>
      <c r="W212" s="57"/>
      <c r="X212" s="57"/>
      <c r="Y212" s="57"/>
      <c r="Z212" s="13" t="str">
        <f t="shared" si="92"/>
        <v>37</v>
      </c>
      <c r="AA212" s="13" t="s">
        <v>5</v>
      </c>
    </row>
    <row r="213" spans="1:27" hidden="1" outlineLevel="1" x14ac:dyDescent="0.25">
      <c r="A213" s="374">
        <v>3</v>
      </c>
      <c r="C213" s="12" t="str">
        <f t="shared" si="91"/>
        <v>aa 00 04 21 12 00 01 38 55</v>
      </c>
      <c r="D213" s="373" t="s">
        <v>135</v>
      </c>
      <c r="H213" s="388"/>
      <c r="I213" s="336"/>
      <c r="J213" s="1" t="s">
        <v>0</v>
      </c>
      <c r="K213" s="1" t="s">
        <v>1</v>
      </c>
      <c r="L213" s="1" t="s">
        <v>2</v>
      </c>
      <c r="M213" s="2" t="s">
        <v>3</v>
      </c>
      <c r="N213" s="2" t="s">
        <v>159</v>
      </c>
      <c r="O213" s="2" t="s">
        <v>1</v>
      </c>
      <c r="P213" s="3" t="s">
        <v>14</v>
      </c>
      <c r="Q213" s="57"/>
      <c r="R213" s="57"/>
      <c r="S213" s="57"/>
      <c r="T213" s="57"/>
      <c r="U213" s="57"/>
      <c r="V213" s="57"/>
      <c r="W213" s="57"/>
      <c r="X213" s="57"/>
      <c r="Y213" s="57"/>
      <c r="Z213" s="13" t="str">
        <f t="shared" si="92"/>
        <v>38</v>
      </c>
      <c r="AA213" s="13" t="s">
        <v>5</v>
      </c>
    </row>
    <row r="214" spans="1:27" hidden="1" outlineLevel="1" x14ac:dyDescent="0.25">
      <c r="A214" s="374">
        <v>3</v>
      </c>
      <c r="C214" s="12" t="str">
        <f t="shared" si="91"/>
        <v>aa 00 04 21 13 00 01 39 55</v>
      </c>
      <c r="D214" s="373" t="s">
        <v>136</v>
      </c>
      <c r="H214" s="388"/>
      <c r="I214" s="336"/>
      <c r="J214" s="1" t="s">
        <v>0</v>
      </c>
      <c r="K214" s="1" t="s">
        <v>1</v>
      </c>
      <c r="L214" s="1" t="s">
        <v>2</v>
      </c>
      <c r="M214" s="2" t="s">
        <v>3</v>
      </c>
      <c r="N214" s="2" t="s">
        <v>160</v>
      </c>
      <c r="O214" s="2" t="s">
        <v>1</v>
      </c>
      <c r="P214" s="3" t="s">
        <v>14</v>
      </c>
      <c r="Q214" s="57"/>
      <c r="R214" s="57"/>
      <c r="S214" s="57"/>
      <c r="T214" s="57"/>
      <c r="U214" s="57"/>
      <c r="V214" s="57"/>
      <c r="W214" s="57"/>
      <c r="X214" s="57"/>
      <c r="Y214" s="57"/>
      <c r="Z214" s="13" t="str">
        <f t="shared" si="92"/>
        <v>39</v>
      </c>
      <c r="AA214" s="13" t="s">
        <v>5</v>
      </c>
    </row>
    <row r="215" spans="1:27" hidden="1" outlineLevel="1" x14ac:dyDescent="0.25">
      <c r="A215" s="374">
        <v>3</v>
      </c>
      <c r="C215" s="12" t="str">
        <f t="shared" si="91"/>
        <v>aa 00 04 21 14 00 01 3A 55</v>
      </c>
      <c r="D215" s="373" t="s">
        <v>137</v>
      </c>
      <c r="H215" s="388"/>
      <c r="I215" s="336"/>
      <c r="J215" s="1" t="s">
        <v>0</v>
      </c>
      <c r="K215" s="1" t="s">
        <v>1</v>
      </c>
      <c r="L215" s="1" t="s">
        <v>2</v>
      </c>
      <c r="M215" s="2" t="s">
        <v>3</v>
      </c>
      <c r="N215" s="2" t="s">
        <v>161</v>
      </c>
      <c r="O215" s="2" t="s">
        <v>1</v>
      </c>
      <c r="P215" s="3" t="s">
        <v>14</v>
      </c>
      <c r="Q215" s="57"/>
      <c r="R215" s="57"/>
      <c r="S215" s="57"/>
      <c r="T215" s="57"/>
      <c r="U215" s="57"/>
      <c r="V215" s="57"/>
      <c r="W215" s="57"/>
      <c r="X215" s="57"/>
      <c r="Y215" s="57"/>
      <c r="Z215" s="13" t="str">
        <f t="shared" si="92"/>
        <v>3A</v>
      </c>
      <c r="AA215" s="13" t="s">
        <v>5</v>
      </c>
    </row>
    <row r="216" spans="1:27" hidden="1" outlineLevel="1" x14ac:dyDescent="0.25">
      <c r="A216" s="374">
        <v>3</v>
      </c>
      <c r="C216" s="12" t="str">
        <f t="shared" si="91"/>
        <v>aa 00 04 21 15 00 01 3B 55</v>
      </c>
      <c r="D216" s="373" t="s">
        <v>138</v>
      </c>
      <c r="H216" s="388"/>
      <c r="I216" s="336"/>
      <c r="J216" s="1" t="s">
        <v>0</v>
      </c>
      <c r="K216" s="1" t="s">
        <v>1</v>
      </c>
      <c r="L216" s="1" t="s">
        <v>2</v>
      </c>
      <c r="M216" s="2" t="s">
        <v>3</v>
      </c>
      <c r="N216" s="2" t="s">
        <v>162</v>
      </c>
      <c r="O216" s="2" t="s">
        <v>1</v>
      </c>
      <c r="P216" s="3" t="s">
        <v>14</v>
      </c>
      <c r="Q216" s="57"/>
      <c r="R216" s="57"/>
      <c r="S216" s="57"/>
      <c r="T216" s="57"/>
      <c r="U216" s="57"/>
      <c r="V216" s="57"/>
      <c r="W216" s="57"/>
      <c r="X216" s="57"/>
      <c r="Y216" s="57"/>
      <c r="Z216" s="13" t="str">
        <f t="shared" si="92"/>
        <v>3B</v>
      </c>
      <c r="AA216" s="13" t="s">
        <v>5</v>
      </c>
    </row>
    <row r="217" spans="1:27" hidden="1" outlineLevel="1" x14ac:dyDescent="0.25">
      <c r="A217" s="374">
        <v>3</v>
      </c>
      <c r="C217" s="12" t="str">
        <f t="shared" si="91"/>
        <v>aa 00 04 21 16 00 01 3C 55</v>
      </c>
      <c r="D217" s="373" t="s">
        <v>139</v>
      </c>
      <c r="H217" s="388"/>
      <c r="I217" s="336"/>
      <c r="J217" s="1" t="s">
        <v>0</v>
      </c>
      <c r="K217" s="1" t="s">
        <v>1</v>
      </c>
      <c r="L217" s="1" t="s">
        <v>2</v>
      </c>
      <c r="M217" s="2" t="s">
        <v>3</v>
      </c>
      <c r="N217" s="2" t="s">
        <v>163</v>
      </c>
      <c r="O217" s="2" t="s">
        <v>1</v>
      </c>
      <c r="P217" s="3" t="s">
        <v>14</v>
      </c>
      <c r="Q217" s="57"/>
      <c r="R217" s="57"/>
      <c r="S217" s="57"/>
      <c r="T217" s="57"/>
      <c r="U217" s="57"/>
      <c r="V217" s="57"/>
      <c r="W217" s="57"/>
      <c r="X217" s="57"/>
      <c r="Y217" s="57"/>
      <c r="Z217" s="13" t="str">
        <f t="shared" si="92"/>
        <v>3C</v>
      </c>
      <c r="AA217" s="13" t="s">
        <v>5</v>
      </c>
    </row>
    <row r="218" spans="1:27" hidden="1" outlineLevel="1" x14ac:dyDescent="0.25">
      <c r="A218" s="374">
        <v>3</v>
      </c>
      <c r="C218" s="12" t="str">
        <f t="shared" si="91"/>
        <v>aa 00 04 21 17 00 01 3D 55</v>
      </c>
      <c r="D218" s="373" t="s">
        <v>140</v>
      </c>
      <c r="H218" s="388"/>
      <c r="I218" s="336"/>
      <c r="J218" s="1" t="s">
        <v>0</v>
      </c>
      <c r="K218" s="1" t="s">
        <v>1</v>
      </c>
      <c r="L218" s="1" t="s">
        <v>2</v>
      </c>
      <c r="M218" s="2" t="s">
        <v>3</v>
      </c>
      <c r="N218" s="2" t="s">
        <v>164</v>
      </c>
      <c r="O218" s="2" t="s">
        <v>1</v>
      </c>
      <c r="P218" s="3" t="s">
        <v>14</v>
      </c>
      <c r="Q218" s="57"/>
      <c r="R218" s="57"/>
      <c r="S218" s="57"/>
      <c r="T218" s="57"/>
      <c r="U218" s="57"/>
      <c r="V218" s="57"/>
      <c r="W218" s="57"/>
      <c r="X218" s="57"/>
      <c r="Y218" s="57"/>
      <c r="Z218" s="13" t="str">
        <f t="shared" si="92"/>
        <v>3D</v>
      </c>
      <c r="AA218" s="13" t="s">
        <v>5</v>
      </c>
    </row>
    <row r="219" spans="1:27" hidden="1" outlineLevel="1" x14ac:dyDescent="0.25">
      <c r="A219" s="374">
        <v>3</v>
      </c>
      <c r="C219" s="12" t="str">
        <f t="shared" si="91"/>
        <v>aa 00 04 21 18 00 01 3E 55</v>
      </c>
      <c r="D219" s="373" t="s">
        <v>141</v>
      </c>
      <c r="H219" s="388"/>
      <c r="I219" s="336"/>
      <c r="J219" s="1" t="s">
        <v>0</v>
      </c>
      <c r="K219" s="1" t="s">
        <v>1</v>
      </c>
      <c r="L219" s="1" t="s">
        <v>2</v>
      </c>
      <c r="M219" s="2" t="s">
        <v>3</v>
      </c>
      <c r="N219" s="2" t="s">
        <v>165</v>
      </c>
      <c r="O219" s="2" t="s">
        <v>1</v>
      </c>
      <c r="P219" s="3" t="s">
        <v>14</v>
      </c>
      <c r="Q219" s="57"/>
      <c r="R219" s="57"/>
      <c r="S219" s="57"/>
      <c r="T219" s="57"/>
      <c r="U219" s="57"/>
      <c r="V219" s="57"/>
      <c r="W219" s="57"/>
      <c r="X219" s="57"/>
      <c r="Y219" s="57"/>
      <c r="Z219" s="13" t="str">
        <f t="shared" si="92"/>
        <v>3E</v>
      </c>
      <c r="AA219" s="13" t="s">
        <v>5</v>
      </c>
    </row>
    <row r="220" spans="1:27" hidden="1" outlineLevel="1" x14ac:dyDescent="0.25">
      <c r="A220" s="374">
        <v>3</v>
      </c>
      <c r="C220" s="12" t="str">
        <f t="shared" si="91"/>
        <v>aa 00 04 21 19 00 01 3F 55</v>
      </c>
      <c r="D220" s="373" t="s">
        <v>142</v>
      </c>
      <c r="H220" s="388"/>
      <c r="I220" s="336"/>
      <c r="J220" s="1" t="s">
        <v>0</v>
      </c>
      <c r="K220" s="1" t="s">
        <v>1</v>
      </c>
      <c r="L220" s="1" t="s">
        <v>2</v>
      </c>
      <c r="M220" s="2" t="s">
        <v>3</v>
      </c>
      <c r="N220" s="2" t="s">
        <v>166</v>
      </c>
      <c r="O220" s="2" t="s">
        <v>1</v>
      </c>
      <c r="P220" s="3" t="s">
        <v>14</v>
      </c>
      <c r="Q220" s="57"/>
      <c r="R220" s="57"/>
      <c r="S220" s="57"/>
      <c r="T220" s="57"/>
      <c r="U220" s="57"/>
      <c r="V220" s="57"/>
      <c r="W220" s="57"/>
      <c r="X220" s="57"/>
      <c r="Y220" s="57"/>
      <c r="Z220" s="13" t="str">
        <f t="shared" si="92"/>
        <v>3F</v>
      </c>
      <c r="AA220" s="13" t="s">
        <v>5</v>
      </c>
    </row>
    <row r="221" spans="1:27" hidden="1" outlineLevel="1" x14ac:dyDescent="0.25">
      <c r="A221" s="374">
        <v>3</v>
      </c>
      <c r="C221" s="12" t="str">
        <f t="shared" si="91"/>
        <v>aa 00 04 21 1A 00 01 40 55</v>
      </c>
      <c r="D221" s="373" t="s">
        <v>143</v>
      </c>
      <c r="H221" s="388"/>
      <c r="I221" s="336"/>
      <c r="J221" s="1" t="s">
        <v>0</v>
      </c>
      <c r="K221" s="1" t="s">
        <v>1</v>
      </c>
      <c r="L221" s="1" t="s">
        <v>2</v>
      </c>
      <c r="M221" s="2" t="s">
        <v>3</v>
      </c>
      <c r="N221" s="2" t="s">
        <v>212</v>
      </c>
      <c r="O221" s="2" t="s">
        <v>1</v>
      </c>
      <c r="P221" s="3" t="s">
        <v>14</v>
      </c>
      <c r="Q221" s="57"/>
      <c r="R221" s="57"/>
      <c r="S221" s="57"/>
      <c r="T221" s="57"/>
      <c r="U221" s="57"/>
      <c r="V221" s="57"/>
      <c r="W221" s="57"/>
      <c r="X221" s="57"/>
      <c r="Y221" s="57"/>
      <c r="Z221" s="13" t="str">
        <f t="shared" si="92"/>
        <v>40</v>
      </c>
      <c r="AA221" s="13" t="s">
        <v>5</v>
      </c>
    </row>
    <row r="222" spans="1:27" hidden="1" outlineLevel="1" x14ac:dyDescent="0.25">
      <c r="A222" s="374">
        <v>3</v>
      </c>
      <c r="C222" s="12" t="str">
        <f t="shared" si="91"/>
        <v>aa 00 04 21 1B 00 01 41 55</v>
      </c>
      <c r="D222" s="373" t="s">
        <v>144</v>
      </c>
      <c r="H222" s="388"/>
      <c r="I222" s="336"/>
      <c r="J222" s="1" t="s">
        <v>0</v>
      </c>
      <c r="K222" s="1" t="s">
        <v>1</v>
      </c>
      <c r="L222" s="1" t="s">
        <v>2</v>
      </c>
      <c r="M222" s="2" t="s">
        <v>3</v>
      </c>
      <c r="N222" s="2" t="s">
        <v>213</v>
      </c>
      <c r="O222" s="2" t="s">
        <v>1</v>
      </c>
      <c r="P222" s="3" t="s">
        <v>14</v>
      </c>
      <c r="Q222" s="57"/>
      <c r="R222" s="57"/>
      <c r="S222" s="57"/>
      <c r="T222" s="57"/>
      <c r="U222" s="57"/>
      <c r="V222" s="57"/>
      <c r="W222" s="57"/>
      <c r="X222" s="57"/>
      <c r="Y222" s="57"/>
      <c r="Z222" s="13" t="str">
        <f t="shared" si="92"/>
        <v>41</v>
      </c>
      <c r="AA222" s="13" t="s">
        <v>5</v>
      </c>
    </row>
    <row r="223" spans="1:27" hidden="1" outlineLevel="1" x14ac:dyDescent="0.25">
      <c r="A223" s="374">
        <v>3</v>
      </c>
      <c r="C223" s="12" t="str">
        <f t="shared" si="91"/>
        <v>aa 00 04 21 1C 00 01 42 55</v>
      </c>
      <c r="D223" s="373" t="s">
        <v>145</v>
      </c>
      <c r="H223" s="388"/>
      <c r="I223" s="336"/>
      <c r="J223" s="1" t="s">
        <v>0</v>
      </c>
      <c r="K223" s="1" t="s">
        <v>1</v>
      </c>
      <c r="L223" s="1" t="s">
        <v>2</v>
      </c>
      <c r="M223" s="2" t="s">
        <v>3</v>
      </c>
      <c r="N223" s="2" t="s">
        <v>214</v>
      </c>
      <c r="O223" s="2" t="s">
        <v>1</v>
      </c>
      <c r="P223" s="3" t="s">
        <v>14</v>
      </c>
      <c r="Q223" s="57"/>
      <c r="R223" s="57"/>
      <c r="S223" s="57"/>
      <c r="T223" s="57"/>
      <c r="U223" s="57"/>
      <c r="V223" s="57"/>
      <c r="W223" s="57"/>
      <c r="X223" s="57"/>
      <c r="Y223" s="57"/>
      <c r="Z223" s="13" t="str">
        <f t="shared" si="92"/>
        <v>42</v>
      </c>
      <c r="AA223" s="13" t="s">
        <v>5</v>
      </c>
    </row>
    <row r="224" spans="1:27" hidden="1" outlineLevel="1" x14ac:dyDescent="0.25">
      <c r="A224" s="374">
        <v>3</v>
      </c>
      <c r="C224" s="12" t="str">
        <f t="shared" si="91"/>
        <v>aa 00 04 21 1D 00 01 43 55</v>
      </c>
      <c r="D224" s="373" t="s">
        <v>146</v>
      </c>
      <c r="H224" s="388"/>
      <c r="I224" s="336"/>
      <c r="J224" s="1" t="s">
        <v>0</v>
      </c>
      <c r="K224" s="1" t="s">
        <v>1</v>
      </c>
      <c r="L224" s="1" t="s">
        <v>2</v>
      </c>
      <c r="M224" s="2" t="s">
        <v>3</v>
      </c>
      <c r="N224" s="2" t="s">
        <v>215</v>
      </c>
      <c r="O224" s="2" t="s">
        <v>1</v>
      </c>
      <c r="P224" s="3" t="s">
        <v>14</v>
      </c>
      <c r="Q224" s="57"/>
      <c r="R224" s="57"/>
      <c r="S224" s="57"/>
      <c r="T224" s="57"/>
      <c r="U224" s="57"/>
      <c r="V224" s="57"/>
      <c r="W224" s="57"/>
      <c r="X224" s="57"/>
      <c r="Y224" s="57"/>
      <c r="Z224" s="13" t="str">
        <f t="shared" si="92"/>
        <v>43</v>
      </c>
      <c r="AA224" s="13" t="s">
        <v>5</v>
      </c>
    </row>
    <row r="225" spans="1:27" hidden="1" outlineLevel="1" x14ac:dyDescent="0.25">
      <c r="A225" s="374">
        <v>3</v>
      </c>
      <c r="C225" s="12" t="str">
        <f t="shared" si="91"/>
        <v>aa 00 04 21 1E 00 01 44 55</v>
      </c>
      <c r="D225" s="373" t="s">
        <v>147</v>
      </c>
      <c r="H225" s="388"/>
      <c r="I225" s="336"/>
      <c r="J225" s="1" t="s">
        <v>0</v>
      </c>
      <c r="K225" s="1" t="s">
        <v>1</v>
      </c>
      <c r="L225" s="1" t="s">
        <v>2</v>
      </c>
      <c r="M225" s="2" t="s">
        <v>3</v>
      </c>
      <c r="N225" s="2" t="s">
        <v>216</v>
      </c>
      <c r="O225" s="2" t="s">
        <v>1</v>
      </c>
      <c r="P225" s="3" t="s">
        <v>14</v>
      </c>
      <c r="Q225" s="57"/>
      <c r="R225" s="57"/>
      <c r="S225" s="57"/>
      <c r="T225" s="57"/>
      <c r="U225" s="57"/>
      <c r="V225" s="57"/>
      <c r="W225" s="57"/>
      <c r="X225" s="57"/>
      <c r="Y225" s="57"/>
      <c r="Z225" s="13" t="str">
        <f t="shared" si="92"/>
        <v>44</v>
      </c>
      <c r="AA225" s="13" t="s">
        <v>5</v>
      </c>
    </row>
    <row r="226" spans="1:27" hidden="1" outlineLevel="1" x14ac:dyDescent="0.25">
      <c r="A226" s="374">
        <v>3</v>
      </c>
      <c r="C226" s="12" t="str">
        <f t="shared" si="91"/>
        <v>aa 00 04 21 1F 00 01 45 55</v>
      </c>
      <c r="D226" s="373" t="s">
        <v>148</v>
      </c>
      <c r="H226" s="388"/>
      <c r="I226" s="336"/>
      <c r="J226" s="1" t="s">
        <v>0</v>
      </c>
      <c r="K226" s="1" t="s">
        <v>1</v>
      </c>
      <c r="L226" s="1" t="s">
        <v>2</v>
      </c>
      <c r="M226" s="2" t="s">
        <v>3</v>
      </c>
      <c r="N226" s="2" t="s">
        <v>217</v>
      </c>
      <c r="O226" s="2" t="s">
        <v>1</v>
      </c>
      <c r="P226" s="3" t="s">
        <v>14</v>
      </c>
      <c r="Q226" s="57"/>
      <c r="R226" s="57"/>
      <c r="S226" s="57"/>
      <c r="T226" s="57"/>
      <c r="U226" s="57"/>
      <c r="V226" s="57"/>
      <c r="W226" s="57"/>
      <c r="X226" s="57"/>
      <c r="Y226" s="57"/>
      <c r="Z226" s="13" t="str">
        <f t="shared" si="92"/>
        <v>45</v>
      </c>
      <c r="AA226" s="13" t="s">
        <v>5</v>
      </c>
    </row>
    <row r="227" spans="1:27" hidden="1" outlineLevel="1" x14ac:dyDescent="0.25">
      <c r="A227" s="374">
        <v>3</v>
      </c>
      <c r="C227" s="12" t="str">
        <f t="shared" si="91"/>
        <v>aa 00 04 21 20 00 01 46 55</v>
      </c>
      <c r="D227" s="373" t="s">
        <v>149</v>
      </c>
      <c r="H227" s="388"/>
      <c r="I227" s="336"/>
      <c r="J227" s="1" t="s">
        <v>0</v>
      </c>
      <c r="K227" s="1" t="s">
        <v>1</v>
      </c>
      <c r="L227" s="1" t="s">
        <v>2</v>
      </c>
      <c r="M227" s="2" t="s">
        <v>3</v>
      </c>
      <c r="N227" s="2" t="s">
        <v>167</v>
      </c>
      <c r="O227" s="2" t="s">
        <v>1</v>
      </c>
      <c r="P227" s="3" t="s">
        <v>14</v>
      </c>
      <c r="Q227" s="57"/>
      <c r="R227" s="57"/>
      <c r="S227" s="57"/>
      <c r="T227" s="57"/>
      <c r="U227" s="57"/>
      <c r="V227" s="57"/>
      <c r="W227" s="57"/>
      <c r="X227" s="57"/>
      <c r="Y227" s="57"/>
      <c r="Z227" s="13" t="str">
        <f t="shared" si="92"/>
        <v>46</v>
      </c>
      <c r="AA227" s="13" t="s">
        <v>5</v>
      </c>
    </row>
    <row r="228" spans="1:27" hidden="1" outlineLevel="1" x14ac:dyDescent="0.25">
      <c r="A228" s="374">
        <v>3</v>
      </c>
      <c r="C228" s="12" t="str">
        <f t="shared" si="91"/>
        <v>aa 00 04 21 21 00 01 47 55</v>
      </c>
      <c r="D228" s="373" t="s">
        <v>150</v>
      </c>
      <c r="H228" s="388"/>
      <c r="I228" s="336"/>
      <c r="J228" s="1" t="s">
        <v>0</v>
      </c>
      <c r="K228" s="1" t="s">
        <v>1</v>
      </c>
      <c r="L228" s="1" t="s">
        <v>2</v>
      </c>
      <c r="M228" s="2" t="s">
        <v>3</v>
      </c>
      <c r="N228" s="2" t="s">
        <v>168</v>
      </c>
      <c r="O228" s="2" t="s">
        <v>1</v>
      </c>
      <c r="P228" s="3" t="s">
        <v>14</v>
      </c>
      <c r="Q228" s="57"/>
      <c r="R228" s="57"/>
      <c r="S228" s="57"/>
      <c r="T228" s="57"/>
      <c r="U228" s="57"/>
      <c r="V228" s="57"/>
      <c r="W228" s="57"/>
      <c r="X228" s="57"/>
      <c r="Y228" s="57"/>
      <c r="Z228" s="13" t="str">
        <f t="shared" si="92"/>
        <v>47</v>
      </c>
      <c r="AA228" s="13" t="s">
        <v>5</v>
      </c>
    </row>
    <row r="229" spans="1:27" hidden="1" outlineLevel="1" x14ac:dyDescent="0.25">
      <c r="A229" s="374">
        <v>3</v>
      </c>
      <c r="C229" s="12" t="str">
        <f t="shared" si="91"/>
        <v>aa 00 04 21 22 00 01 48 55</v>
      </c>
      <c r="D229" s="373" t="s">
        <v>151</v>
      </c>
      <c r="H229" s="388"/>
      <c r="I229" s="336"/>
      <c r="J229" s="1" t="s">
        <v>0</v>
      </c>
      <c r="K229" s="1" t="s">
        <v>1</v>
      </c>
      <c r="L229" s="1" t="s">
        <v>2</v>
      </c>
      <c r="M229" s="2" t="s">
        <v>3</v>
      </c>
      <c r="N229" s="2" t="s">
        <v>169</v>
      </c>
      <c r="O229" s="2" t="s">
        <v>1</v>
      </c>
      <c r="P229" s="3" t="s">
        <v>14</v>
      </c>
      <c r="Q229" s="57"/>
      <c r="R229" s="57"/>
      <c r="S229" s="57"/>
      <c r="T229" s="57"/>
      <c r="U229" s="57"/>
      <c r="V229" s="57"/>
      <c r="W229" s="57"/>
      <c r="X229" s="57"/>
      <c r="Y229" s="57"/>
      <c r="Z229" s="13" t="str">
        <f t="shared" si="92"/>
        <v>48</v>
      </c>
      <c r="AA229" s="13" t="s">
        <v>5</v>
      </c>
    </row>
    <row r="230" spans="1:27" hidden="1" outlineLevel="1" x14ac:dyDescent="0.25">
      <c r="A230" s="374">
        <v>3</v>
      </c>
      <c r="C230" s="12" t="str">
        <f t="shared" si="91"/>
        <v>aa 00 04 21 23 00 01 49 55</v>
      </c>
      <c r="D230" s="373" t="s">
        <v>152</v>
      </c>
      <c r="H230" s="388"/>
      <c r="I230" s="336"/>
      <c r="J230" s="1" t="s">
        <v>0</v>
      </c>
      <c r="K230" s="1" t="s">
        <v>1</v>
      </c>
      <c r="L230" s="1" t="s">
        <v>2</v>
      </c>
      <c r="M230" s="2" t="s">
        <v>3</v>
      </c>
      <c r="N230" s="2" t="s">
        <v>170</v>
      </c>
      <c r="O230" s="2" t="s">
        <v>1</v>
      </c>
      <c r="P230" s="3" t="s">
        <v>14</v>
      </c>
      <c r="Q230" s="57"/>
      <c r="R230" s="57"/>
      <c r="S230" s="57"/>
      <c r="T230" s="57"/>
      <c r="U230" s="57"/>
      <c r="V230" s="57"/>
      <c r="W230" s="57"/>
      <c r="X230" s="57"/>
      <c r="Y230" s="57"/>
      <c r="Z230" s="13" t="str">
        <f t="shared" si="92"/>
        <v>49</v>
      </c>
      <c r="AA230" s="13" t="s">
        <v>5</v>
      </c>
    </row>
    <row r="231" spans="1:27" hidden="1" outlineLevel="1" x14ac:dyDescent="0.25">
      <c r="A231" s="374">
        <v>3</v>
      </c>
      <c r="C231" s="12" t="str">
        <f t="shared" si="91"/>
        <v>aa 00 04 21 24 00 01 4A 55</v>
      </c>
      <c r="D231" s="373" t="s">
        <v>153</v>
      </c>
      <c r="H231" s="388"/>
      <c r="I231" s="336"/>
      <c r="J231" s="1" t="s">
        <v>0</v>
      </c>
      <c r="K231" s="1" t="s">
        <v>1</v>
      </c>
      <c r="L231" s="1" t="s">
        <v>2</v>
      </c>
      <c r="M231" s="2" t="s">
        <v>3</v>
      </c>
      <c r="N231" s="2" t="s">
        <v>171</v>
      </c>
      <c r="O231" s="2" t="s">
        <v>1</v>
      </c>
      <c r="P231" s="3" t="s">
        <v>14</v>
      </c>
      <c r="Q231" s="57"/>
      <c r="R231" s="57"/>
      <c r="S231" s="57"/>
      <c r="T231" s="57"/>
      <c r="U231" s="57"/>
      <c r="V231" s="57"/>
      <c r="W231" s="57"/>
      <c r="X231" s="57"/>
      <c r="Y231" s="57"/>
      <c r="Z231" s="13" t="str">
        <f t="shared" si="92"/>
        <v>4A</v>
      </c>
      <c r="AA231" s="13" t="s">
        <v>5</v>
      </c>
    </row>
    <row r="232" spans="1:27" hidden="1" outlineLevel="1" x14ac:dyDescent="0.25">
      <c r="A232" s="374">
        <v>3</v>
      </c>
      <c r="C232" s="12" t="str">
        <f t="shared" si="91"/>
        <v>aa 00 04 21 25 00 01 4B 55</v>
      </c>
      <c r="D232" s="373" t="s">
        <v>154</v>
      </c>
      <c r="H232" s="388"/>
      <c r="I232" s="336"/>
      <c r="J232" s="1" t="s">
        <v>0</v>
      </c>
      <c r="K232" s="1" t="s">
        <v>1</v>
      </c>
      <c r="L232" s="1" t="s">
        <v>2</v>
      </c>
      <c r="M232" s="2" t="s">
        <v>3</v>
      </c>
      <c r="N232" s="2" t="s">
        <v>172</v>
      </c>
      <c r="O232" s="2" t="s">
        <v>1</v>
      </c>
      <c r="P232" s="3" t="s">
        <v>14</v>
      </c>
      <c r="Q232" s="57"/>
      <c r="R232" s="57"/>
      <c r="S232" s="57"/>
      <c r="T232" s="57"/>
      <c r="U232" s="57"/>
      <c r="V232" s="57"/>
      <c r="W232" s="57"/>
      <c r="X232" s="57"/>
      <c r="Y232" s="57"/>
      <c r="Z232" s="13" t="str">
        <f t="shared" si="92"/>
        <v>4B</v>
      </c>
      <c r="AA232" s="13" t="s">
        <v>5</v>
      </c>
    </row>
    <row r="233" spans="1:27" hidden="1" outlineLevel="1" x14ac:dyDescent="0.25">
      <c r="A233" s="374">
        <v>3</v>
      </c>
      <c r="C233" s="12" t="str">
        <f t="shared" si="91"/>
        <v>aa 00 04 21 26 00 01 4C 55</v>
      </c>
      <c r="D233" s="373" t="s">
        <v>155</v>
      </c>
      <c r="H233" s="388"/>
      <c r="I233" s="336"/>
      <c r="J233" s="1" t="s">
        <v>0</v>
      </c>
      <c r="K233" s="1" t="s">
        <v>1</v>
      </c>
      <c r="L233" s="1" t="s">
        <v>2</v>
      </c>
      <c r="M233" s="2" t="s">
        <v>3</v>
      </c>
      <c r="N233" s="2" t="s">
        <v>173</v>
      </c>
      <c r="O233" s="2" t="s">
        <v>1</v>
      </c>
      <c r="P233" s="3" t="s">
        <v>14</v>
      </c>
      <c r="Q233" s="57"/>
      <c r="R233" s="57"/>
      <c r="S233" s="57"/>
      <c r="T233" s="57"/>
      <c r="U233" s="57"/>
      <c r="V233" s="57"/>
      <c r="W233" s="57"/>
      <c r="X233" s="57"/>
      <c r="Y233" s="57"/>
      <c r="Z233" s="13" t="str">
        <f t="shared" si="92"/>
        <v>4C</v>
      </c>
      <c r="AA233" s="13" t="s">
        <v>5</v>
      </c>
    </row>
    <row r="234" spans="1:27" hidden="1" outlineLevel="1" x14ac:dyDescent="0.25">
      <c r="A234" s="374">
        <v>3</v>
      </c>
      <c r="C234" s="12" t="str">
        <f t="shared" si="91"/>
        <v>aa 00 04 21 27 00 01 4D 55</v>
      </c>
      <c r="D234" s="373" t="s">
        <v>156</v>
      </c>
      <c r="H234" s="388"/>
      <c r="I234" s="336"/>
      <c r="J234" s="1" t="s">
        <v>0</v>
      </c>
      <c r="K234" s="1" t="s">
        <v>1</v>
      </c>
      <c r="L234" s="1" t="s">
        <v>2</v>
      </c>
      <c r="M234" s="2" t="s">
        <v>3</v>
      </c>
      <c r="N234" s="2" t="s">
        <v>174</v>
      </c>
      <c r="O234" s="2" t="s">
        <v>1</v>
      </c>
      <c r="P234" s="3" t="s">
        <v>14</v>
      </c>
      <c r="Q234" s="57"/>
      <c r="R234" s="57"/>
      <c r="S234" s="57"/>
      <c r="T234" s="57"/>
      <c r="U234" s="57"/>
      <c r="V234" s="57"/>
      <c r="W234" s="57"/>
      <c r="X234" s="57"/>
      <c r="Y234" s="57"/>
      <c r="Z234" s="13" t="str">
        <f t="shared" si="92"/>
        <v>4D</v>
      </c>
      <c r="AA234" s="13" t="s">
        <v>5</v>
      </c>
    </row>
    <row r="235" spans="1:27" hidden="1" outlineLevel="1" x14ac:dyDescent="0.25">
      <c r="A235" s="374">
        <v>3</v>
      </c>
      <c r="C235" s="12" t="str">
        <f t="shared" si="91"/>
        <v>aa 00 04 21 28 00 01 4E 55</v>
      </c>
      <c r="D235" s="373" t="s">
        <v>187</v>
      </c>
      <c r="H235" s="388"/>
      <c r="I235" s="336"/>
      <c r="J235" s="1" t="s">
        <v>0</v>
      </c>
      <c r="K235" s="1" t="s">
        <v>1</v>
      </c>
      <c r="L235" s="1" t="s">
        <v>2</v>
      </c>
      <c r="M235" s="2" t="s">
        <v>3</v>
      </c>
      <c r="N235" s="2" t="s">
        <v>175</v>
      </c>
      <c r="O235" s="2" t="s">
        <v>1</v>
      </c>
      <c r="P235" s="3" t="s">
        <v>14</v>
      </c>
      <c r="Q235" s="57"/>
      <c r="R235" s="57"/>
      <c r="S235" s="57"/>
      <c r="T235" s="57"/>
      <c r="U235" s="57"/>
      <c r="V235" s="57"/>
      <c r="W235" s="57"/>
      <c r="X235" s="57"/>
      <c r="Y235" s="57"/>
      <c r="Z235" s="13" t="str">
        <f t="shared" si="92"/>
        <v>4E</v>
      </c>
      <c r="AA235" s="13" t="s">
        <v>5</v>
      </c>
    </row>
    <row r="236" spans="1:27" collapsed="1" x14ac:dyDescent="0.25">
      <c r="A236" s="338">
        <v>2</v>
      </c>
      <c r="C236" s="473" t="s">
        <v>857</v>
      </c>
      <c r="D236" s="473"/>
    </row>
    <row r="237" spans="1:27" hidden="1" outlineLevel="1" x14ac:dyDescent="0.25">
      <c r="A237" s="374">
        <v>3</v>
      </c>
      <c r="C237" s="12" t="str">
        <f t="shared" si="91"/>
        <v>aa 00 04 21 29 00 01 4F 55</v>
      </c>
      <c r="D237" s="373" t="s">
        <v>854</v>
      </c>
      <c r="H237" s="388"/>
      <c r="I237" s="336"/>
      <c r="J237" s="1" t="s">
        <v>0</v>
      </c>
      <c r="K237" s="1" t="s">
        <v>1</v>
      </c>
      <c r="L237" s="1" t="s">
        <v>2</v>
      </c>
      <c r="M237" s="2" t="s">
        <v>3</v>
      </c>
      <c r="N237" s="2" t="s">
        <v>176</v>
      </c>
      <c r="O237" s="2" t="s">
        <v>1</v>
      </c>
      <c r="P237" s="3" t="s">
        <v>14</v>
      </c>
      <c r="Q237" s="57"/>
      <c r="R237" s="57"/>
      <c r="S237" s="57"/>
      <c r="T237" s="57"/>
      <c r="U237" s="57"/>
      <c r="V237" s="57"/>
      <c r="W237" s="57"/>
      <c r="X237" s="57"/>
      <c r="Y237" s="57"/>
      <c r="Z237" s="13" t="str">
        <f t="shared" si="92"/>
        <v>4F</v>
      </c>
      <c r="AA237" s="13" t="s">
        <v>5</v>
      </c>
    </row>
    <row r="238" spans="1:27" hidden="1" outlineLevel="1" x14ac:dyDescent="0.25">
      <c r="A238" s="374">
        <v>3</v>
      </c>
      <c r="C238" s="12" t="str">
        <f t="shared" si="91"/>
        <v>aa 00 04 21 2A 00 01 50 55</v>
      </c>
      <c r="D238" s="373" t="s">
        <v>188</v>
      </c>
      <c r="H238" s="388"/>
      <c r="I238" s="336"/>
      <c r="J238" s="1" t="s">
        <v>0</v>
      </c>
      <c r="K238" s="1" t="s">
        <v>1</v>
      </c>
      <c r="L238" s="1" t="s">
        <v>2</v>
      </c>
      <c r="M238" s="2" t="s">
        <v>3</v>
      </c>
      <c r="N238" s="2" t="s">
        <v>218</v>
      </c>
      <c r="O238" s="2" t="s">
        <v>1</v>
      </c>
      <c r="P238" s="3" t="s">
        <v>14</v>
      </c>
      <c r="Q238" s="57"/>
      <c r="R238" s="57"/>
      <c r="S238" s="57"/>
      <c r="T238" s="57"/>
      <c r="U238" s="57"/>
      <c r="V238" s="57"/>
      <c r="W238" s="57"/>
      <c r="X238" s="57"/>
      <c r="Y238" s="57"/>
      <c r="Z238" s="13" t="str">
        <f t="shared" si="92"/>
        <v>50</v>
      </c>
      <c r="AA238" s="13" t="s">
        <v>5</v>
      </c>
    </row>
    <row r="239" spans="1:27" hidden="1" outlineLevel="1" x14ac:dyDescent="0.25">
      <c r="A239" s="374">
        <v>3</v>
      </c>
      <c r="C239" s="12" t="str">
        <f t="shared" si="91"/>
        <v>aa 00 04 21 2B 00 01 51 55</v>
      </c>
      <c r="D239" s="373" t="s">
        <v>189</v>
      </c>
      <c r="H239" s="388"/>
      <c r="I239" s="336"/>
      <c r="J239" s="1" t="s">
        <v>0</v>
      </c>
      <c r="K239" s="1" t="s">
        <v>1</v>
      </c>
      <c r="L239" s="1" t="s">
        <v>2</v>
      </c>
      <c r="M239" s="2" t="s">
        <v>3</v>
      </c>
      <c r="N239" s="2" t="s">
        <v>219</v>
      </c>
      <c r="O239" s="2" t="s">
        <v>1</v>
      </c>
      <c r="P239" s="3" t="s">
        <v>14</v>
      </c>
      <c r="Q239" s="57"/>
      <c r="R239" s="57"/>
      <c r="S239" s="57"/>
      <c r="T239" s="57"/>
      <c r="U239" s="57"/>
      <c r="V239" s="57"/>
      <c r="W239" s="57"/>
      <c r="X239" s="57"/>
      <c r="Y239" s="57"/>
      <c r="Z239" s="13" t="str">
        <f t="shared" si="92"/>
        <v>51</v>
      </c>
      <c r="AA239" s="13" t="s">
        <v>5</v>
      </c>
    </row>
    <row r="240" spans="1:27" hidden="1" outlineLevel="1" x14ac:dyDescent="0.25">
      <c r="A240" s="374">
        <v>3</v>
      </c>
      <c r="C240" s="12" t="str">
        <f t="shared" si="91"/>
        <v>aa 00 04 21 2C 00 01 52 55</v>
      </c>
      <c r="D240" s="373" t="s">
        <v>190</v>
      </c>
      <c r="H240" s="388"/>
      <c r="I240" s="336"/>
      <c r="J240" s="1" t="s">
        <v>0</v>
      </c>
      <c r="K240" s="1" t="s">
        <v>1</v>
      </c>
      <c r="L240" s="1" t="s">
        <v>2</v>
      </c>
      <c r="M240" s="2" t="s">
        <v>3</v>
      </c>
      <c r="N240" s="2" t="s">
        <v>220</v>
      </c>
      <c r="O240" s="2" t="s">
        <v>1</v>
      </c>
      <c r="P240" s="3" t="s">
        <v>14</v>
      </c>
      <c r="Q240" s="57"/>
      <c r="R240" s="57"/>
      <c r="S240" s="57"/>
      <c r="T240" s="57"/>
      <c r="U240" s="57"/>
      <c r="V240" s="57"/>
      <c r="W240" s="57"/>
      <c r="X240" s="57"/>
      <c r="Y240" s="57"/>
      <c r="Z240" s="13" t="str">
        <f t="shared" si="92"/>
        <v>52</v>
      </c>
      <c r="AA240" s="13" t="s">
        <v>5</v>
      </c>
    </row>
    <row r="241" spans="1:27" hidden="1" outlineLevel="1" x14ac:dyDescent="0.25">
      <c r="A241" s="374">
        <v>3</v>
      </c>
      <c r="C241" s="12" t="str">
        <f t="shared" si="91"/>
        <v>aa 00 04 21 2D 00 01 53 55</v>
      </c>
      <c r="D241" s="373" t="s">
        <v>191</v>
      </c>
      <c r="H241" s="388"/>
      <c r="I241" s="336"/>
      <c r="J241" s="1" t="s">
        <v>0</v>
      </c>
      <c r="K241" s="1" t="s">
        <v>1</v>
      </c>
      <c r="L241" s="1" t="s">
        <v>2</v>
      </c>
      <c r="M241" s="2" t="s">
        <v>3</v>
      </c>
      <c r="N241" s="2" t="s">
        <v>221</v>
      </c>
      <c r="O241" s="2" t="s">
        <v>1</v>
      </c>
      <c r="P241" s="3" t="s">
        <v>14</v>
      </c>
      <c r="Q241" s="57"/>
      <c r="R241" s="57"/>
      <c r="S241" s="57"/>
      <c r="T241" s="57"/>
      <c r="U241" s="57"/>
      <c r="V241" s="57"/>
      <c r="W241" s="57"/>
      <c r="X241" s="57"/>
      <c r="Y241" s="57"/>
      <c r="Z241" s="13" t="str">
        <f t="shared" si="92"/>
        <v>53</v>
      </c>
      <c r="AA241" s="13" t="s">
        <v>5</v>
      </c>
    </row>
    <row r="242" spans="1:27" hidden="1" outlineLevel="1" x14ac:dyDescent="0.25">
      <c r="A242" s="374">
        <v>3</v>
      </c>
      <c r="C242" s="12" t="str">
        <f t="shared" si="91"/>
        <v>aa 00 04 21 2E 00 01 54 55</v>
      </c>
      <c r="D242" s="373" t="s">
        <v>192</v>
      </c>
      <c r="H242" s="388"/>
      <c r="I242" s="336"/>
      <c r="J242" s="1" t="s">
        <v>0</v>
      </c>
      <c r="K242" s="1" t="s">
        <v>1</v>
      </c>
      <c r="L242" s="1" t="s">
        <v>2</v>
      </c>
      <c r="M242" s="2" t="s">
        <v>3</v>
      </c>
      <c r="N242" s="2" t="s">
        <v>222</v>
      </c>
      <c r="O242" s="2" t="s">
        <v>1</v>
      </c>
      <c r="P242" s="3" t="s">
        <v>14</v>
      </c>
      <c r="Q242" s="57"/>
      <c r="R242" s="57"/>
      <c r="S242" s="57"/>
      <c r="T242" s="57"/>
      <c r="U242" s="57"/>
      <c r="V242" s="57"/>
      <c r="W242" s="57"/>
      <c r="X242" s="57"/>
      <c r="Y242" s="57"/>
      <c r="Z242" s="13" t="str">
        <f t="shared" si="92"/>
        <v>54</v>
      </c>
      <c r="AA242" s="13" t="s">
        <v>5</v>
      </c>
    </row>
    <row r="243" spans="1:27" hidden="1" outlineLevel="1" x14ac:dyDescent="0.25">
      <c r="A243" s="374">
        <v>3</v>
      </c>
      <c r="C243" s="12" t="str">
        <f t="shared" si="91"/>
        <v>aa 00 04 21 2F 00 01 55 55</v>
      </c>
      <c r="D243" s="373" t="s">
        <v>193</v>
      </c>
      <c r="H243" s="388"/>
      <c r="I243" s="336"/>
      <c r="J243" s="1" t="s">
        <v>0</v>
      </c>
      <c r="K243" s="1" t="s">
        <v>1</v>
      </c>
      <c r="L243" s="1" t="s">
        <v>2</v>
      </c>
      <c r="M243" s="2" t="s">
        <v>3</v>
      </c>
      <c r="N243" s="2" t="s">
        <v>223</v>
      </c>
      <c r="O243" s="2" t="s">
        <v>1</v>
      </c>
      <c r="P243" s="3" t="s">
        <v>14</v>
      </c>
      <c r="Q243" s="57"/>
      <c r="R243" s="57"/>
      <c r="S243" s="57"/>
      <c r="T243" s="57"/>
      <c r="U243" s="57"/>
      <c r="V243" s="57"/>
      <c r="W243" s="57"/>
      <c r="X243" s="57"/>
      <c r="Y243" s="57"/>
      <c r="Z243" s="13" t="str">
        <f t="shared" si="92"/>
        <v>55</v>
      </c>
      <c r="AA243" s="13" t="s">
        <v>5</v>
      </c>
    </row>
    <row r="244" spans="1:27" hidden="1" outlineLevel="1" x14ac:dyDescent="0.25">
      <c r="A244" s="374">
        <v>3</v>
      </c>
      <c r="C244" s="12" t="str">
        <f t="shared" si="91"/>
        <v>aa 00 04 21 30 00 01 56 55</v>
      </c>
      <c r="D244" s="373" t="s">
        <v>194</v>
      </c>
      <c r="H244" s="388"/>
      <c r="I244" s="336"/>
      <c r="J244" s="1" t="s">
        <v>0</v>
      </c>
      <c r="K244" s="1" t="s">
        <v>1</v>
      </c>
      <c r="L244" s="1" t="s">
        <v>2</v>
      </c>
      <c r="M244" s="2" t="s">
        <v>3</v>
      </c>
      <c r="N244" s="2" t="s">
        <v>177</v>
      </c>
      <c r="O244" s="2" t="s">
        <v>1</v>
      </c>
      <c r="P244" s="3" t="s">
        <v>14</v>
      </c>
      <c r="Q244" s="57"/>
      <c r="R244" s="57"/>
      <c r="S244" s="57"/>
      <c r="T244" s="57"/>
      <c r="U244" s="57"/>
      <c r="V244" s="57"/>
      <c r="W244" s="57"/>
      <c r="X244" s="57"/>
      <c r="Y244" s="57"/>
      <c r="Z244" s="13" t="str">
        <f t="shared" si="92"/>
        <v>56</v>
      </c>
      <c r="AA244" s="13" t="s">
        <v>5</v>
      </c>
    </row>
    <row r="245" spans="1:27" hidden="1" outlineLevel="1" x14ac:dyDescent="0.25">
      <c r="A245" s="374">
        <v>3</v>
      </c>
      <c r="C245" s="12" t="str">
        <f t="shared" si="91"/>
        <v>aa 00 04 21 31 00 01 57 55</v>
      </c>
      <c r="D245" s="373" t="s">
        <v>195</v>
      </c>
      <c r="H245" s="388"/>
      <c r="I245" s="336"/>
      <c r="J245" s="1" t="s">
        <v>0</v>
      </c>
      <c r="K245" s="1" t="s">
        <v>1</v>
      </c>
      <c r="L245" s="1" t="s">
        <v>2</v>
      </c>
      <c r="M245" s="2" t="s">
        <v>3</v>
      </c>
      <c r="N245" s="2" t="s">
        <v>178</v>
      </c>
      <c r="O245" s="2" t="s">
        <v>1</v>
      </c>
      <c r="P245" s="3" t="s">
        <v>14</v>
      </c>
      <c r="Q245" s="57"/>
      <c r="R245" s="57"/>
      <c r="S245" s="57"/>
      <c r="T245" s="57"/>
      <c r="U245" s="57"/>
      <c r="V245" s="57"/>
      <c r="W245" s="57"/>
      <c r="X245" s="57"/>
      <c r="Y245" s="57"/>
      <c r="Z245" s="13" t="str">
        <f t="shared" si="92"/>
        <v>57</v>
      </c>
      <c r="AA245" s="13" t="s">
        <v>5</v>
      </c>
    </row>
    <row r="246" spans="1:27" hidden="1" outlineLevel="1" x14ac:dyDescent="0.25">
      <c r="A246" s="374">
        <v>3</v>
      </c>
      <c r="C246" s="12" t="str">
        <f t="shared" si="91"/>
        <v>aa 00 04 21 32 00 01 58 55</v>
      </c>
      <c r="D246" s="373" t="s">
        <v>196</v>
      </c>
      <c r="H246" s="388"/>
      <c r="I246" s="336"/>
      <c r="J246" s="1" t="s">
        <v>0</v>
      </c>
      <c r="K246" s="1" t="s">
        <v>1</v>
      </c>
      <c r="L246" s="1" t="s">
        <v>2</v>
      </c>
      <c r="M246" s="2" t="s">
        <v>3</v>
      </c>
      <c r="N246" s="2" t="s">
        <v>179</v>
      </c>
      <c r="O246" s="2" t="s">
        <v>1</v>
      </c>
      <c r="P246" s="3" t="s">
        <v>14</v>
      </c>
      <c r="Q246" s="57"/>
      <c r="R246" s="57"/>
      <c r="S246" s="57"/>
      <c r="T246" s="57"/>
      <c r="U246" s="57"/>
      <c r="V246" s="57"/>
      <c r="W246" s="57"/>
      <c r="X246" s="57"/>
      <c r="Y246" s="57"/>
      <c r="Z246" s="13" t="str">
        <f t="shared" si="92"/>
        <v>58</v>
      </c>
      <c r="AA246" s="13" t="s">
        <v>5</v>
      </c>
    </row>
    <row r="247" spans="1:27" hidden="1" outlineLevel="1" x14ac:dyDescent="0.25">
      <c r="A247" s="374">
        <v>3</v>
      </c>
      <c r="C247" s="12" t="str">
        <f t="shared" si="91"/>
        <v>aa 00 04 21 33 00 01 59 55</v>
      </c>
      <c r="D247" s="373" t="s">
        <v>197</v>
      </c>
      <c r="H247" s="388"/>
      <c r="I247" s="336"/>
      <c r="J247" s="1" t="s">
        <v>0</v>
      </c>
      <c r="K247" s="1" t="s">
        <v>1</v>
      </c>
      <c r="L247" s="1" t="s">
        <v>2</v>
      </c>
      <c r="M247" s="2" t="s">
        <v>3</v>
      </c>
      <c r="N247" s="2" t="s">
        <v>180</v>
      </c>
      <c r="O247" s="2" t="s">
        <v>1</v>
      </c>
      <c r="P247" s="3" t="s">
        <v>14</v>
      </c>
      <c r="Q247" s="57"/>
      <c r="R247" s="57"/>
      <c r="S247" s="57"/>
      <c r="T247" s="57"/>
      <c r="U247" s="57"/>
      <c r="V247" s="57"/>
      <c r="W247" s="57"/>
      <c r="X247" s="57"/>
      <c r="Y247" s="57"/>
      <c r="Z247" s="13" t="str">
        <f t="shared" si="92"/>
        <v>59</v>
      </c>
      <c r="AA247" s="13" t="s">
        <v>5</v>
      </c>
    </row>
    <row r="248" spans="1:27" hidden="1" outlineLevel="1" x14ac:dyDescent="0.25">
      <c r="A248" s="374">
        <v>3</v>
      </c>
      <c r="C248" s="12" t="str">
        <f t="shared" si="91"/>
        <v>aa 00 04 21 34 00 01 5A 55</v>
      </c>
      <c r="D248" s="373" t="s">
        <v>198</v>
      </c>
      <c r="H248" s="388"/>
      <c r="I248" s="336"/>
      <c r="J248" s="1" t="s">
        <v>0</v>
      </c>
      <c r="K248" s="1" t="s">
        <v>1</v>
      </c>
      <c r="L248" s="1" t="s">
        <v>2</v>
      </c>
      <c r="M248" s="2" t="s">
        <v>3</v>
      </c>
      <c r="N248" s="2" t="s">
        <v>181</v>
      </c>
      <c r="O248" s="2" t="s">
        <v>1</v>
      </c>
      <c r="P248" s="3" t="s">
        <v>14</v>
      </c>
      <c r="Q248" s="57"/>
      <c r="R248" s="57"/>
      <c r="S248" s="57"/>
      <c r="T248" s="57"/>
      <c r="U248" s="57"/>
      <c r="V248" s="57"/>
      <c r="W248" s="57"/>
      <c r="X248" s="57"/>
      <c r="Y248" s="57"/>
      <c r="Z248" s="13" t="str">
        <f t="shared" si="92"/>
        <v>5A</v>
      </c>
      <c r="AA248" s="13" t="s">
        <v>5</v>
      </c>
    </row>
    <row r="249" spans="1:27" hidden="1" outlineLevel="1" x14ac:dyDescent="0.25">
      <c r="A249" s="374">
        <v>3</v>
      </c>
      <c r="C249" s="12" t="str">
        <f t="shared" si="91"/>
        <v>aa 00 04 21 35 00 01 5B 55</v>
      </c>
      <c r="D249" s="373" t="s">
        <v>199</v>
      </c>
      <c r="H249" s="388"/>
      <c r="I249" s="336"/>
      <c r="J249" s="1" t="s">
        <v>0</v>
      </c>
      <c r="K249" s="1" t="s">
        <v>1</v>
      </c>
      <c r="L249" s="1" t="s">
        <v>2</v>
      </c>
      <c r="M249" s="2" t="s">
        <v>3</v>
      </c>
      <c r="N249" s="2" t="s">
        <v>182</v>
      </c>
      <c r="O249" s="2" t="s">
        <v>1</v>
      </c>
      <c r="P249" s="3" t="s">
        <v>14</v>
      </c>
      <c r="Q249" s="57"/>
      <c r="R249" s="57"/>
      <c r="S249" s="57"/>
      <c r="T249" s="57"/>
      <c r="U249" s="57"/>
      <c r="V249" s="57"/>
      <c r="W249" s="57"/>
      <c r="X249" s="57"/>
      <c r="Y249" s="57"/>
      <c r="Z249" s="13" t="str">
        <f t="shared" si="92"/>
        <v>5B</v>
      </c>
      <c r="AA249" s="13" t="s">
        <v>5</v>
      </c>
    </row>
    <row r="250" spans="1:27" hidden="1" outlineLevel="1" x14ac:dyDescent="0.25">
      <c r="A250" s="374">
        <v>3</v>
      </c>
      <c r="C250" s="12" t="str">
        <f t="shared" si="91"/>
        <v>aa 00 04 21 36 00 01 5C 55</v>
      </c>
      <c r="D250" s="373" t="s">
        <v>200</v>
      </c>
      <c r="H250" s="388"/>
      <c r="I250" s="336"/>
      <c r="J250" s="1" t="s">
        <v>0</v>
      </c>
      <c r="K250" s="1" t="s">
        <v>1</v>
      </c>
      <c r="L250" s="1" t="s">
        <v>2</v>
      </c>
      <c r="M250" s="2" t="s">
        <v>3</v>
      </c>
      <c r="N250" s="2" t="s">
        <v>183</v>
      </c>
      <c r="O250" s="2" t="s">
        <v>1</v>
      </c>
      <c r="P250" s="3" t="s">
        <v>14</v>
      </c>
      <c r="Q250" s="57"/>
      <c r="R250" s="57"/>
      <c r="S250" s="57"/>
      <c r="T250" s="57"/>
      <c r="U250" s="57"/>
      <c r="V250" s="57"/>
      <c r="W250" s="57"/>
      <c r="X250" s="57"/>
      <c r="Y250" s="57"/>
      <c r="Z250" s="13" t="str">
        <f t="shared" si="92"/>
        <v>5C</v>
      </c>
      <c r="AA250" s="13" t="s">
        <v>5</v>
      </c>
    </row>
    <row r="251" spans="1:27" hidden="1" outlineLevel="1" x14ac:dyDescent="0.25">
      <c r="A251" s="374">
        <v>3</v>
      </c>
      <c r="C251" s="12" t="str">
        <f t="shared" si="91"/>
        <v>aa 00 04 21 37 00 01 5D 55</v>
      </c>
      <c r="D251" s="373" t="s">
        <v>201</v>
      </c>
      <c r="H251" s="388"/>
      <c r="I251" s="336"/>
      <c r="J251" s="1" t="s">
        <v>0</v>
      </c>
      <c r="K251" s="1" t="s">
        <v>1</v>
      </c>
      <c r="L251" s="1" t="s">
        <v>2</v>
      </c>
      <c r="M251" s="2" t="s">
        <v>3</v>
      </c>
      <c r="N251" s="2" t="s">
        <v>184</v>
      </c>
      <c r="O251" s="2" t="s">
        <v>1</v>
      </c>
      <c r="P251" s="3" t="s">
        <v>14</v>
      </c>
      <c r="Q251" s="57"/>
      <c r="R251" s="57"/>
      <c r="S251" s="57"/>
      <c r="T251" s="57"/>
      <c r="U251" s="57"/>
      <c r="V251" s="57"/>
      <c r="W251" s="57"/>
      <c r="X251" s="57"/>
      <c r="Y251" s="57"/>
      <c r="Z251" s="13" t="str">
        <f t="shared" si="92"/>
        <v>5D</v>
      </c>
      <c r="AA251" s="13" t="s">
        <v>5</v>
      </c>
    </row>
    <row r="252" spans="1:27" hidden="1" outlineLevel="1" x14ac:dyDescent="0.25">
      <c r="A252" s="374">
        <v>3</v>
      </c>
      <c r="C252" s="12" t="str">
        <f t="shared" si="91"/>
        <v>aa 00 04 21 38 00 01 5E 55</v>
      </c>
      <c r="D252" s="373" t="s">
        <v>202</v>
      </c>
      <c r="H252" s="388"/>
      <c r="I252" s="336"/>
      <c r="J252" s="1" t="s">
        <v>0</v>
      </c>
      <c r="K252" s="1" t="s">
        <v>1</v>
      </c>
      <c r="L252" s="1" t="s">
        <v>2</v>
      </c>
      <c r="M252" s="2" t="s">
        <v>3</v>
      </c>
      <c r="N252" s="2" t="s">
        <v>185</v>
      </c>
      <c r="O252" s="2" t="s">
        <v>1</v>
      </c>
      <c r="P252" s="3" t="s">
        <v>14</v>
      </c>
      <c r="Q252" s="57"/>
      <c r="R252" s="57"/>
      <c r="S252" s="57"/>
      <c r="T252" s="57"/>
      <c r="U252" s="57"/>
      <c r="V252" s="57"/>
      <c r="W252" s="57"/>
      <c r="X252" s="57"/>
      <c r="Y252" s="57"/>
      <c r="Z252" s="13" t="str">
        <f t="shared" si="92"/>
        <v>5E</v>
      </c>
      <c r="AA252" s="13" t="s">
        <v>5</v>
      </c>
    </row>
    <row r="253" spans="1:27" hidden="1" outlineLevel="1" x14ac:dyDescent="0.25">
      <c r="A253" s="374">
        <v>3</v>
      </c>
      <c r="C253" s="12" t="str">
        <f t="shared" si="91"/>
        <v>aa 00 04 21 39 00 01 5F 55</v>
      </c>
      <c r="D253" s="373" t="s">
        <v>203</v>
      </c>
      <c r="H253" s="388"/>
      <c r="I253" s="336"/>
      <c r="J253" s="1" t="s">
        <v>0</v>
      </c>
      <c r="K253" s="1" t="s">
        <v>1</v>
      </c>
      <c r="L253" s="1" t="s">
        <v>2</v>
      </c>
      <c r="M253" s="2" t="s">
        <v>3</v>
      </c>
      <c r="N253" s="2" t="s">
        <v>186</v>
      </c>
      <c r="O253" s="2" t="s">
        <v>1</v>
      </c>
      <c r="P253" s="3" t="s">
        <v>14</v>
      </c>
      <c r="Q253" s="57"/>
      <c r="R253" s="57"/>
      <c r="S253" s="57"/>
      <c r="T253" s="57"/>
      <c r="U253" s="57"/>
      <c r="V253" s="57"/>
      <c r="W253" s="57"/>
      <c r="X253" s="57"/>
      <c r="Y253" s="57"/>
      <c r="Z253" s="13" t="str">
        <f t="shared" si="92"/>
        <v>5F</v>
      </c>
      <c r="AA253" s="13" t="s">
        <v>5</v>
      </c>
    </row>
    <row r="254" spans="1:27" hidden="1" outlineLevel="1" x14ac:dyDescent="0.25">
      <c r="A254" s="374">
        <v>3</v>
      </c>
      <c r="C254" s="12" t="str">
        <f t="shared" si="91"/>
        <v>aa 00 04 21 3A 00 01 60 55</v>
      </c>
      <c r="D254" s="373" t="s">
        <v>204</v>
      </c>
      <c r="H254" s="388"/>
      <c r="I254" s="336"/>
      <c r="J254" s="1" t="s">
        <v>0</v>
      </c>
      <c r="K254" s="1" t="s">
        <v>1</v>
      </c>
      <c r="L254" s="1" t="s">
        <v>2</v>
      </c>
      <c r="M254" s="2" t="s">
        <v>3</v>
      </c>
      <c r="N254" s="2" t="s">
        <v>224</v>
      </c>
      <c r="O254" s="2" t="s">
        <v>1</v>
      </c>
      <c r="P254" s="3" t="s">
        <v>14</v>
      </c>
      <c r="Q254" s="57"/>
      <c r="R254" s="57"/>
      <c r="S254" s="57"/>
      <c r="T254" s="57"/>
      <c r="U254" s="57"/>
      <c r="V254" s="57"/>
      <c r="W254" s="57"/>
      <c r="X254" s="57"/>
      <c r="Y254" s="57"/>
      <c r="Z254" s="13" t="str">
        <f t="shared" si="92"/>
        <v>60</v>
      </c>
      <c r="AA254" s="13" t="s">
        <v>5</v>
      </c>
    </row>
    <row r="255" spans="1:27" hidden="1" outlineLevel="1" x14ac:dyDescent="0.25">
      <c r="A255" s="374">
        <v>3</v>
      </c>
      <c r="C255" s="12" t="str">
        <f t="shared" ref="C255:C266" si="93">IF(ISBLANK(H255),,H255&amp;" ")&amp;IF(ISBLANK(I255),,I255&amp;" ")&amp;IF(ISBLANK(J255),,J255&amp;" ")&amp;IF(ISBLANK(K255),,K255&amp;" ")&amp;IF(ISBLANK(L255),,L255&amp;" ")&amp;IF(ISBLANK(M255),,M255&amp;" ")&amp;IF(ISBLANK(N255),,N255&amp;" ")&amp;IF(ISBLANK(O255),,O255&amp;" ")&amp;IF(ISBLANK(P255),,P255&amp;" ")&amp;IF(ISBLANK(Q255),,Q255&amp;" ")&amp;IF(ISBLANK(R255),,R255&amp;" ")&amp;IF(ISBLANK(S255),,S255&amp;" ")&amp;IF(ISBLANK(T255),,T255&amp;" ")&amp;IF(ISBLANK(U255),,U255&amp;" ")&amp;IF(ISBLANK(V255),,V255&amp;" ")&amp;IF(ISBLANK(W255),,W255&amp;" ")&amp;IF(ISBLANK(X255),,X255&amp;" ")&amp;IF(ISBLANK(Y255),,Y255&amp;" ")&amp;IF(ISBLANK(Z255),,Z255&amp;" ")&amp;IF(ISBLANK(AA255),,AA255)</f>
        <v>aa 00 04 21 3B 00 01 61 55</v>
      </c>
      <c r="D255" s="373" t="s">
        <v>205</v>
      </c>
      <c r="H255" s="388"/>
      <c r="I255" s="336"/>
      <c r="J255" s="1" t="s">
        <v>0</v>
      </c>
      <c r="K255" s="1" t="s">
        <v>1</v>
      </c>
      <c r="L255" s="1" t="s">
        <v>2</v>
      </c>
      <c r="M255" s="2" t="s">
        <v>3</v>
      </c>
      <c r="N255" s="2" t="s">
        <v>225</v>
      </c>
      <c r="O255" s="2" t="s">
        <v>1</v>
      </c>
      <c r="P255" s="3" t="s">
        <v>14</v>
      </c>
      <c r="Q255" s="57"/>
      <c r="R255" s="57"/>
      <c r="S255" s="57"/>
      <c r="T255" s="57"/>
      <c r="U255" s="57"/>
      <c r="V255" s="57"/>
      <c r="W255" s="57"/>
      <c r="X255" s="57"/>
      <c r="Y255" s="57"/>
      <c r="Z255" s="13" t="str">
        <f t="shared" ref="Z255:Z256" si="94">DEC2HEX(MOD(HEX2DEC(K255)+HEX2DEC(L255)+HEX2DEC(M255)+HEX2DEC(N255)+HEX2DEC(O255)+HEX2DEC(P255)+HEX2DEC(Q255)+HEX2DEC(R255)+HEX2DEC(S255)+HEX2DEC(T255)+HEX2DEC(U255)+HEX2DEC(V255)+HEX2DEC(Y255),256),2)</f>
        <v>61</v>
      </c>
      <c r="AA255" s="13" t="s">
        <v>5</v>
      </c>
    </row>
    <row r="256" spans="1:27" hidden="1" outlineLevel="1" x14ac:dyDescent="0.25">
      <c r="A256" s="374">
        <v>3</v>
      </c>
      <c r="C256" s="12" t="str">
        <f t="shared" si="93"/>
        <v>aa 00 04 21 3C 00 01 62 55</v>
      </c>
      <c r="D256" s="373" t="s">
        <v>206</v>
      </c>
      <c r="H256" s="388"/>
      <c r="I256" s="336"/>
      <c r="J256" s="1" t="s">
        <v>0</v>
      </c>
      <c r="K256" s="1" t="s">
        <v>1</v>
      </c>
      <c r="L256" s="1" t="s">
        <v>2</v>
      </c>
      <c r="M256" s="2" t="s">
        <v>3</v>
      </c>
      <c r="N256" s="2" t="s">
        <v>226</v>
      </c>
      <c r="O256" s="2" t="s">
        <v>1</v>
      </c>
      <c r="P256" s="3" t="s">
        <v>14</v>
      </c>
      <c r="Q256" s="57"/>
      <c r="R256" s="57"/>
      <c r="S256" s="57"/>
      <c r="T256" s="57"/>
      <c r="U256" s="57"/>
      <c r="V256" s="57"/>
      <c r="W256" s="57"/>
      <c r="X256" s="57"/>
      <c r="Y256" s="57"/>
      <c r="Z256" s="13" t="str">
        <f t="shared" si="94"/>
        <v>62</v>
      </c>
      <c r="AA256" s="13" t="s">
        <v>5</v>
      </c>
    </row>
    <row r="257" spans="1:27" collapsed="1" x14ac:dyDescent="0.25">
      <c r="A257" s="338">
        <v>2</v>
      </c>
      <c r="C257" s="473" t="s">
        <v>856</v>
      </c>
      <c r="D257" s="473"/>
    </row>
    <row r="258" spans="1:27" hidden="1" outlineLevel="1" x14ac:dyDescent="0.25">
      <c r="A258" s="374">
        <v>3</v>
      </c>
      <c r="C258" s="12" t="str">
        <f t="shared" si="93"/>
        <v>aa 00 04 21 3D 00 01 63 55</v>
      </c>
      <c r="D258" s="373" t="s">
        <v>206</v>
      </c>
      <c r="H258" s="388"/>
      <c r="I258" s="336"/>
      <c r="J258" s="1" t="s">
        <v>0</v>
      </c>
      <c r="K258" s="1" t="s">
        <v>1</v>
      </c>
      <c r="L258" s="1" t="s">
        <v>2</v>
      </c>
      <c r="M258" s="2" t="s">
        <v>3</v>
      </c>
      <c r="N258" s="2" t="s">
        <v>570</v>
      </c>
      <c r="O258" s="2" t="s">
        <v>1</v>
      </c>
      <c r="P258" s="3" t="s">
        <v>14</v>
      </c>
      <c r="Q258" s="57"/>
      <c r="R258" s="57"/>
      <c r="S258" s="57"/>
      <c r="T258" s="57"/>
      <c r="U258" s="57"/>
      <c r="V258" s="57"/>
      <c r="W258" s="57"/>
      <c r="X258" s="57"/>
      <c r="Y258" s="57"/>
      <c r="Z258" s="13" t="str">
        <f t="shared" ref="Z258:Z266" si="95">DEC2HEX(MOD(HEX2DEC(K258)+HEX2DEC(L258)+HEX2DEC(M258)+HEX2DEC(N258)+HEX2DEC(O258)+HEX2DEC(P258)+HEX2DEC(Q258)+HEX2DEC(R258)+HEX2DEC(S258)+HEX2DEC(T258)+HEX2DEC(U258)+HEX2DEC(V258)+HEX2DEC(Y258),256),2)</f>
        <v>63</v>
      </c>
      <c r="AA258" s="13" t="s">
        <v>5</v>
      </c>
    </row>
    <row r="259" spans="1:27" hidden="1" outlineLevel="1" x14ac:dyDescent="0.25">
      <c r="A259" s="374">
        <v>3</v>
      </c>
      <c r="C259" s="12" t="str">
        <f t="shared" si="93"/>
        <v>aa 00 04 21 3E 00 01 64 55</v>
      </c>
      <c r="D259" s="373" t="s">
        <v>562</v>
      </c>
      <c r="H259" s="388"/>
      <c r="I259" s="336"/>
      <c r="J259" s="1" t="s">
        <v>0</v>
      </c>
      <c r="K259" s="1" t="s">
        <v>1</v>
      </c>
      <c r="L259" s="1" t="s">
        <v>2</v>
      </c>
      <c r="M259" s="2" t="s">
        <v>3</v>
      </c>
      <c r="N259" s="2" t="s">
        <v>571</v>
      </c>
      <c r="O259" s="2" t="s">
        <v>1</v>
      </c>
      <c r="P259" s="3" t="s">
        <v>14</v>
      </c>
      <c r="Q259" s="57"/>
      <c r="R259" s="57"/>
      <c r="S259" s="57"/>
      <c r="T259" s="57"/>
      <c r="U259" s="57"/>
      <c r="V259" s="57"/>
      <c r="W259" s="57"/>
      <c r="X259" s="57"/>
      <c r="Y259" s="57"/>
      <c r="Z259" s="13" t="str">
        <f t="shared" si="95"/>
        <v>64</v>
      </c>
      <c r="AA259" s="13" t="s">
        <v>5</v>
      </c>
    </row>
    <row r="260" spans="1:27" hidden="1" outlineLevel="1" x14ac:dyDescent="0.25">
      <c r="A260" s="374">
        <v>3</v>
      </c>
      <c r="C260" s="12" t="str">
        <f t="shared" si="93"/>
        <v>aa 00 04 21 3F 00 01 65 55</v>
      </c>
      <c r="D260" s="373" t="s">
        <v>563</v>
      </c>
      <c r="H260" s="388"/>
      <c r="I260" s="336"/>
      <c r="J260" s="1" t="s">
        <v>0</v>
      </c>
      <c r="K260" s="1" t="s">
        <v>1</v>
      </c>
      <c r="L260" s="1" t="s">
        <v>2</v>
      </c>
      <c r="M260" s="2" t="s">
        <v>3</v>
      </c>
      <c r="N260" s="2" t="s">
        <v>572</v>
      </c>
      <c r="O260" s="2" t="s">
        <v>1</v>
      </c>
      <c r="P260" s="3" t="s">
        <v>14</v>
      </c>
      <c r="Q260" s="57"/>
      <c r="R260" s="57"/>
      <c r="S260" s="57"/>
      <c r="T260" s="57"/>
      <c r="U260" s="57"/>
      <c r="V260" s="57"/>
      <c r="W260" s="57"/>
      <c r="X260" s="57"/>
      <c r="Y260" s="57"/>
      <c r="Z260" s="13" t="str">
        <f t="shared" si="95"/>
        <v>65</v>
      </c>
      <c r="AA260" s="13" t="s">
        <v>5</v>
      </c>
    </row>
    <row r="261" spans="1:27" hidden="1" outlineLevel="1" x14ac:dyDescent="0.25">
      <c r="A261" s="374">
        <v>3</v>
      </c>
      <c r="C261" s="12" t="str">
        <f t="shared" si="93"/>
        <v>aa 00 04 21 40 00 01 66 55</v>
      </c>
      <c r="D261" s="373" t="s">
        <v>564</v>
      </c>
      <c r="H261" s="388"/>
      <c r="I261" s="336"/>
      <c r="J261" s="1" t="s">
        <v>0</v>
      </c>
      <c r="K261" s="1" t="s">
        <v>1</v>
      </c>
      <c r="L261" s="1" t="s">
        <v>2</v>
      </c>
      <c r="M261" s="2" t="s">
        <v>3</v>
      </c>
      <c r="N261" s="2" t="s">
        <v>42</v>
      </c>
      <c r="O261" s="2" t="s">
        <v>1</v>
      </c>
      <c r="P261" s="3" t="s">
        <v>14</v>
      </c>
      <c r="Q261" s="57"/>
      <c r="R261" s="57"/>
      <c r="S261" s="57"/>
      <c r="T261" s="57"/>
      <c r="U261" s="57"/>
      <c r="V261" s="57"/>
      <c r="W261" s="57"/>
      <c r="X261" s="57"/>
      <c r="Y261" s="57"/>
      <c r="Z261" s="13" t="str">
        <f t="shared" si="95"/>
        <v>66</v>
      </c>
      <c r="AA261" s="13" t="s">
        <v>5</v>
      </c>
    </row>
    <row r="262" spans="1:27" hidden="1" outlineLevel="1" x14ac:dyDescent="0.25">
      <c r="A262" s="374">
        <v>3</v>
      </c>
      <c r="C262" s="12" t="str">
        <f t="shared" si="93"/>
        <v>aa 00 04 21 41 00 01 67 55</v>
      </c>
      <c r="D262" s="373" t="s">
        <v>565</v>
      </c>
      <c r="H262" s="388"/>
      <c r="I262" s="336"/>
      <c r="J262" s="1" t="s">
        <v>0</v>
      </c>
      <c r="K262" s="1" t="s">
        <v>1</v>
      </c>
      <c r="L262" s="1" t="s">
        <v>2</v>
      </c>
      <c r="M262" s="2" t="s">
        <v>3</v>
      </c>
      <c r="N262" s="2" t="s">
        <v>574</v>
      </c>
      <c r="O262" s="2" t="s">
        <v>1</v>
      </c>
      <c r="P262" s="3" t="s">
        <v>14</v>
      </c>
      <c r="Q262" s="57"/>
      <c r="R262" s="57"/>
      <c r="S262" s="57"/>
      <c r="T262" s="57"/>
      <c r="U262" s="57"/>
      <c r="V262" s="57"/>
      <c r="W262" s="57"/>
      <c r="X262" s="57"/>
      <c r="Y262" s="57"/>
      <c r="Z262" s="13" t="str">
        <f t="shared" si="95"/>
        <v>67</v>
      </c>
      <c r="AA262" s="13" t="s">
        <v>5</v>
      </c>
    </row>
    <row r="263" spans="1:27" hidden="1" outlineLevel="1" x14ac:dyDescent="0.25">
      <c r="A263" s="374">
        <v>3</v>
      </c>
      <c r="C263" s="12" t="str">
        <f t="shared" si="93"/>
        <v>aa 00 04 21 42 00 01 68 55</v>
      </c>
      <c r="D263" s="373" t="s">
        <v>566</v>
      </c>
      <c r="H263" s="388"/>
      <c r="I263" s="336"/>
      <c r="J263" s="1" t="s">
        <v>0</v>
      </c>
      <c r="K263" s="1" t="s">
        <v>1</v>
      </c>
      <c r="L263" s="1" t="s">
        <v>2</v>
      </c>
      <c r="M263" s="2" t="s">
        <v>3</v>
      </c>
      <c r="N263" s="2" t="s">
        <v>575</v>
      </c>
      <c r="O263" s="2" t="s">
        <v>1</v>
      </c>
      <c r="P263" s="3" t="s">
        <v>14</v>
      </c>
      <c r="Q263" s="57"/>
      <c r="R263" s="57"/>
      <c r="S263" s="57"/>
      <c r="T263" s="57"/>
      <c r="U263" s="57"/>
      <c r="V263" s="57"/>
      <c r="W263" s="57"/>
      <c r="X263" s="57"/>
      <c r="Y263" s="57"/>
      <c r="Z263" s="13" t="str">
        <f t="shared" si="95"/>
        <v>68</v>
      </c>
      <c r="AA263" s="13" t="s">
        <v>5</v>
      </c>
    </row>
    <row r="264" spans="1:27" hidden="1" outlineLevel="1" x14ac:dyDescent="0.25">
      <c r="A264" s="374">
        <v>3</v>
      </c>
      <c r="C264" s="12" t="str">
        <f t="shared" si="93"/>
        <v>aa 00 04 21 43 00 01 69 55</v>
      </c>
      <c r="D264" s="373" t="s">
        <v>567</v>
      </c>
      <c r="H264" s="388"/>
      <c r="I264" s="336"/>
      <c r="J264" s="1" t="s">
        <v>0</v>
      </c>
      <c r="K264" s="1" t="s">
        <v>1</v>
      </c>
      <c r="L264" s="1" t="s">
        <v>2</v>
      </c>
      <c r="M264" s="2" t="s">
        <v>3</v>
      </c>
      <c r="N264" s="2" t="s">
        <v>576</v>
      </c>
      <c r="O264" s="2" t="s">
        <v>1</v>
      </c>
      <c r="P264" s="3" t="s">
        <v>14</v>
      </c>
      <c r="Q264" s="57"/>
      <c r="R264" s="57"/>
      <c r="S264" s="57"/>
      <c r="T264" s="57"/>
      <c r="U264" s="57"/>
      <c r="V264" s="57"/>
      <c r="W264" s="57"/>
      <c r="X264" s="57"/>
      <c r="Y264" s="57"/>
      <c r="Z264" s="13" t="str">
        <f t="shared" si="95"/>
        <v>69</v>
      </c>
      <c r="AA264" s="13" t="s">
        <v>5</v>
      </c>
    </row>
    <row r="265" spans="1:27" hidden="1" outlineLevel="1" x14ac:dyDescent="0.25">
      <c r="A265" s="374">
        <v>3</v>
      </c>
      <c r="C265" s="12" t="str">
        <f t="shared" si="93"/>
        <v>aa 00 04 21 44 00 01 6A 55</v>
      </c>
      <c r="D265" s="373" t="s">
        <v>568</v>
      </c>
      <c r="H265" s="388"/>
      <c r="I265" s="336"/>
      <c r="J265" s="1" t="s">
        <v>0</v>
      </c>
      <c r="K265" s="1" t="s">
        <v>1</v>
      </c>
      <c r="L265" s="1" t="s">
        <v>2</v>
      </c>
      <c r="M265" s="2" t="s">
        <v>3</v>
      </c>
      <c r="N265" s="2" t="s">
        <v>577</v>
      </c>
      <c r="O265" s="2" t="s">
        <v>1</v>
      </c>
      <c r="P265" s="3" t="s">
        <v>14</v>
      </c>
      <c r="Q265" s="57"/>
      <c r="R265" s="57"/>
      <c r="S265" s="57"/>
      <c r="T265" s="57"/>
      <c r="U265" s="57"/>
      <c r="V265" s="57"/>
      <c r="W265" s="57"/>
      <c r="X265" s="57"/>
      <c r="Y265" s="57"/>
      <c r="Z265" s="13" t="str">
        <f t="shared" si="95"/>
        <v>6A</v>
      </c>
      <c r="AA265" s="13" t="s">
        <v>5</v>
      </c>
    </row>
    <row r="266" spans="1:27" hidden="1" outlineLevel="1" x14ac:dyDescent="0.25">
      <c r="A266" s="374">
        <v>3</v>
      </c>
      <c r="C266" s="12" t="str">
        <f t="shared" si="93"/>
        <v>aa 00 04 21 45 00 01 6B 55</v>
      </c>
      <c r="D266" s="373" t="s">
        <v>569</v>
      </c>
      <c r="H266" s="388"/>
      <c r="I266" s="336"/>
      <c r="J266" s="1" t="s">
        <v>0</v>
      </c>
      <c r="K266" s="1" t="s">
        <v>1</v>
      </c>
      <c r="L266" s="1" t="s">
        <v>2</v>
      </c>
      <c r="M266" s="2" t="s">
        <v>3</v>
      </c>
      <c r="N266" s="2" t="s">
        <v>578</v>
      </c>
      <c r="O266" s="2" t="s">
        <v>1</v>
      </c>
      <c r="P266" s="3" t="s">
        <v>14</v>
      </c>
      <c r="Q266" s="57"/>
      <c r="R266" s="57"/>
      <c r="S266" s="57"/>
      <c r="T266" s="57"/>
      <c r="U266" s="57"/>
      <c r="V266" s="57"/>
      <c r="W266" s="57"/>
      <c r="X266" s="57"/>
      <c r="Y266" s="57"/>
      <c r="Z266" s="13" t="str">
        <f t="shared" si="95"/>
        <v>6B</v>
      </c>
      <c r="AA266" s="13" t="s">
        <v>5</v>
      </c>
    </row>
    <row r="267" spans="1:27" collapsed="1" x14ac:dyDescent="0.25"/>
    <row r="269" spans="1:27" x14ac:dyDescent="0.25">
      <c r="A269" s="330">
        <v>1</v>
      </c>
      <c r="B269" s="330"/>
      <c r="C269" s="330"/>
      <c r="D269" s="330" t="s">
        <v>864</v>
      </c>
      <c r="J269" s="446" t="s">
        <v>55</v>
      </c>
      <c r="K269" s="446"/>
      <c r="L269" s="446"/>
      <c r="M269" s="446"/>
      <c r="N269" s="446"/>
      <c r="O269" s="447"/>
      <c r="P269" s="447"/>
      <c r="Q269" s="447"/>
      <c r="R269" s="447"/>
      <c r="S269" s="447"/>
      <c r="T269" s="447"/>
      <c r="U269" s="447"/>
      <c r="V269" s="447"/>
      <c r="W269" s="447"/>
      <c r="X269" s="447"/>
      <c r="Y269" s="447"/>
      <c r="Z269" s="447"/>
      <c r="AA269" s="446"/>
    </row>
    <row r="270" spans="1:27" hidden="1" outlineLevel="1" x14ac:dyDescent="0.25">
      <c r="A270" s="338">
        <v>2</v>
      </c>
      <c r="C270" s="12" t="str">
        <f t="shared" ref="C270:C277" si="96">IF(ISBLANK(H270),,H270&amp;" ")&amp;IF(ISBLANK(I270),,I270&amp;" ")&amp;IF(ISBLANK(J270),,J270&amp;" ")&amp;IF(ISBLANK(K270),,K270&amp;" ")&amp;IF(ISBLANK(L270),,L270&amp;" ")&amp;IF(ISBLANK(M270),,M270&amp;" ")&amp;IF(ISBLANK(N270),,N270&amp;" ")&amp;IF(ISBLANK(O270),,O270&amp;" ")&amp;IF(ISBLANK(P270),,P270&amp;" ")&amp;IF(ISBLANK(Q270),,Q270&amp;" ")&amp;IF(ISBLANK(R270),,R270&amp;" ")&amp;IF(ISBLANK(S270),,S270&amp;" ")&amp;IF(ISBLANK(T270),,T270&amp;" ")&amp;IF(ISBLANK(U270),,U270&amp;" ")&amp;IF(ISBLANK(V270),,V270&amp;" ")&amp;IF(ISBLANK(W270),,W270&amp;" ")&amp;IF(ISBLANK(X270),,X270&amp;" ")&amp;IF(ISBLANK(Y270),,Y270&amp;" ")&amp;IF(ISBLANK(Z270),,Z270&amp;" ")&amp;IF(ISBLANK(AA270),,AA270)</f>
        <v>aa 00 04 22 00 00 00 26 55</v>
      </c>
      <c r="D270" s="378" t="s">
        <v>860</v>
      </c>
      <c r="J270" s="1" t="s">
        <v>0</v>
      </c>
      <c r="K270" s="1" t="s">
        <v>1</v>
      </c>
      <c r="L270" s="1" t="s">
        <v>2</v>
      </c>
      <c r="M270" s="2" t="s">
        <v>56</v>
      </c>
      <c r="N270" s="2" t="s">
        <v>1</v>
      </c>
      <c r="O270" s="2" t="s">
        <v>1</v>
      </c>
      <c r="P270" s="4" t="s">
        <v>1</v>
      </c>
      <c r="Q270" s="57"/>
      <c r="R270" s="57"/>
      <c r="S270" s="57"/>
      <c r="T270" s="57"/>
      <c r="U270" s="57"/>
      <c r="V270" s="57"/>
      <c r="W270" s="57"/>
      <c r="X270" s="57"/>
      <c r="Y270" s="57"/>
      <c r="Z270" s="42" t="str">
        <f t="shared" ref="Z270:Z275" si="97">DEC2HEX(MOD(HEX2DEC(K270)+HEX2DEC(L270)+HEX2DEC(M270)+HEX2DEC(N270)+HEX2DEC(O270)+HEX2DEC(P270)+HEX2DEC(Q270)+HEX2DEC(R270)+HEX2DEC(S270)+HEX2DEC(T270)+HEX2DEC(U270)+HEX2DEC(V270)+HEX2DEC(Y270),256),2)</f>
        <v>26</v>
      </c>
      <c r="AA270" s="42" t="s">
        <v>5</v>
      </c>
    </row>
    <row r="271" spans="1:27" hidden="1" outlineLevel="1" x14ac:dyDescent="0.25">
      <c r="A271" s="338">
        <v>2</v>
      </c>
      <c r="C271" s="12" t="str">
        <f t="shared" si="96"/>
        <v>aa 00 04 22 00 00 01 27 55</v>
      </c>
      <c r="D271" s="378" t="s">
        <v>861</v>
      </c>
      <c r="J271" s="1" t="s">
        <v>0</v>
      </c>
      <c r="K271" s="1" t="s">
        <v>1</v>
      </c>
      <c r="L271" s="1" t="s">
        <v>2</v>
      </c>
      <c r="M271" s="2" t="s">
        <v>56</v>
      </c>
      <c r="N271" s="2" t="s">
        <v>1</v>
      </c>
      <c r="O271" s="2" t="s">
        <v>1</v>
      </c>
      <c r="P271" s="4" t="s">
        <v>14</v>
      </c>
      <c r="Q271" s="57"/>
      <c r="R271" s="57"/>
      <c r="S271" s="57"/>
      <c r="T271" s="57"/>
      <c r="U271" s="57"/>
      <c r="V271" s="57"/>
      <c r="W271" s="57"/>
      <c r="X271" s="57"/>
      <c r="Y271" s="57"/>
      <c r="Z271" s="42" t="str">
        <f t="shared" si="97"/>
        <v>27</v>
      </c>
      <c r="AA271" s="42" t="s">
        <v>5</v>
      </c>
    </row>
    <row r="272" spans="1:27" hidden="1" outlineLevel="1" x14ac:dyDescent="0.25">
      <c r="A272" s="338">
        <v>2</v>
      </c>
      <c r="C272" s="12" t="str">
        <f t="shared" si="96"/>
        <v>aa 00 04 22 01 00 00 27 55</v>
      </c>
      <c r="D272" s="378" t="s">
        <v>862</v>
      </c>
      <c r="I272" s="393"/>
      <c r="J272" s="394" t="s">
        <v>0</v>
      </c>
      <c r="K272" s="1" t="s">
        <v>1</v>
      </c>
      <c r="L272" s="1" t="s">
        <v>2</v>
      </c>
      <c r="M272" s="2" t="s">
        <v>56</v>
      </c>
      <c r="N272" s="2" t="s">
        <v>4</v>
      </c>
      <c r="O272" s="2" t="s">
        <v>1</v>
      </c>
      <c r="P272" s="4" t="s">
        <v>1</v>
      </c>
      <c r="Q272" s="57"/>
      <c r="R272" s="57"/>
      <c r="S272" s="57"/>
      <c r="T272" s="57"/>
      <c r="U272" s="57"/>
      <c r="V272" s="57"/>
      <c r="W272" s="57"/>
      <c r="X272" s="57"/>
      <c r="Y272" s="57"/>
      <c r="Z272" s="42" t="str">
        <f t="shared" si="97"/>
        <v>27</v>
      </c>
      <c r="AA272" s="42" t="s">
        <v>5</v>
      </c>
    </row>
    <row r="273" spans="1:27" hidden="1" outlineLevel="1" x14ac:dyDescent="0.25">
      <c r="A273" s="338">
        <v>2</v>
      </c>
      <c r="C273" s="12" t="str">
        <f t="shared" si="96"/>
        <v>aa 00 04 22 01 00 01 28 55</v>
      </c>
      <c r="D273" s="378" t="s">
        <v>863</v>
      </c>
      <c r="J273" s="1" t="s">
        <v>0</v>
      </c>
      <c r="K273" s="1" t="s">
        <v>1</v>
      </c>
      <c r="L273" s="1" t="s">
        <v>2</v>
      </c>
      <c r="M273" s="2" t="s">
        <v>56</v>
      </c>
      <c r="N273" s="2" t="s">
        <v>4</v>
      </c>
      <c r="O273" s="2" t="s">
        <v>1</v>
      </c>
      <c r="P273" s="4" t="s">
        <v>14</v>
      </c>
      <c r="Q273" s="57"/>
      <c r="R273" s="57"/>
      <c r="S273" s="57"/>
      <c r="T273" s="57"/>
      <c r="U273" s="57"/>
      <c r="V273" s="57"/>
      <c r="W273" s="57"/>
      <c r="X273" s="57"/>
      <c r="Y273" s="57"/>
      <c r="Z273" s="42" t="str">
        <f t="shared" si="97"/>
        <v>28</v>
      </c>
      <c r="AA273" s="42" t="s">
        <v>5</v>
      </c>
    </row>
    <row r="274" spans="1:27" hidden="1" outlineLevel="1" x14ac:dyDescent="0.25">
      <c r="A274" s="338">
        <v>2</v>
      </c>
      <c r="C274" s="12" t="str">
        <f t="shared" si="96"/>
        <v>aa 00 04 22 02 00 00 28 55</v>
      </c>
      <c r="D274" s="378" t="s">
        <v>60</v>
      </c>
      <c r="J274" s="1" t="s">
        <v>0</v>
      </c>
      <c r="K274" s="1" t="s">
        <v>1</v>
      </c>
      <c r="L274" s="1" t="s">
        <v>2</v>
      </c>
      <c r="M274" s="2" t="s">
        <v>56</v>
      </c>
      <c r="N274" s="2" t="s">
        <v>7</v>
      </c>
      <c r="O274" s="2" t="s">
        <v>1</v>
      </c>
      <c r="P274" s="4" t="s">
        <v>1</v>
      </c>
      <c r="Q274" s="57"/>
      <c r="R274" s="57"/>
      <c r="S274" s="57"/>
      <c r="T274" s="57"/>
      <c r="U274" s="57"/>
      <c r="V274" s="57"/>
      <c r="W274" s="57"/>
      <c r="X274" s="57"/>
      <c r="Y274" s="57"/>
      <c r="Z274" s="42" t="str">
        <f t="shared" si="97"/>
        <v>28</v>
      </c>
      <c r="AA274" s="42" t="s">
        <v>5</v>
      </c>
    </row>
    <row r="275" spans="1:27" hidden="1" outlineLevel="1" x14ac:dyDescent="0.25">
      <c r="A275" s="338">
        <v>2</v>
      </c>
      <c r="C275" s="12" t="str">
        <f t="shared" si="96"/>
        <v>aa 00 04 22 02 00 01 29 55</v>
      </c>
      <c r="D275" s="378" t="s">
        <v>61</v>
      </c>
      <c r="J275" s="1" t="s">
        <v>0</v>
      </c>
      <c r="K275" s="1" t="s">
        <v>1</v>
      </c>
      <c r="L275" s="1" t="s">
        <v>2</v>
      </c>
      <c r="M275" s="2" t="s">
        <v>56</v>
      </c>
      <c r="N275" s="2" t="s">
        <v>7</v>
      </c>
      <c r="O275" s="2" t="s">
        <v>1</v>
      </c>
      <c r="P275" s="4" t="s">
        <v>14</v>
      </c>
      <c r="Q275" s="57"/>
      <c r="R275" s="57"/>
      <c r="S275" s="57"/>
      <c r="T275" s="57"/>
      <c r="U275" s="57"/>
      <c r="V275" s="57"/>
      <c r="W275" s="57"/>
      <c r="X275" s="57"/>
      <c r="Y275" s="57"/>
      <c r="Z275" s="42" t="str">
        <f t="shared" si="97"/>
        <v>29</v>
      </c>
      <c r="AA275" s="42" t="s">
        <v>5</v>
      </c>
    </row>
    <row r="276" spans="1:27" hidden="1" outlineLevel="1" x14ac:dyDescent="0.25">
      <c r="A276" s="338">
        <v>2</v>
      </c>
      <c r="C276" s="12" t="str">
        <f t="shared" si="96"/>
        <v>aa 00 04 22 03 00 00 29 55</v>
      </c>
      <c r="D276" s="378" t="s">
        <v>62</v>
      </c>
      <c r="J276" s="1" t="s">
        <v>0</v>
      </c>
      <c r="K276" s="1" t="s">
        <v>1</v>
      </c>
      <c r="L276" s="1" t="s">
        <v>2</v>
      </c>
      <c r="M276" s="2" t="s">
        <v>56</v>
      </c>
      <c r="N276" s="2" t="s">
        <v>8</v>
      </c>
      <c r="O276" s="2" t="s">
        <v>1</v>
      </c>
      <c r="P276" s="4" t="s">
        <v>1</v>
      </c>
      <c r="Q276" s="57"/>
      <c r="R276" s="57"/>
      <c r="S276" s="57"/>
      <c r="T276" s="57"/>
      <c r="U276" s="57"/>
      <c r="V276" s="57"/>
      <c r="W276" s="57"/>
      <c r="X276" s="57"/>
      <c r="Y276" s="57"/>
      <c r="Z276" s="42" t="str">
        <f>DEC2HEX(MOD(HEX2DEC(K276)+HEX2DEC(L276)+HEX2DEC(M276)+HEX2DEC(N276)+HEX2DEC(O276)+HEX2DEC(P276)+HEX2DEC(Q276)+HEX2DEC(R276)+HEX2DEC(S276)+HEX2DEC(T276)+HEX2DEC(U276)+HEX2DEC(V276)+HEX2DEC(Y276),256),2)</f>
        <v>29</v>
      </c>
      <c r="AA276" s="42" t="s">
        <v>5</v>
      </c>
    </row>
    <row r="277" spans="1:27" hidden="1" outlineLevel="1" x14ac:dyDescent="0.25">
      <c r="A277" s="338">
        <v>2</v>
      </c>
      <c r="C277" s="12" t="str">
        <f t="shared" si="96"/>
        <v>aa 00 04 22 03 00 01 2A 55</v>
      </c>
      <c r="D277" s="378" t="s">
        <v>63</v>
      </c>
      <c r="J277" s="1" t="s">
        <v>0</v>
      </c>
      <c r="K277" s="1" t="s">
        <v>1</v>
      </c>
      <c r="L277" s="1" t="s">
        <v>2</v>
      </c>
      <c r="M277" s="2" t="s">
        <v>56</v>
      </c>
      <c r="N277" s="2" t="s">
        <v>8</v>
      </c>
      <c r="O277" s="2" t="s">
        <v>1</v>
      </c>
      <c r="P277" s="4" t="s">
        <v>14</v>
      </c>
      <c r="Q277" s="57"/>
      <c r="R277" s="57"/>
      <c r="S277" s="57"/>
      <c r="T277" s="57"/>
      <c r="U277" s="57"/>
      <c r="V277" s="57"/>
      <c r="W277" s="57"/>
      <c r="X277" s="57"/>
      <c r="Y277" s="57"/>
      <c r="Z277" s="42" t="str">
        <f>DEC2HEX(MOD(HEX2DEC(K277)+HEX2DEC(L277)+HEX2DEC(M277)+HEX2DEC(N277)+HEX2DEC(O277)+HEX2DEC(P277)+HEX2DEC(Q277)+HEX2DEC(R277)+HEX2DEC(S277)+HEX2DEC(T277)+HEX2DEC(U277)+HEX2DEC(V277)+HEX2DEC(Y277),256),2)</f>
        <v>2A</v>
      </c>
      <c r="AA277" s="42" t="s">
        <v>5</v>
      </c>
    </row>
    <row r="278" spans="1:27" collapsed="1" x14ac:dyDescent="0.25"/>
    <row r="282" spans="1:27" x14ac:dyDescent="0.25">
      <c r="A282" s="330">
        <v>1</v>
      </c>
      <c r="B282" s="330"/>
      <c r="C282" s="330"/>
      <c r="D282" s="330" t="s">
        <v>831</v>
      </c>
    </row>
    <row r="283" spans="1:27" x14ac:dyDescent="0.25">
      <c r="A283" s="330">
        <v>1</v>
      </c>
      <c r="B283" s="330"/>
      <c r="C283" s="330"/>
      <c r="D283" s="330" t="s">
        <v>865</v>
      </c>
    </row>
    <row r="284" spans="1:27" x14ac:dyDescent="0.25">
      <c r="J284" s="451" t="s">
        <v>275</v>
      </c>
      <c r="K284" s="435"/>
      <c r="L284" s="435"/>
      <c r="M284" s="435"/>
      <c r="N284" s="435"/>
      <c r="O284" s="435"/>
      <c r="P284" s="435"/>
      <c r="Q284" s="435"/>
      <c r="R284" s="435"/>
      <c r="S284" s="435"/>
      <c r="T284" s="435"/>
      <c r="U284" s="435"/>
      <c r="V284" s="435"/>
      <c r="W284" s="435"/>
      <c r="X284" s="435"/>
      <c r="Y284" s="435"/>
      <c r="Z284" s="435"/>
      <c r="AA284" s="435"/>
    </row>
    <row r="285" spans="1:27" ht="16.8" x14ac:dyDescent="0.25">
      <c r="A285" s="330">
        <v>1</v>
      </c>
      <c r="B285" s="330"/>
      <c r="C285" s="330"/>
      <c r="D285" s="396" t="s">
        <v>879</v>
      </c>
      <c r="J285" s="87" t="s">
        <v>77</v>
      </c>
      <c r="K285" s="380" t="s">
        <v>78</v>
      </c>
      <c r="L285" s="380" t="s">
        <v>10</v>
      </c>
      <c r="M285" s="380" t="s">
        <v>79</v>
      </c>
      <c r="N285" s="380" t="s">
        <v>80</v>
      </c>
      <c r="O285" s="380" t="s">
        <v>11</v>
      </c>
      <c r="P285" s="436" t="s">
        <v>83</v>
      </c>
      <c r="Q285" s="436"/>
      <c r="R285" s="436"/>
      <c r="S285" s="436"/>
      <c r="T285" s="436"/>
      <c r="U285" s="436"/>
      <c r="V285" s="436"/>
      <c r="W285" s="436"/>
      <c r="X285" s="436"/>
      <c r="Y285" s="436"/>
      <c r="Z285" s="83" t="s">
        <v>81</v>
      </c>
      <c r="AA285" s="83" t="s">
        <v>82</v>
      </c>
    </row>
    <row r="286" spans="1:27" ht="15" thickBot="1" x14ac:dyDescent="0.3">
      <c r="A286" s="338">
        <v>2</v>
      </c>
      <c r="C286" s="12" t="str">
        <f t="shared" ref="C286:C297" si="98">IF(ISBLANK(H286),,H286&amp;" ")&amp;IF(ISBLANK(I286),,I286&amp;" ")&amp;IF(ISBLANK(J286),,J286&amp;" ")&amp;IF(ISBLANK(K286),,K286&amp;" ")&amp;IF(ISBLANK(L286),,L286&amp;" ")&amp;IF(ISBLANK(M286),,M286&amp;" ")&amp;IF(ISBLANK(N286),,N286&amp;" ")&amp;IF(ISBLANK(O286),,O286&amp;" ")&amp;IF(ISBLANK(P286),,P286&amp;" ")&amp;IF(ISBLANK(Q286),,Q286&amp;" ")&amp;IF(ISBLANK(R286),,R286&amp;" ")&amp;IF(ISBLANK(S286),,S286&amp;" ")&amp;IF(ISBLANK(T286),,T286&amp;" ")&amp;IF(ISBLANK(U286),,U286&amp;" ")&amp;IF(ISBLANK(V286),,V286&amp;" ")&amp;IF(ISBLANK(W286),,W286&amp;" ")&amp;IF(ISBLANK(X286),,X286&amp;" ")&amp;IF(ISBLANK(Y286),,Y286&amp;" ")&amp;IF(ISBLANK(Z286),,Z286&amp;" ")&amp;IF(ISBLANK(AA286),,AA286)</f>
        <v>aa 00 04 01 00 00 01 06 55</v>
      </c>
      <c r="D286" s="395" t="s">
        <v>866</v>
      </c>
      <c r="J286" s="202" t="s">
        <v>251</v>
      </c>
      <c r="K286" s="75" t="s">
        <v>256</v>
      </c>
      <c r="L286" s="46" t="str">
        <f>DEC2HEX( COUNTA(M286:Y286),2)</f>
        <v>04</v>
      </c>
      <c r="M286" s="76" t="s">
        <v>14</v>
      </c>
      <c r="N286" s="76" t="s">
        <v>256</v>
      </c>
      <c r="O286" s="76" t="s">
        <v>256</v>
      </c>
      <c r="P286" s="382" t="s">
        <v>14</v>
      </c>
      <c r="Q286" s="382"/>
      <c r="R286" s="382"/>
      <c r="S286" s="382"/>
      <c r="T286" s="382"/>
      <c r="U286" s="382"/>
      <c r="V286" s="382"/>
      <c r="W286" s="382"/>
      <c r="X286" s="382"/>
      <c r="Y286" s="382"/>
      <c r="Z286" s="85" t="str">
        <f>DEC2HEX(MOD(HEX2DEC(K286)+HEX2DEC(L286)+HEX2DEC(M286)+HEX2DEC(N286)+HEX2DEC(O286)+HEX2DEC(P286)+HEX2DEC(Q286)+HEX2DEC(R286)+HEX2DEC(S286)+HEX2DEC(T286)+HEX2DEC(U286)+HEX2DEC(V286)+HEX2DEC(W286)+HEX2DEC(X286)+HEX2DEC(Y286),256),2)</f>
        <v>06</v>
      </c>
      <c r="AA286" s="84" t="s">
        <v>5</v>
      </c>
    </row>
    <row r="287" spans="1:27" ht="15" thickBot="1" x14ac:dyDescent="0.3">
      <c r="A287" s="338">
        <v>2</v>
      </c>
      <c r="C287" s="12" t="str">
        <f t="shared" si="98"/>
        <v>aa 00 04 01 00 00 02 07 55</v>
      </c>
      <c r="D287" s="395" t="s">
        <v>867</v>
      </c>
      <c r="J287" s="202" t="s">
        <v>251</v>
      </c>
      <c r="K287" s="75" t="s">
        <v>256</v>
      </c>
      <c r="L287" s="46" t="str">
        <f t="shared" ref="L287:L289" si="99">DEC2HEX( COUNTA(M287:Y287),2)</f>
        <v>04</v>
      </c>
      <c r="M287" s="76" t="s">
        <v>14</v>
      </c>
      <c r="N287" s="76" t="s">
        <v>256</v>
      </c>
      <c r="O287" s="76" t="s">
        <v>256</v>
      </c>
      <c r="P287" s="382" t="s">
        <v>15</v>
      </c>
      <c r="Q287" s="382"/>
      <c r="R287" s="382"/>
      <c r="S287" s="382"/>
      <c r="T287" s="382"/>
      <c r="U287" s="382"/>
      <c r="V287" s="382"/>
      <c r="W287" s="382"/>
      <c r="X287" s="382"/>
      <c r="Y287" s="382"/>
      <c r="Z287" s="85" t="str">
        <f t="shared" ref="Z287:Z293" si="100">DEC2HEX(MOD(HEX2DEC(K287)+HEX2DEC(L287)+HEX2DEC(M287)+HEX2DEC(N287)+HEX2DEC(O287)+HEX2DEC(P287)+HEX2DEC(Q287)+HEX2DEC(R287)+HEX2DEC(S287)+HEX2DEC(T287)+HEX2DEC(U287)+HEX2DEC(V287)+HEX2DEC(W287)+HEX2DEC(X287)+HEX2DEC(Y287),256),2)</f>
        <v>07</v>
      </c>
      <c r="AA287" s="84" t="s">
        <v>5</v>
      </c>
    </row>
    <row r="288" spans="1:27" ht="15" thickBot="1" x14ac:dyDescent="0.3">
      <c r="A288" s="338">
        <v>2</v>
      </c>
      <c r="C288" s="12" t="str">
        <f t="shared" si="98"/>
        <v>aa 00 04 01 00 00 03 08 55</v>
      </c>
      <c r="D288" s="395" t="s">
        <v>868</v>
      </c>
      <c r="J288" s="202" t="s">
        <v>251</v>
      </c>
      <c r="K288" s="75" t="s">
        <v>256</v>
      </c>
      <c r="L288" s="46" t="str">
        <f t="shared" si="99"/>
        <v>04</v>
      </c>
      <c r="M288" s="76" t="s">
        <v>14</v>
      </c>
      <c r="N288" s="76" t="s">
        <v>256</v>
      </c>
      <c r="O288" s="76" t="s">
        <v>256</v>
      </c>
      <c r="P288" s="382" t="s">
        <v>13</v>
      </c>
      <c r="Q288" s="382"/>
      <c r="R288" s="382"/>
      <c r="S288" s="382"/>
      <c r="T288" s="382"/>
      <c r="U288" s="382"/>
      <c r="V288" s="382"/>
      <c r="W288" s="382"/>
      <c r="X288" s="382"/>
      <c r="Y288" s="382"/>
      <c r="Z288" s="85" t="str">
        <f t="shared" si="100"/>
        <v>08</v>
      </c>
      <c r="AA288" s="84" t="s">
        <v>5</v>
      </c>
    </row>
    <row r="289" spans="1:36" ht="15" thickBot="1" x14ac:dyDescent="0.3">
      <c r="A289" s="338">
        <v>2</v>
      </c>
      <c r="C289" s="12" t="str">
        <f t="shared" si="98"/>
        <v>aa 00 03 01 00 01 05 55</v>
      </c>
      <c r="D289" s="395" t="s">
        <v>869</v>
      </c>
      <c r="J289" s="88" t="s">
        <v>251</v>
      </c>
      <c r="K289" s="46" t="s">
        <v>256</v>
      </c>
      <c r="L289" s="46" t="str">
        <f t="shared" si="99"/>
        <v>03</v>
      </c>
      <c r="M289" s="47" t="s">
        <v>14</v>
      </c>
      <c r="N289" s="47" t="s">
        <v>256</v>
      </c>
      <c r="O289" s="47" t="s">
        <v>14</v>
      </c>
      <c r="P289" s="381"/>
      <c r="Q289" s="381"/>
      <c r="R289" s="381"/>
      <c r="S289" s="381"/>
      <c r="T289" s="381"/>
      <c r="U289" s="381"/>
      <c r="V289" s="381"/>
      <c r="W289" s="381"/>
      <c r="X289" s="381"/>
      <c r="Y289" s="381"/>
      <c r="Z289" s="85" t="str">
        <f t="shared" si="100"/>
        <v>05</v>
      </c>
      <c r="AA289" s="85" t="s">
        <v>5</v>
      </c>
    </row>
    <row r="290" spans="1:36" x14ac:dyDescent="0.25">
      <c r="A290" s="338"/>
      <c r="C290" s="12"/>
      <c r="D290" s="395"/>
      <c r="J290" s="205"/>
      <c r="K290" s="206"/>
      <c r="L290" s="206"/>
      <c r="M290" s="206"/>
      <c r="N290" s="206"/>
      <c r="O290" s="206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</row>
    <row r="291" spans="1:36" ht="15" thickBot="1" x14ac:dyDescent="0.3">
      <c r="A291" s="338">
        <v>2</v>
      </c>
      <c r="C291" s="12" t="str">
        <f t="shared" si="98"/>
        <v>aa 00 03 01 00 02 06 55</v>
      </c>
      <c r="D291" s="395" t="s">
        <v>870</v>
      </c>
      <c r="J291" s="202" t="s">
        <v>251</v>
      </c>
      <c r="K291" s="75" t="s">
        <v>256</v>
      </c>
      <c r="L291" s="46" t="str">
        <f>DEC2HEX( COUNTA(M291:Y291),2)</f>
        <v>03</v>
      </c>
      <c r="M291" s="76" t="s">
        <v>14</v>
      </c>
      <c r="N291" s="76" t="s">
        <v>256</v>
      </c>
      <c r="O291" s="76" t="s">
        <v>7</v>
      </c>
      <c r="P291" s="382"/>
      <c r="Q291" s="382"/>
      <c r="R291" s="382"/>
      <c r="S291" s="382"/>
      <c r="T291" s="382"/>
      <c r="U291" s="382"/>
      <c r="V291" s="382"/>
      <c r="W291" s="382"/>
      <c r="X291" s="382"/>
      <c r="Y291" s="382"/>
      <c r="Z291" s="85" t="str">
        <f t="shared" si="100"/>
        <v>06</v>
      </c>
      <c r="AA291" s="84" t="s">
        <v>5</v>
      </c>
      <c r="AC291" s="454" t="s">
        <v>551</v>
      </c>
      <c r="AD291" s="455"/>
      <c r="AE291" s="455"/>
      <c r="AF291" s="455"/>
      <c r="AG291" s="455"/>
      <c r="AH291" s="455"/>
      <c r="AI291" s="455"/>
      <c r="AJ291" s="456"/>
    </row>
    <row r="292" spans="1:36" x14ac:dyDescent="0.25">
      <c r="A292" s="338"/>
      <c r="C292" s="12"/>
      <c r="D292" s="395" t="s">
        <v>871</v>
      </c>
      <c r="J292" s="202"/>
      <c r="K292" s="75"/>
      <c r="L292" s="75"/>
      <c r="M292" s="76"/>
      <c r="N292" s="76"/>
      <c r="O292" s="76"/>
      <c r="P292" s="382"/>
      <c r="Q292" s="382"/>
      <c r="R292" s="382"/>
      <c r="S292" s="382"/>
      <c r="T292" s="382"/>
      <c r="U292" s="382"/>
      <c r="V292" s="382"/>
      <c r="W292" s="382"/>
      <c r="X292" s="382"/>
      <c r="Y292" s="382"/>
      <c r="Z292" s="84"/>
      <c r="AA292" s="84"/>
      <c r="AC292" s="116" t="s">
        <v>553</v>
      </c>
      <c r="AD292" s="116" t="s">
        <v>554</v>
      </c>
      <c r="AE292" s="116" t="s">
        <v>555</v>
      </c>
      <c r="AF292" s="116" t="s">
        <v>556</v>
      </c>
      <c r="AG292" s="116" t="s">
        <v>557</v>
      </c>
      <c r="AH292" s="116" t="s">
        <v>558</v>
      </c>
      <c r="AI292" s="454"/>
      <c r="AJ292" s="456"/>
    </row>
    <row r="293" spans="1:36" ht="15" thickBot="1" x14ac:dyDescent="0.3">
      <c r="A293" s="338">
        <v>2</v>
      </c>
      <c r="C293" s="12" t="str">
        <f t="shared" si="98"/>
        <v>aa 00 09 01 00 03 14 02 1C 17 3B 3A CB 55</v>
      </c>
      <c r="D293" s="395" t="s">
        <v>872</v>
      </c>
      <c r="J293" s="88" t="s">
        <v>251</v>
      </c>
      <c r="K293" s="46" t="s">
        <v>256</v>
      </c>
      <c r="L293" s="46" t="str">
        <f>DEC2HEX( COUNTA(M293:Y293),2)</f>
        <v>09</v>
      </c>
      <c r="M293" s="47" t="s">
        <v>14</v>
      </c>
      <c r="N293" s="47" t="s">
        <v>256</v>
      </c>
      <c r="O293" s="47" t="s">
        <v>8</v>
      </c>
      <c r="P293" s="381" t="str">
        <f>DEC2HEX(AC293,2)</f>
        <v>14</v>
      </c>
      <c r="Q293" s="381" t="str">
        <f t="shared" ref="Q293:T293" si="101">DEC2HEX(AD293,2)</f>
        <v>02</v>
      </c>
      <c r="R293" s="381" t="str">
        <f t="shared" si="101"/>
        <v>1C</v>
      </c>
      <c r="S293" s="381" t="str">
        <f t="shared" si="101"/>
        <v>17</v>
      </c>
      <c r="T293" s="381" t="str">
        <f t="shared" si="101"/>
        <v>3B</v>
      </c>
      <c r="U293" s="381" t="str">
        <f>DEC2HEX(AH293,2)</f>
        <v>3A</v>
      </c>
      <c r="V293" s="381"/>
      <c r="W293" s="381"/>
      <c r="X293" s="381"/>
      <c r="Y293" s="381"/>
      <c r="Z293" s="85" t="str">
        <f t="shared" si="100"/>
        <v>CB</v>
      </c>
      <c r="AA293" s="85" t="s">
        <v>5</v>
      </c>
      <c r="AC293" s="204">
        <v>20</v>
      </c>
      <c r="AD293" s="204">
        <v>2</v>
      </c>
      <c r="AE293" s="204">
        <v>28</v>
      </c>
      <c r="AF293" s="204">
        <v>23</v>
      </c>
      <c r="AG293" s="204">
        <v>59</v>
      </c>
      <c r="AH293" s="204">
        <v>58</v>
      </c>
      <c r="AI293" s="452" t="s">
        <v>552</v>
      </c>
      <c r="AJ293" s="453"/>
    </row>
    <row r="294" spans="1:36" x14ac:dyDescent="0.25">
      <c r="A294" s="338"/>
      <c r="C294" s="12"/>
      <c r="D294" s="395"/>
    </row>
    <row r="295" spans="1:36" ht="15" thickBot="1" x14ac:dyDescent="0.3">
      <c r="A295" s="338">
        <v>2</v>
      </c>
      <c r="C295" s="12" t="str">
        <f t="shared" si="98"/>
        <v>aa 00 04 E0 00 30 02 16 55</v>
      </c>
      <c r="D295" s="395" t="s">
        <v>873</v>
      </c>
      <c r="J295" s="202" t="s">
        <v>251</v>
      </c>
      <c r="K295" s="75" t="s">
        <v>256</v>
      </c>
      <c r="L295" s="46" t="str">
        <f t="shared" ref="L295:L297" si="102">DEC2HEX( COUNTA(M295:Y295),2)</f>
        <v>04</v>
      </c>
      <c r="M295" s="76" t="s">
        <v>404</v>
      </c>
      <c r="N295" s="76" t="s">
        <v>256</v>
      </c>
      <c r="O295" s="76" t="s">
        <v>20</v>
      </c>
      <c r="P295" s="382" t="s">
        <v>7</v>
      </c>
      <c r="Q295" s="382"/>
      <c r="R295" s="382"/>
      <c r="S295" s="382"/>
      <c r="T295" s="382"/>
      <c r="U295" s="382"/>
      <c r="V295" s="382"/>
      <c r="W295" s="382"/>
      <c r="X295" s="382"/>
      <c r="Y295" s="382"/>
      <c r="Z295" s="85" t="str">
        <f t="shared" ref="Z295:Z297" si="103">DEC2HEX(MOD(HEX2DEC(K295)+HEX2DEC(L295)+HEX2DEC(M295)+HEX2DEC(N295)+HEX2DEC(O295)+HEX2DEC(P295)+HEX2DEC(Q295)+HEX2DEC(R295)+HEX2DEC(S295)+HEX2DEC(T295)+HEX2DEC(U295)+HEX2DEC(V295)+HEX2DEC(W295)+HEX2DEC(X295)+HEX2DEC(Y295),256),2)</f>
        <v>16</v>
      </c>
      <c r="AA295" s="84" t="s">
        <v>5</v>
      </c>
    </row>
    <row r="296" spans="1:36" ht="15" thickBot="1" x14ac:dyDescent="0.3">
      <c r="A296" s="338">
        <v>2</v>
      </c>
      <c r="C296" s="12" t="str">
        <f t="shared" si="98"/>
        <v>aa 00 04 E0 01 30 02 17 55</v>
      </c>
      <c r="D296" s="395" t="s">
        <v>874</v>
      </c>
      <c r="J296" s="202" t="s">
        <v>251</v>
      </c>
      <c r="K296" s="75" t="s">
        <v>256</v>
      </c>
      <c r="L296" s="46" t="str">
        <f t="shared" si="102"/>
        <v>04</v>
      </c>
      <c r="M296" s="76" t="s">
        <v>404</v>
      </c>
      <c r="N296" s="76" t="s">
        <v>4</v>
      </c>
      <c r="O296" s="76" t="s">
        <v>20</v>
      </c>
      <c r="P296" s="382" t="s">
        <v>7</v>
      </c>
      <c r="Q296" s="382"/>
      <c r="R296" s="382"/>
      <c r="S296" s="382"/>
      <c r="T296" s="382"/>
      <c r="U296" s="382"/>
      <c r="V296" s="382"/>
      <c r="W296" s="382"/>
      <c r="X296" s="382"/>
      <c r="Y296" s="382"/>
      <c r="Z296" s="85" t="str">
        <f t="shared" si="103"/>
        <v>17</v>
      </c>
      <c r="AA296" s="84" t="s">
        <v>5</v>
      </c>
    </row>
    <row r="297" spans="1:36" ht="15" thickBot="1" x14ac:dyDescent="0.3">
      <c r="A297" s="338">
        <v>2</v>
      </c>
      <c r="C297" s="12" t="str">
        <f t="shared" si="98"/>
        <v>aa 00 04 E0 02 30 02 18 55</v>
      </c>
      <c r="D297" s="395" t="s">
        <v>875</v>
      </c>
      <c r="J297" s="202" t="s">
        <v>251</v>
      </c>
      <c r="K297" s="75" t="s">
        <v>256</v>
      </c>
      <c r="L297" s="46" t="str">
        <f t="shared" si="102"/>
        <v>04</v>
      </c>
      <c r="M297" s="76" t="s">
        <v>404</v>
      </c>
      <c r="N297" s="76" t="s">
        <v>7</v>
      </c>
      <c r="O297" s="76" t="s">
        <v>20</v>
      </c>
      <c r="P297" s="382" t="s">
        <v>7</v>
      </c>
      <c r="Q297" s="382"/>
      <c r="R297" s="382"/>
      <c r="S297" s="382"/>
      <c r="T297" s="382"/>
      <c r="U297" s="382"/>
      <c r="V297" s="382"/>
      <c r="W297" s="382"/>
      <c r="X297" s="382"/>
      <c r="Y297" s="382"/>
      <c r="Z297" s="85" t="str">
        <f t="shared" si="103"/>
        <v>18</v>
      </c>
      <c r="AA297" s="84" t="s">
        <v>5</v>
      </c>
    </row>
    <row r="300" spans="1:36" x14ac:dyDescent="0.25">
      <c r="D300" s="435"/>
      <c r="E300" s="435"/>
      <c r="F300" s="435"/>
      <c r="G300" s="435"/>
      <c r="J300" s="435" t="s">
        <v>275</v>
      </c>
      <c r="K300" s="435"/>
      <c r="L300" s="435"/>
      <c r="M300" s="435"/>
      <c r="N300" s="435"/>
      <c r="O300" s="435"/>
      <c r="P300" s="435"/>
      <c r="Q300" s="435"/>
      <c r="R300" s="435"/>
      <c r="S300" s="435"/>
      <c r="T300" s="435"/>
      <c r="U300" s="435"/>
      <c r="V300" s="435"/>
      <c r="W300" s="435"/>
      <c r="X300" s="435"/>
      <c r="Y300" s="435"/>
      <c r="Z300" s="435"/>
      <c r="AA300" s="435"/>
      <c r="AC300" s="435" t="s">
        <v>267</v>
      </c>
      <c r="AD300" s="435"/>
      <c r="AE300" s="435"/>
      <c r="AF300" s="435"/>
      <c r="AG300" s="435"/>
      <c r="AH300" s="435"/>
      <c r="AI300" s="435"/>
      <c r="AJ300" s="435"/>
    </row>
    <row r="301" spans="1:36" ht="16.8" x14ac:dyDescent="0.25">
      <c r="A301" s="330">
        <v>1</v>
      </c>
      <c r="C301" s="12"/>
      <c r="D301" s="437" t="s">
        <v>876</v>
      </c>
      <c r="E301" s="437"/>
      <c r="F301" s="437"/>
      <c r="G301" s="437"/>
      <c r="J301" s="86" t="s">
        <v>77</v>
      </c>
      <c r="K301" s="384" t="s">
        <v>78</v>
      </c>
      <c r="L301" s="384" t="s">
        <v>10</v>
      </c>
      <c r="M301" s="384" t="s">
        <v>79</v>
      </c>
      <c r="N301" s="384" t="s">
        <v>80</v>
      </c>
      <c r="O301" s="384" t="s">
        <v>11</v>
      </c>
      <c r="P301" s="436" t="s">
        <v>83</v>
      </c>
      <c r="Q301" s="436"/>
      <c r="R301" s="436"/>
      <c r="S301" s="436"/>
      <c r="T301" s="436"/>
      <c r="U301" s="436"/>
      <c r="V301" s="436"/>
      <c r="W301" s="436"/>
      <c r="X301" s="436"/>
      <c r="Y301" s="436"/>
      <c r="Z301" s="83" t="s">
        <v>81</v>
      </c>
      <c r="AA301" s="83" t="s">
        <v>82</v>
      </c>
      <c r="AC301" s="45" t="s">
        <v>80</v>
      </c>
      <c r="AD301" s="45"/>
      <c r="AE301" s="45"/>
      <c r="AF301" s="45"/>
      <c r="AG301" s="439"/>
      <c r="AH301" s="439"/>
      <c r="AI301" s="439"/>
      <c r="AJ301" s="439"/>
    </row>
    <row r="302" spans="1:36" hidden="1" outlineLevel="1" x14ac:dyDescent="0.25">
      <c r="A302" s="338">
        <v>2</v>
      </c>
      <c r="C302" s="12" t="str">
        <f t="shared" ref="C302:C311" si="104">IF(ISBLANK(H302),,H302&amp;" ")&amp;IF(ISBLANK(I302),,I302&amp;" ")&amp;IF(ISBLANK(J302),,J302&amp;" ")&amp;IF(ISBLANK(K302),,K302&amp;" ")&amp;IF(ISBLANK(L302),,L302&amp;" ")&amp;IF(ISBLANK(M302),,M302&amp;" ")&amp;IF(ISBLANK(N302),,N302&amp;" ")&amp;IF(ISBLANK(O302),,O302&amp;" ")&amp;IF(ISBLANK(P302),,P302&amp;" ")&amp;IF(ISBLANK(Q302),,Q302&amp;" ")&amp;IF(ISBLANK(R302),,R302&amp;" ")&amp;IF(ISBLANK(S302),,S302&amp;" ")&amp;IF(ISBLANK(T302),,T302&amp;" ")&amp;IF(ISBLANK(U302),,U302&amp;" ")&amp;IF(ISBLANK(V302),,V302&amp;" ")&amp;IF(ISBLANK(W302),,W302&amp;" ")&amp;IF(ISBLANK(X302),,X302&amp;" ")&amp;IF(ISBLANK(Y302),,Y302&amp;" ")&amp;IF(ISBLANK(Z302),,Z302&amp;" ")&amp;IF(ISBLANK(AA302),,AA302)</f>
        <v>aa 00 03 64 00 10 77 55</v>
      </c>
      <c r="D302" s="438" t="s">
        <v>380</v>
      </c>
      <c r="E302" s="438"/>
      <c r="F302" s="438"/>
      <c r="G302" s="438"/>
      <c r="J302" s="84" t="s">
        <v>0</v>
      </c>
      <c r="K302" s="75" t="s">
        <v>1</v>
      </c>
      <c r="L302" s="75" t="str">
        <f>DEC2HEX( COUNTA(M302:Y302),2)</f>
        <v>03</v>
      </c>
      <c r="M302" s="76" t="s">
        <v>381</v>
      </c>
      <c r="N302" s="76" t="str">
        <f>DEC2HEX(AC302,2)</f>
        <v>00</v>
      </c>
      <c r="O302" s="76" t="s">
        <v>70</v>
      </c>
      <c r="P302" s="57"/>
      <c r="Q302" s="57"/>
      <c r="R302" s="57"/>
      <c r="S302" s="57"/>
      <c r="T302" s="57"/>
      <c r="U302" s="57"/>
      <c r="V302" s="57"/>
      <c r="W302" s="57"/>
      <c r="X302" s="57"/>
      <c r="Y302" s="57"/>
      <c r="Z302" s="84" t="str">
        <f>DEC2HEX(MOD(HEX2DEC(K302)+HEX2DEC(L302)+HEX2DEC(M302)+HEX2DEC(N302)+HEX2DEC(O302)+HEX2DEC(P302)+HEX2DEC(Q302)+HEX2DEC(R302)+HEX2DEC(S302)+HEX2DEC(T302)+HEX2DEC(U302)+HEX2DEC(V302)+HEX2DEC(Y302),256),2)</f>
        <v>77</v>
      </c>
      <c r="AA302" s="84" t="s">
        <v>5</v>
      </c>
      <c r="AC302" s="116">
        <v>0</v>
      </c>
      <c r="AD302" s="106"/>
      <c r="AE302" s="106"/>
      <c r="AF302" s="106"/>
      <c r="AG302" s="440"/>
      <c r="AH302" s="440"/>
      <c r="AI302" s="440"/>
      <c r="AJ302" s="440"/>
    </row>
    <row r="303" spans="1:36" hidden="1" outlineLevel="1" x14ac:dyDescent="0.25">
      <c r="A303" s="338">
        <v>2</v>
      </c>
      <c r="C303" s="12" t="str">
        <f t="shared" si="104"/>
        <v>aa 00 03 64 01 10 78 55</v>
      </c>
      <c r="D303" s="438" t="s">
        <v>380</v>
      </c>
      <c r="E303" s="438"/>
      <c r="F303" s="438"/>
      <c r="G303" s="438"/>
      <c r="J303" s="84" t="s">
        <v>0</v>
      </c>
      <c r="K303" s="75" t="s">
        <v>1</v>
      </c>
      <c r="L303" s="75" t="str">
        <f t="shared" ref="L303:L311" si="105">DEC2HEX( COUNTA(M303:Y303),2)</f>
        <v>03</v>
      </c>
      <c r="M303" s="76" t="s">
        <v>381</v>
      </c>
      <c r="N303" s="76" t="str">
        <f>DEC2HEX(AC303,2)</f>
        <v>01</v>
      </c>
      <c r="O303" s="76" t="s">
        <v>70</v>
      </c>
      <c r="P303" s="57"/>
      <c r="Q303" s="57"/>
      <c r="R303" s="57"/>
      <c r="S303" s="57"/>
      <c r="T303" s="57"/>
      <c r="U303" s="57"/>
      <c r="V303" s="57"/>
      <c r="W303" s="57"/>
      <c r="X303" s="57"/>
      <c r="Y303" s="57"/>
      <c r="Z303" s="84" t="str">
        <f>DEC2HEX(MOD(HEX2DEC(K303)+HEX2DEC(L303)+HEX2DEC(M303)+HEX2DEC(N303)+HEX2DEC(O303)+HEX2DEC(P303)+HEX2DEC(Q303)+HEX2DEC(R303)+HEX2DEC(S303)+HEX2DEC(T303)+HEX2DEC(U303)+HEX2DEC(V303)+HEX2DEC(Y303),256),2)</f>
        <v>78</v>
      </c>
      <c r="AA303" s="84" t="s">
        <v>5</v>
      </c>
      <c r="AC303" s="116">
        <v>1</v>
      </c>
      <c r="AD303" s="106"/>
      <c r="AE303" s="106"/>
      <c r="AF303" s="106"/>
      <c r="AG303" s="440"/>
      <c r="AH303" s="440"/>
      <c r="AI303" s="440"/>
      <c r="AJ303" s="440"/>
    </row>
    <row r="304" spans="1:36" hidden="1" outlineLevel="1" x14ac:dyDescent="0.25">
      <c r="A304" s="338">
        <v>2</v>
      </c>
      <c r="C304" s="12" t="str">
        <f t="shared" si="104"/>
        <v>aa 00 03 64 02 10 79 55</v>
      </c>
      <c r="D304" s="438" t="s">
        <v>380</v>
      </c>
      <c r="E304" s="438"/>
      <c r="F304" s="438"/>
      <c r="G304" s="438"/>
      <c r="J304" s="84" t="s">
        <v>0</v>
      </c>
      <c r="K304" s="75" t="s">
        <v>1</v>
      </c>
      <c r="L304" s="75" t="str">
        <f t="shared" si="105"/>
        <v>03</v>
      </c>
      <c r="M304" s="76" t="s">
        <v>381</v>
      </c>
      <c r="N304" s="76" t="str">
        <f t="shared" ref="N304:N311" si="106">DEC2HEX(AC304,2)</f>
        <v>02</v>
      </c>
      <c r="O304" s="76" t="s">
        <v>70</v>
      </c>
      <c r="P304" s="57"/>
      <c r="Q304" s="57"/>
      <c r="R304" s="57"/>
      <c r="S304" s="57"/>
      <c r="T304" s="57"/>
      <c r="U304" s="57"/>
      <c r="V304" s="57"/>
      <c r="W304" s="57"/>
      <c r="X304" s="57"/>
      <c r="Y304" s="57"/>
      <c r="Z304" s="84" t="str">
        <f t="shared" ref="Z304:Z311" si="107">DEC2HEX(MOD(HEX2DEC(K304)+HEX2DEC(L304)+HEX2DEC(M304)+HEX2DEC(N304)+HEX2DEC(O304)+HEX2DEC(P304)+HEX2DEC(Q304)+HEX2DEC(R304)+HEX2DEC(S304)+HEX2DEC(T304)+HEX2DEC(U304)+HEX2DEC(V304)+HEX2DEC(Y304),256),2)</f>
        <v>79</v>
      </c>
      <c r="AA304" s="84" t="s">
        <v>5</v>
      </c>
      <c r="AC304" s="116">
        <v>2</v>
      </c>
      <c r="AD304" s="106"/>
      <c r="AE304" s="106"/>
      <c r="AF304" s="106"/>
      <c r="AG304" s="440"/>
      <c r="AH304" s="440"/>
      <c r="AI304" s="440"/>
      <c r="AJ304" s="440"/>
    </row>
    <row r="305" spans="1:36" hidden="1" outlineLevel="1" x14ac:dyDescent="0.25">
      <c r="A305" s="338">
        <v>2</v>
      </c>
      <c r="C305" s="12" t="str">
        <f t="shared" si="104"/>
        <v>aa 00 03 64 03 10 7A 55</v>
      </c>
      <c r="D305" s="438" t="s">
        <v>380</v>
      </c>
      <c r="E305" s="438"/>
      <c r="F305" s="438"/>
      <c r="G305" s="438"/>
      <c r="J305" s="84" t="s">
        <v>0</v>
      </c>
      <c r="K305" s="75" t="s">
        <v>1</v>
      </c>
      <c r="L305" s="75" t="str">
        <f t="shared" si="105"/>
        <v>03</v>
      </c>
      <c r="M305" s="76" t="s">
        <v>381</v>
      </c>
      <c r="N305" s="76" t="str">
        <f t="shared" si="106"/>
        <v>03</v>
      </c>
      <c r="O305" s="76" t="s">
        <v>70</v>
      </c>
      <c r="P305" s="57"/>
      <c r="Q305" s="57"/>
      <c r="R305" s="57"/>
      <c r="S305" s="57"/>
      <c r="T305" s="57"/>
      <c r="U305" s="57"/>
      <c r="V305" s="57"/>
      <c r="W305" s="57"/>
      <c r="X305" s="57"/>
      <c r="Y305" s="57"/>
      <c r="Z305" s="84" t="str">
        <f t="shared" si="107"/>
        <v>7A</v>
      </c>
      <c r="AA305" s="84" t="s">
        <v>5</v>
      </c>
      <c r="AC305" s="116">
        <v>3</v>
      </c>
      <c r="AD305" s="106"/>
      <c r="AE305" s="106"/>
      <c r="AF305" s="106"/>
      <c r="AG305" s="440"/>
      <c r="AH305" s="440"/>
      <c r="AI305" s="440"/>
      <c r="AJ305" s="440"/>
    </row>
    <row r="306" spans="1:36" hidden="1" outlineLevel="1" x14ac:dyDescent="0.25">
      <c r="A306" s="338">
        <v>2</v>
      </c>
      <c r="C306" s="12" t="str">
        <f t="shared" si="104"/>
        <v>aa 00 03 64 04 10 7B 55</v>
      </c>
      <c r="D306" s="438" t="s">
        <v>380</v>
      </c>
      <c r="E306" s="438"/>
      <c r="F306" s="438"/>
      <c r="G306" s="438"/>
      <c r="J306" s="84" t="s">
        <v>0</v>
      </c>
      <c r="K306" s="75" t="s">
        <v>1</v>
      </c>
      <c r="L306" s="75" t="str">
        <f t="shared" si="105"/>
        <v>03</v>
      </c>
      <c r="M306" s="76" t="s">
        <v>381</v>
      </c>
      <c r="N306" s="76" t="str">
        <f t="shared" si="106"/>
        <v>04</v>
      </c>
      <c r="O306" s="76" t="s">
        <v>70</v>
      </c>
      <c r="P306" s="57"/>
      <c r="Q306" s="57"/>
      <c r="R306" s="57"/>
      <c r="S306" s="57"/>
      <c r="T306" s="57"/>
      <c r="U306" s="57"/>
      <c r="V306" s="57"/>
      <c r="W306" s="57"/>
      <c r="X306" s="57"/>
      <c r="Y306" s="57"/>
      <c r="Z306" s="84" t="str">
        <f t="shared" si="107"/>
        <v>7B</v>
      </c>
      <c r="AA306" s="84" t="s">
        <v>5</v>
      </c>
      <c r="AC306" s="116">
        <v>4</v>
      </c>
      <c r="AD306" s="106"/>
      <c r="AE306" s="106"/>
      <c r="AF306" s="106"/>
      <c r="AG306" s="440"/>
      <c r="AH306" s="440"/>
      <c r="AI306" s="440"/>
      <c r="AJ306" s="440"/>
    </row>
    <row r="307" spans="1:36" hidden="1" outlineLevel="1" x14ac:dyDescent="0.25">
      <c r="A307" s="338">
        <v>2</v>
      </c>
      <c r="C307" s="12" t="str">
        <f t="shared" si="104"/>
        <v>aa 00 03 64 05 10 7C 55</v>
      </c>
      <c r="D307" s="438" t="s">
        <v>380</v>
      </c>
      <c r="E307" s="438"/>
      <c r="F307" s="438"/>
      <c r="G307" s="438"/>
      <c r="J307" s="84" t="s">
        <v>0</v>
      </c>
      <c r="K307" s="75" t="s">
        <v>1</v>
      </c>
      <c r="L307" s="75" t="str">
        <f t="shared" si="105"/>
        <v>03</v>
      </c>
      <c r="M307" s="76" t="s">
        <v>381</v>
      </c>
      <c r="N307" s="76" t="str">
        <f t="shared" si="106"/>
        <v>05</v>
      </c>
      <c r="O307" s="76" t="s">
        <v>70</v>
      </c>
      <c r="P307" s="57"/>
      <c r="Q307" s="57"/>
      <c r="R307" s="57"/>
      <c r="S307" s="57"/>
      <c r="T307" s="57"/>
      <c r="U307" s="57"/>
      <c r="V307" s="57"/>
      <c r="W307" s="57"/>
      <c r="X307" s="57"/>
      <c r="Y307" s="57"/>
      <c r="Z307" s="84" t="str">
        <f t="shared" si="107"/>
        <v>7C</v>
      </c>
      <c r="AA307" s="84" t="s">
        <v>5</v>
      </c>
      <c r="AC307" s="116">
        <v>5</v>
      </c>
      <c r="AD307" s="106"/>
      <c r="AE307" s="106"/>
      <c r="AF307" s="106"/>
      <c r="AG307" s="440"/>
      <c r="AH307" s="440"/>
      <c r="AI307" s="440"/>
      <c r="AJ307" s="440"/>
    </row>
    <row r="308" spans="1:36" hidden="1" outlineLevel="1" x14ac:dyDescent="0.25">
      <c r="A308" s="338">
        <v>2</v>
      </c>
      <c r="C308" s="12" t="str">
        <f t="shared" si="104"/>
        <v>aa 00 03 64 06 10 7D 55</v>
      </c>
      <c r="D308" s="438" t="s">
        <v>380</v>
      </c>
      <c r="E308" s="438"/>
      <c r="F308" s="438"/>
      <c r="G308" s="438"/>
      <c r="J308" s="84" t="s">
        <v>0</v>
      </c>
      <c r="K308" s="75" t="s">
        <v>1</v>
      </c>
      <c r="L308" s="75" t="str">
        <f t="shared" si="105"/>
        <v>03</v>
      </c>
      <c r="M308" s="76" t="s">
        <v>381</v>
      </c>
      <c r="N308" s="76" t="str">
        <f t="shared" si="106"/>
        <v>06</v>
      </c>
      <c r="O308" s="76" t="s">
        <v>70</v>
      </c>
      <c r="P308" s="57"/>
      <c r="Q308" s="57"/>
      <c r="R308" s="57"/>
      <c r="S308" s="57"/>
      <c r="T308" s="57"/>
      <c r="U308" s="57"/>
      <c r="V308" s="57"/>
      <c r="W308" s="57"/>
      <c r="X308" s="57"/>
      <c r="Y308" s="57"/>
      <c r="Z308" s="84" t="str">
        <f t="shared" si="107"/>
        <v>7D</v>
      </c>
      <c r="AA308" s="84" t="s">
        <v>5</v>
      </c>
      <c r="AC308" s="116">
        <v>6</v>
      </c>
      <c r="AD308" s="106"/>
      <c r="AE308" s="106"/>
      <c r="AF308" s="106"/>
      <c r="AG308" s="440"/>
      <c r="AH308" s="440"/>
      <c r="AI308" s="440"/>
      <c r="AJ308" s="440"/>
    </row>
    <row r="309" spans="1:36" hidden="1" outlineLevel="1" x14ac:dyDescent="0.25">
      <c r="A309" s="338">
        <v>2</v>
      </c>
      <c r="C309" s="12" t="str">
        <f t="shared" si="104"/>
        <v>aa 00 03 64 07 10 7E 55</v>
      </c>
      <c r="D309" s="438" t="s">
        <v>380</v>
      </c>
      <c r="E309" s="438"/>
      <c r="F309" s="438"/>
      <c r="G309" s="438"/>
      <c r="J309" s="84" t="s">
        <v>0</v>
      </c>
      <c r="K309" s="75" t="s">
        <v>1</v>
      </c>
      <c r="L309" s="75" t="str">
        <f t="shared" si="105"/>
        <v>03</v>
      </c>
      <c r="M309" s="76" t="s">
        <v>381</v>
      </c>
      <c r="N309" s="76" t="str">
        <f t="shared" si="106"/>
        <v>07</v>
      </c>
      <c r="O309" s="76" t="s">
        <v>70</v>
      </c>
      <c r="P309" s="57"/>
      <c r="Q309" s="57"/>
      <c r="R309" s="57"/>
      <c r="S309" s="57"/>
      <c r="T309" s="57"/>
      <c r="U309" s="57"/>
      <c r="V309" s="57"/>
      <c r="W309" s="57"/>
      <c r="X309" s="57"/>
      <c r="Y309" s="57"/>
      <c r="Z309" s="84" t="str">
        <f t="shared" si="107"/>
        <v>7E</v>
      </c>
      <c r="AA309" s="84" t="s">
        <v>5</v>
      </c>
      <c r="AC309" s="116">
        <v>7</v>
      </c>
      <c r="AD309" s="106"/>
      <c r="AE309" s="106"/>
      <c r="AF309" s="106"/>
      <c r="AG309" s="440"/>
      <c r="AH309" s="440"/>
      <c r="AI309" s="440"/>
      <c r="AJ309" s="440"/>
    </row>
    <row r="310" spans="1:36" hidden="1" outlineLevel="1" x14ac:dyDescent="0.25">
      <c r="A310" s="338">
        <v>2</v>
      </c>
      <c r="C310" s="12" t="str">
        <f t="shared" si="104"/>
        <v>aa 00 03 64 08 10 7F 55</v>
      </c>
      <c r="D310" s="438" t="s">
        <v>380</v>
      </c>
      <c r="E310" s="438"/>
      <c r="F310" s="438"/>
      <c r="G310" s="438"/>
      <c r="J310" s="84" t="s">
        <v>0</v>
      </c>
      <c r="K310" s="75" t="s">
        <v>1</v>
      </c>
      <c r="L310" s="75" t="str">
        <f t="shared" si="105"/>
        <v>03</v>
      </c>
      <c r="M310" s="76" t="s">
        <v>381</v>
      </c>
      <c r="N310" s="76" t="str">
        <f t="shared" si="106"/>
        <v>08</v>
      </c>
      <c r="O310" s="76" t="s">
        <v>70</v>
      </c>
      <c r="P310" s="57"/>
      <c r="Q310" s="57"/>
      <c r="R310" s="57"/>
      <c r="S310" s="57"/>
      <c r="T310" s="57"/>
      <c r="U310" s="57"/>
      <c r="V310" s="57"/>
      <c r="W310" s="57"/>
      <c r="X310" s="57"/>
      <c r="Y310" s="57"/>
      <c r="Z310" s="84" t="str">
        <f t="shared" si="107"/>
        <v>7F</v>
      </c>
      <c r="AA310" s="84" t="s">
        <v>5</v>
      </c>
      <c r="AC310" s="116">
        <v>8</v>
      </c>
      <c r="AD310" s="106"/>
      <c r="AE310" s="106"/>
      <c r="AF310" s="106"/>
      <c r="AG310" s="440"/>
      <c r="AH310" s="440"/>
      <c r="AI310" s="440"/>
      <c r="AJ310" s="440"/>
    </row>
    <row r="311" spans="1:36" hidden="1" outlineLevel="1" x14ac:dyDescent="0.25">
      <c r="A311" s="400">
        <v>2</v>
      </c>
      <c r="C311" s="12" t="str">
        <f t="shared" si="104"/>
        <v>aa 00 03 64 09 10 80 55</v>
      </c>
      <c r="D311" s="438" t="s">
        <v>380</v>
      </c>
      <c r="E311" s="438"/>
      <c r="F311" s="438"/>
      <c r="G311" s="438"/>
      <c r="J311" s="84" t="s">
        <v>0</v>
      </c>
      <c r="K311" s="75" t="s">
        <v>1</v>
      </c>
      <c r="L311" s="75" t="str">
        <f t="shared" si="105"/>
        <v>03</v>
      </c>
      <c r="M311" s="76" t="s">
        <v>381</v>
      </c>
      <c r="N311" s="76" t="str">
        <f t="shared" si="106"/>
        <v>09</v>
      </c>
      <c r="O311" s="76" t="s">
        <v>70</v>
      </c>
      <c r="P311" s="57"/>
      <c r="Q311" s="57"/>
      <c r="R311" s="57"/>
      <c r="S311" s="57"/>
      <c r="T311" s="57"/>
      <c r="U311" s="57"/>
      <c r="V311" s="57"/>
      <c r="W311" s="57"/>
      <c r="X311" s="57"/>
      <c r="Y311" s="57"/>
      <c r="Z311" s="84" t="str">
        <f t="shared" si="107"/>
        <v>80</v>
      </c>
      <c r="AA311" s="84" t="s">
        <v>5</v>
      </c>
      <c r="AC311" s="116">
        <v>9</v>
      </c>
      <c r="AD311" s="106"/>
      <c r="AE311" s="106"/>
      <c r="AF311" s="106"/>
      <c r="AG311" s="440"/>
      <c r="AH311" s="440"/>
      <c r="AI311" s="440"/>
      <c r="AJ311" s="440"/>
    </row>
    <row r="312" spans="1:36" collapsed="1" x14ac:dyDescent="0.25">
      <c r="A312" s="402"/>
    </row>
    <row r="313" spans="1:36" x14ac:dyDescent="0.25">
      <c r="A313" s="403"/>
      <c r="C313" t="s">
        <v>877</v>
      </c>
    </row>
    <row r="314" spans="1:36" x14ac:dyDescent="0.25">
      <c r="A314" s="404"/>
    </row>
    <row r="316" spans="1:36" x14ac:dyDescent="0.25">
      <c r="D316" s="435"/>
      <c r="E316" s="435"/>
      <c r="F316" s="435"/>
      <c r="G316" s="435"/>
      <c r="J316" s="435" t="s">
        <v>275</v>
      </c>
      <c r="K316" s="435"/>
      <c r="L316" s="435"/>
      <c r="M316" s="435"/>
      <c r="N316" s="435"/>
      <c r="O316" s="435"/>
      <c r="P316" s="435"/>
      <c r="Q316" s="435"/>
      <c r="R316" s="435"/>
      <c r="S316" s="435"/>
      <c r="T316" s="435"/>
      <c r="U316" s="435"/>
      <c r="V316" s="435"/>
      <c r="W316" s="435"/>
      <c r="X316" s="435"/>
      <c r="Y316" s="435"/>
      <c r="Z316" s="435"/>
      <c r="AA316" s="435"/>
      <c r="AC316" s="435" t="s">
        <v>267</v>
      </c>
      <c r="AD316" s="435"/>
      <c r="AE316" s="435"/>
      <c r="AF316" s="435"/>
    </row>
    <row r="317" spans="1:36" ht="16.8" x14ac:dyDescent="0.25">
      <c r="A317" s="330">
        <v>1</v>
      </c>
      <c r="B317" s="401"/>
      <c r="D317" s="437" t="s">
        <v>878</v>
      </c>
      <c r="E317" s="437"/>
      <c r="F317" s="437"/>
      <c r="G317" s="437"/>
      <c r="J317" s="86" t="s">
        <v>77</v>
      </c>
      <c r="K317" s="384" t="s">
        <v>78</v>
      </c>
      <c r="L317" s="384" t="s">
        <v>10</v>
      </c>
      <c r="M317" s="384" t="s">
        <v>79</v>
      </c>
      <c r="N317" s="384" t="s">
        <v>80</v>
      </c>
      <c r="O317" s="384" t="s">
        <v>11</v>
      </c>
      <c r="P317" s="488" t="s">
        <v>83</v>
      </c>
      <c r="Q317" s="436"/>
      <c r="R317" s="436"/>
      <c r="S317" s="436"/>
      <c r="T317" s="436"/>
      <c r="U317" s="436"/>
      <c r="V317" s="436"/>
      <c r="W317" s="436"/>
      <c r="X317" s="436"/>
      <c r="Y317" s="436"/>
      <c r="Z317" s="83" t="s">
        <v>81</v>
      </c>
      <c r="AA317" s="83" t="s">
        <v>82</v>
      </c>
      <c r="AC317" s="45" t="s">
        <v>80</v>
      </c>
      <c r="AD317" s="45"/>
      <c r="AE317" s="45"/>
      <c r="AF317" s="45"/>
    </row>
    <row r="318" spans="1:36" hidden="1" outlineLevel="1" x14ac:dyDescent="0.25">
      <c r="A318" s="338">
        <v>2</v>
      </c>
      <c r="C318" s="12" t="str">
        <f t="shared" ref="C318:C327" si="108">IF(ISBLANK(H318),,H318&amp;" ")&amp;IF(ISBLANK(I318),,I318&amp;" ")&amp;IF(ISBLANK(J318),,J318&amp;" ")&amp;IF(ISBLANK(K318),,K318&amp;" ")&amp;IF(ISBLANK(L318),,L318&amp;" ")&amp;IF(ISBLANK(M318),,M318&amp;" ")&amp;IF(ISBLANK(N318),,N318&amp;" ")&amp;IF(ISBLANK(O318),,O318&amp;" ")&amp;IF(ISBLANK(P318),,P318&amp;" ")&amp;IF(ISBLANK(Q318),,Q318&amp;" ")&amp;IF(ISBLANK(R318),,R318&amp;" ")&amp;IF(ISBLANK(S318),,S318&amp;" ")&amp;IF(ISBLANK(T318),,T318&amp;" ")&amp;IF(ISBLANK(U318),,U318&amp;" ")&amp;IF(ISBLANK(V318),,V318&amp;" ")&amp;IF(ISBLANK(W318),,W318&amp;" ")&amp;IF(ISBLANK(X318),,X318&amp;" ")&amp;IF(ISBLANK(Y318),,Y318&amp;" ")&amp;IF(ISBLANK(Z318),,Z318&amp;" ")&amp;IF(ISBLANK(AA318),,AA318)</f>
        <v>aa 00 04 E0 00 21 00 05 55</v>
      </c>
      <c r="D318" s="438" t="s">
        <v>880</v>
      </c>
      <c r="E318" s="438"/>
      <c r="F318" s="438"/>
      <c r="G318" s="438"/>
      <c r="J318" s="84" t="s">
        <v>0</v>
      </c>
      <c r="K318" s="75" t="s">
        <v>1</v>
      </c>
      <c r="L318" s="75" t="str">
        <f t="shared" ref="L318:L327" si="109">DEC2HEX( COUNTA(M318:Y318),2)</f>
        <v>04</v>
      </c>
      <c r="M318" s="76" t="s">
        <v>404</v>
      </c>
      <c r="N318" s="76" t="s">
        <v>1</v>
      </c>
      <c r="O318" s="113" t="s">
        <v>3</v>
      </c>
      <c r="P318" s="76" t="str">
        <f t="shared" ref="P318:P327" si="110">DEC2HEX(AC318,2)</f>
        <v>00</v>
      </c>
      <c r="Q318" s="114"/>
      <c r="R318" s="57"/>
      <c r="S318" s="57"/>
      <c r="T318" s="57"/>
      <c r="U318" s="57"/>
      <c r="V318" s="57"/>
      <c r="W318" s="57"/>
      <c r="X318" s="57"/>
      <c r="Y318" s="57"/>
      <c r="Z318" s="84" t="str">
        <f t="shared" ref="Z318:Z327" si="111">DEC2HEX(MOD(HEX2DEC(K318)+HEX2DEC(L318)+HEX2DEC(M318)+HEX2DEC(N318)+HEX2DEC(O318)+HEX2DEC(P318)+HEX2DEC(Q318)+HEX2DEC(R318)+HEX2DEC(S318)+HEX2DEC(T318)+HEX2DEC(U318)+HEX2DEC(V318)+HEX2DEC(Y318),256),2)</f>
        <v>05</v>
      </c>
      <c r="AA318" s="84" t="s">
        <v>5</v>
      </c>
      <c r="AC318" s="116">
        <v>0</v>
      </c>
      <c r="AD318" s="106"/>
      <c r="AE318" s="106"/>
      <c r="AF318" s="106"/>
    </row>
    <row r="319" spans="1:36" hidden="1" outlineLevel="1" x14ac:dyDescent="0.25">
      <c r="A319" s="338">
        <v>2</v>
      </c>
      <c r="C319" s="12" t="str">
        <f t="shared" si="108"/>
        <v>aa 00 04 E0 00 21 01 06 55</v>
      </c>
      <c r="D319" s="438" t="s">
        <v>399</v>
      </c>
      <c r="E319" s="438"/>
      <c r="F319" s="438"/>
      <c r="G319" s="438"/>
      <c r="J319" s="84" t="s">
        <v>0</v>
      </c>
      <c r="K319" s="75" t="s">
        <v>1</v>
      </c>
      <c r="L319" s="75" t="str">
        <f t="shared" si="109"/>
        <v>04</v>
      </c>
      <c r="M319" s="76" t="s">
        <v>404</v>
      </c>
      <c r="N319" s="76" t="s">
        <v>1</v>
      </c>
      <c r="O319" s="113" t="s">
        <v>3</v>
      </c>
      <c r="P319" s="76" t="str">
        <f t="shared" si="110"/>
        <v>01</v>
      </c>
      <c r="Q319" s="114"/>
      <c r="R319" s="57"/>
      <c r="S319" s="57"/>
      <c r="T319" s="57"/>
      <c r="U319" s="57"/>
      <c r="V319" s="57"/>
      <c r="W319" s="57"/>
      <c r="X319" s="57"/>
      <c r="Y319" s="57"/>
      <c r="Z319" s="84" t="str">
        <f t="shared" si="111"/>
        <v>06</v>
      </c>
      <c r="AA319" s="84" t="s">
        <v>5</v>
      </c>
      <c r="AC319" s="116">
        <v>1</v>
      </c>
      <c r="AD319" s="106"/>
      <c r="AE319" s="106"/>
      <c r="AF319" s="106"/>
    </row>
    <row r="320" spans="1:36" hidden="1" outlineLevel="1" x14ac:dyDescent="0.25">
      <c r="A320" s="338">
        <v>2</v>
      </c>
      <c r="C320" s="12" t="str">
        <f t="shared" si="108"/>
        <v>aa 00 04 E0 00 21 02 07 55</v>
      </c>
      <c r="D320" s="438" t="s">
        <v>400</v>
      </c>
      <c r="E320" s="438"/>
      <c r="F320" s="438"/>
      <c r="G320" s="438"/>
      <c r="J320" s="84" t="s">
        <v>0</v>
      </c>
      <c r="K320" s="75" t="s">
        <v>1</v>
      </c>
      <c r="L320" s="75" t="str">
        <f t="shared" si="109"/>
        <v>04</v>
      </c>
      <c r="M320" s="76" t="s">
        <v>404</v>
      </c>
      <c r="N320" s="76" t="s">
        <v>1</v>
      </c>
      <c r="O320" s="113" t="s">
        <v>3</v>
      </c>
      <c r="P320" s="76" t="str">
        <f t="shared" si="110"/>
        <v>02</v>
      </c>
      <c r="Q320" s="114"/>
      <c r="R320" s="57"/>
      <c r="S320" s="57"/>
      <c r="T320" s="57"/>
      <c r="U320" s="57"/>
      <c r="V320" s="57"/>
      <c r="W320" s="57"/>
      <c r="X320" s="57"/>
      <c r="Y320" s="57"/>
      <c r="Z320" s="84" t="str">
        <f t="shared" si="111"/>
        <v>07</v>
      </c>
      <c r="AA320" s="84" t="s">
        <v>5</v>
      </c>
      <c r="AC320" s="116">
        <v>2</v>
      </c>
      <c r="AD320" s="106"/>
      <c r="AE320" s="106"/>
      <c r="AF320" s="106"/>
    </row>
    <row r="321" spans="1:32" hidden="1" outlineLevel="1" x14ac:dyDescent="0.25">
      <c r="A321" s="338">
        <v>2</v>
      </c>
      <c r="C321" s="12" t="str">
        <f t="shared" si="108"/>
        <v>aa 00 04 E0 00 21 03 08 55</v>
      </c>
      <c r="D321" s="438" t="s">
        <v>401</v>
      </c>
      <c r="E321" s="438"/>
      <c r="F321" s="438"/>
      <c r="G321" s="438"/>
      <c r="J321" s="84" t="s">
        <v>0</v>
      </c>
      <c r="K321" s="75" t="s">
        <v>1</v>
      </c>
      <c r="L321" s="75" t="str">
        <f t="shared" si="109"/>
        <v>04</v>
      </c>
      <c r="M321" s="76" t="s">
        <v>404</v>
      </c>
      <c r="N321" s="76" t="s">
        <v>1</v>
      </c>
      <c r="O321" s="113" t="s">
        <v>3</v>
      </c>
      <c r="P321" s="76" t="str">
        <f t="shared" si="110"/>
        <v>03</v>
      </c>
      <c r="Q321" s="114"/>
      <c r="R321" s="57"/>
      <c r="S321" s="57"/>
      <c r="T321" s="57"/>
      <c r="U321" s="57"/>
      <c r="V321" s="57"/>
      <c r="W321" s="57"/>
      <c r="X321" s="57"/>
      <c r="Y321" s="57"/>
      <c r="Z321" s="84" t="str">
        <f t="shared" si="111"/>
        <v>08</v>
      </c>
      <c r="AA321" s="84" t="s">
        <v>5</v>
      </c>
      <c r="AC321" s="116">
        <v>3</v>
      </c>
      <c r="AD321" s="106"/>
      <c r="AE321" s="106"/>
      <c r="AF321" s="106"/>
    </row>
    <row r="322" spans="1:32" hidden="1" outlineLevel="1" x14ac:dyDescent="0.25">
      <c r="A322" s="338">
        <v>2</v>
      </c>
      <c r="C322" s="12" t="str">
        <f t="shared" si="108"/>
        <v>aa 00 04 E0 00 21 04 09 55</v>
      </c>
      <c r="D322" s="438" t="s">
        <v>402</v>
      </c>
      <c r="E322" s="438"/>
      <c r="F322" s="438"/>
      <c r="G322" s="438"/>
      <c r="J322" s="84" t="s">
        <v>0</v>
      </c>
      <c r="K322" s="75" t="s">
        <v>1</v>
      </c>
      <c r="L322" s="75" t="str">
        <f t="shared" si="109"/>
        <v>04</v>
      </c>
      <c r="M322" s="76" t="s">
        <v>404</v>
      </c>
      <c r="N322" s="76" t="s">
        <v>1</v>
      </c>
      <c r="O322" s="113" t="s">
        <v>3</v>
      </c>
      <c r="P322" s="76" t="str">
        <f t="shared" si="110"/>
        <v>04</v>
      </c>
      <c r="Q322" s="114"/>
      <c r="R322" s="57"/>
      <c r="S322" s="57"/>
      <c r="T322" s="57"/>
      <c r="U322" s="57"/>
      <c r="V322" s="57"/>
      <c r="W322" s="57"/>
      <c r="X322" s="57"/>
      <c r="Y322" s="57"/>
      <c r="Z322" s="84" t="str">
        <f t="shared" si="111"/>
        <v>09</v>
      </c>
      <c r="AA322" s="84" t="s">
        <v>5</v>
      </c>
      <c r="AC322" s="116">
        <v>4</v>
      </c>
      <c r="AD322" s="106"/>
      <c r="AE322" s="106"/>
      <c r="AF322" s="106"/>
    </row>
    <row r="323" spans="1:32" hidden="1" outlineLevel="1" x14ac:dyDescent="0.25">
      <c r="A323" s="338">
        <v>2</v>
      </c>
      <c r="C323" s="12" t="str">
        <f t="shared" si="108"/>
        <v>aa 00 04 E0 00 21 05 0A 55</v>
      </c>
      <c r="D323" s="438" t="s">
        <v>398</v>
      </c>
      <c r="E323" s="438"/>
      <c r="F323" s="438"/>
      <c r="G323" s="438"/>
      <c r="J323" s="84" t="s">
        <v>0</v>
      </c>
      <c r="K323" s="75" t="s">
        <v>1</v>
      </c>
      <c r="L323" s="75" t="str">
        <f t="shared" si="109"/>
        <v>04</v>
      </c>
      <c r="M323" s="76" t="s">
        <v>404</v>
      </c>
      <c r="N323" s="76" t="s">
        <v>1</v>
      </c>
      <c r="O323" s="113" t="s">
        <v>3</v>
      </c>
      <c r="P323" s="76" t="str">
        <f t="shared" si="110"/>
        <v>05</v>
      </c>
      <c r="Q323" s="114"/>
      <c r="R323" s="57"/>
      <c r="S323" s="57"/>
      <c r="T323" s="57"/>
      <c r="U323" s="57"/>
      <c r="V323" s="57"/>
      <c r="W323" s="57"/>
      <c r="X323" s="57"/>
      <c r="Y323" s="57"/>
      <c r="Z323" s="84" t="str">
        <f t="shared" si="111"/>
        <v>0A</v>
      </c>
      <c r="AA323" s="84" t="s">
        <v>5</v>
      </c>
      <c r="AC323" s="116">
        <v>5</v>
      </c>
      <c r="AD323" s="106"/>
      <c r="AE323" s="106"/>
      <c r="AF323" s="106"/>
    </row>
    <row r="324" spans="1:32" hidden="1" outlineLevel="1" x14ac:dyDescent="0.25">
      <c r="A324" s="338">
        <v>2</v>
      </c>
      <c r="C324" s="12" t="str">
        <f t="shared" si="108"/>
        <v>aa 00 04 E0 00 21 06 0B 55</v>
      </c>
      <c r="D324" s="438" t="s">
        <v>399</v>
      </c>
      <c r="E324" s="438"/>
      <c r="F324" s="438"/>
      <c r="G324" s="438"/>
      <c r="J324" s="84" t="s">
        <v>0</v>
      </c>
      <c r="K324" s="75" t="s">
        <v>1</v>
      </c>
      <c r="L324" s="75" t="str">
        <f t="shared" si="109"/>
        <v>04</v>
      </c>
      <c r="M324" s="76" t="s">
        <v>404</v>
      </c>
      <c r="N324" s="76" t="s">
        <v>1</v>
      </c>
      <c r="O324" s="113" t="s">
        <v>3</v>
      </c>
      <c r="P324" s="76" t="str">
        <f t="shared" si="110"/>
        <v>06</v>
      </c>
      <c r="Q324" s="114"/>
      <c r="R324" s="57"/>
      <c r="S324" s="57"/>
      <c r="T324" s="57"/>
      <c r="U324" s="57"/>
      <c r="V324" s="57"/>
      <c r="W324" s="57"/>
      <c r="X324" s="57"/>
      <c r="Y324" s="57"/>
      <c r="Z324" s="84" t="str">
        <f t="shared" si="111"/>
        <v>0B</v>
      </c>
      <c r="AA324" s="84" t="s">
        <v>5</v>
      </c>
      <c r="AC324" s="116">
        <v>6</v>
      </c>
      <c r="AD324" s="106"/>
      <c r="AE324" s="106"/>
      <c r="AF324" s="106"/>
    </row>
    <row r="325" spans="1:32" hidden="1" outlineLevel="1" x14ac:dyDescent="0.25">
      <c r="A325" s="338">
        <v>2</v>
      </c>
      <c r="C325" s="12" t="str">
        <f t="shared" si="108"/>
        <v>aa 00 04 E0 00 21 07 0C 55</v>
      </c>
      <c r="D325" s="438" t="s">
        <v>400</v>
      </c>
      <c r="E325" s="438"/>
      <c r="F325" s="438"/>
      <c r="G325" s="438"/>
      <c r="J325" s="84" t="s">
        <v>0</v>
      </c>
      <c r="K325" s="75" t="s">
        <v>1</v>
      </c>
      <c r="L325" s="75" t="str">
        <f t="shared" si="109"/>
        <v>04</v>
      </c>
      <c r="M325" s="76" t="s">
        <v>404</v>
      </c>
      <c r="N325" s="76" t="s">
        <v>1</v>
      </c>
      <c r="O325" s="113" t="s">
        <v>3</v>
      </c>
      <c r="P325" s="76" t="str">
        <f t="shared" si="110"/>
        <v>07</v>
      </c>
      <c r="Q325" s="114"/>
      <c r="R325" s="57"/>
      <c r="S325" s="57"/>
      <c r="T325" s="57"/>
      <c r="U325" s="57"/>
      <c r="V325" s="57"/>
      <c r="W325" s="57"/>
      <c r="X325" s="57"/>
      <c r="Y325" s="57"/>
      <c r="Z325" s="84" t="str">
        <f t="shared" si="111"/>
        <v>0C</v>
      </c>
      <c r="AA325" s="84" t="s">
        <v>5</v>
      </c>
      <c r="AC325" s="116">
        <v>7</v>
      </c>
      <c r="AD325" s="106"/>
      <c r="AE325" s="106"/>
      <c r="AF325" s="106"/>
    </row>
    <row r="326" spans="1:32" hidden="1" outlineLevel="1" x14ac:dyDescent="0.25">
      <c r="A326" s="338">
        <v>2</v>
      </c>
      <c r="C326" s="12" t="str">
        <f t="shared" si="108"/>
        <v>aa 00 04 E0 00 21 08 0D 55</v>
      </c>
      <c r="D326" s="438" t="s">
        <v>401</v>
      </c>
      <c r="E326" s="438"/>
      <c r="F326" s="438"/>
      <c r="G326" s="438"/>
      <c r="J326" s="84" t="s">
        <v>0</v>
      </c>
      <c r="K326" s="75" t="s">
        <v>1</v>
      </c>
      <c r="L326" s="75" t="str">
        <f t="shared" si="109"/>
        <v>04</v>
      </c>
      <c r="M326" s="76" t="s">
        <v>404</v>
      </c>
      <c r="N326" s="76" t="s">
        <v>1</v>
      </c>
      <c r="O326" s="113" t="s">
        <v>3</v>
      </c>
      <c r="P326" s="76" t="str">
        <f t="shared" si="110"/>
        <v>08</v>
      </c>
      <c r="Q326" s="114"/>
      <c r="R326" s="57"/>
      <c r="S326" s="57"/>
      <c r="T326" s="57"/>
      <c r="U326" s="57"/>
      <c r="V326" s="57"/>
      <c r="W326" s="57"/>
      <c r="X326" s="57"/>
      <c r="Y326" s="57"/>
      <c r="Z326" s="84" t="str">
        <f t="shared" si="111"/>
        <v>0D</v>
      </c>
      <c r="AA326" s="84" t="s">
        <v>5</v>
      </c>
      <c r="AC326" s="116">
        <v>8</v>
      </c>
      <c r="AD326" s="106"/>
      <c r="AE326" s="106"/>
      <c r="AF326" s="106"/>
    </row>
    <row r="327" spans="1:32" hidden="1" outlineLevel="1" x14ac:dyDescent="0.25">
      <c r="A327" s="400">
        <v>2</v>
      </c>
      <c r="C327" s="12" t="str">
        <f t="shared" si="108"/>
        <v>aa 00 04 E0 00 21 09 0E 55</v>
      </c>
      <c r="D327" s="438" t="s">
        <v>402</v>
      </c>
      <c r="E327" s="438"/>
      <c r="F327" s="438"/>
      <c r="G327" s="438"/>
      <c r="J327" s="84" t="s">
        <v>0</v>
      </c>
      <c r="K327" s="75" t="s">
        <v>1</v>
      </c>
      <c r="L327" s="75" t="str">
        <f t="shared" si="109"/>
        <v>04</v>
      </c>
      <c r="M327" s="76" t="s">
        <v>404</v>
      </c>
      <c r="N327" s="76" t="s">
        <v>1</v>
      </c>
      <c r="O327" s="113" t="s">
        <v>3</v>
      </c>
      <c r="P327" s="76" t="str">
        <f t="shared" si="110"/>
        <v>09</v>
      </c>
      <c r="Q327" s="114"/>
      <c r="R327" s="57"/>
      <c r="S327" s="57"/>
      <c r="T327" s="57"/>
      <c r="U327" s="57"/>
      <c r="V327" s="57"/>
      <c r="W327" s="57"/>
      <c r="X327" s="57"/>
      <c r="Y327" s="57"/>
      <c r="Z327" s="84" t="str">
        <f t="shared" si="111"/>
        <v>0E</v>
      </c>
      <c r="AA327" s="84" t="s">
        <v>5</v>
      </c>
      <c r="AC327" s="116">
        <v>9</v>
      </c>
      <c r="AD327" s="106"/>
      <c r="AE327" s="106"/>
      <c r="AF327" s="106"/>
    </row>
    <row r="328" spans="1:32" collapsed="1" x14ac:dyDescent="0.25"/>
    <row r="329" spans="1:32" x14ac:dyDescent="0.25">
      <c r="J329" s="435" t="s">
        <v>275</v>
      </c>
      <c r="K329" s="435"/>
      <c r="L329" s="435"/>
      <c r="M329" s="435"/>
      <c r="N329" s="435"/>
      <c r="O329" s="435"/>
      <c r="P329" s="435"/>
      <c r="Q329" s="435"/>
      <c r="R329" s="435"/>
      <c r="S329" s="435"/>
      <c r="T329" s="435"/>
      <c r="U329" s="435"/>
      <c r="V329" s="435"/>
      <c r="W329" s="435"/>
      <c r="X329" s="435"/>
      <c r="Y329" s="435"/>
      <c r="Z329" s="435"/>
      <c r="AA329" s="435"/>
    </row>
    <row r="330" spans="1:32" ht="16.8" x14ac:dyDescent="0.25">
      <c r="A330" s="330">
        <v>1</v>
      </c>
      <c r="D330" s="439" t="s">
        <v>778</v>
      </c>
      <c r="E330" s="439"/>
      <c r="F330" s="439"/>
      <c r="G330" s="439"/>
      <c r="J330" s="86" t="s">
        <v>77</v>
      </c>
      <c r="K330" s="384" t="s">
        <v>78</v>
      </c>
      <c r="L330" s="384" t="s">
        <v>10</v>
      </c>
      <c r="M330" s="384" t="s">
        <v>79</v>
      </c>
      <c r="N330" s="384" t="s">
        <v>80</v>
      </c>
      <c r="O330" s="384" t="s">
        <v>11</v>
      </c>
      <c r="P330" s="436" t="s">
        <v>83</v>
      </c>
      <c r="Q330" s="436"/>
      <c r="R330" s="436"/>
      <c r="S330" s="436"/>
      <c r="T330" s="436"/>
      <c r="U330" s="436"/>
      <c r="V330" s="436"/>
      <c r="W330" s="436"/>
      <c r="X330" s="436"/>
      <c r="Y330" s="436"/>
      <c r="Z330" s="83" t="s">
        <v>81</v>
      </c>
      <c r="AA330" s="83" t="s">
        <v>82</v>
      </c>
      <c r="AC330" s="45" t="s">
        <v>776</v>
      </c>
      <c r="AD330" s="45" t="s">
        <v>777</v>
      </c>
      <c r="AE330" s="45"/>
      <c r="AF330" s="45"/>
    </row>
    <row r="331" spans="1:32" x14ac:dyDescent="0.25">
      <c r="A331" s="338">
        <v>2</v>
      </c>
      <c r="C331" s="12" t="str">
        <f t="shared" ref="C331:C335" si="112">IF(ISBLANK(H331),,H331&amp;" ")&amp;IF(ISBLANK(I331),,I331&amp;" ")&amp;IF(ISBLANK(J331),,J331&amp;" ")&amp;IF(ISBLANK(K331),,K331&amp;" ")&amp;IF(ISBLANK(L331),,L331&amp;" ")&amp;IF(ISBLANK(M331),,M331&amp;" ")&amp;IF(ISBLANK(N331),,N331&amp;" ")&amp;IF(ISBLANK(O331),,O331&amp;" ")&amp;IF(ISBLANK(P331),,P331&amp;" ")&amp;IF(ISBLANK(Q331),,Q331&amp;" ")&amp;IF(ISBLANK(R331),,R331&amp;" ")&amp;IF(ISBLANK(S331),,S331&amp;" ")&amp;IF(ISBLANK(T331),,T331&amp;" ")&amp;IF(ISBLANK(U331),,U331&amp;" ")&amp;IF(ISBLANK(V331),,V331&amp;" ")&amp;IF(ISBLANK(W331),,W331&amp;" ")&amp;IF(ISBLANK(X331),,X331&amp;" ")&amp;IF(ISBLANK(Y331),,Y331&amp;" ")&amp;IF(ISBLANK(Z331),,Z331&amp;" ")&amp;IF(ISBLANK(AA331),,AA331)</f>
        <v>aa 00 07 64 00 11 27 10 03 E8 9E 55</v>
      </c>
      <c r="D331" s="440" t="s">
        <v>778</v>
      </c>
      <c r="E331" s="440"/>
      <c r="F331" s="440"/>
      <c r="G331" s="440"/>
      <c r="J331" s="84" t="s">
        <v>0</v>
      </c>
      <c r="K331" s="75" t="s">
        <v>1</v>
      </c>
      <c r="L331" s="75" t="str">
        <f>DEC2HEX( COUNTA(M331:Y331),2)</f>
        <v>07</v>
      </c>
      <c r="M331" s="76" t="s">
        <v>381</v>
      </c>
      <c r="N331" s="76" t="s">
        <v>1</v>
      </c>
      <c r="O331" s="76" t="s">
        <v>28</v>
      </c>
      <c r="P331" s="3" t="str">
        <f>LEFT(RIGHT(DEC2HEX(AC331,4),4),2)</f>
        <v>27</v>
      </c>
      <c r="Q331" s="3" t="str">
        <f>LEFT(RIGHT(DEC2HEX(AC331,4),2),2)</f>
        <v>10</v>
      </c>
      <c r="R331" s="3" t="str">
        <f>LEFT(RIGHT(DEC2HEX(AD331,4),4),2)</f>
        <v>03</v>
      </c>
      <c r="S331" s="3" t="str">
        <f>LEFT(RIGHT(DEC2HEX(AD331,4),2),2)</f>
        <v>E8</v>
      </c>
      <c r="T331" s="386"/>
      <c r="U331" s="386"/>
      <c r="V331" s="386"/>
      <c r="W331" s="386"/>
      <c r="X331" s="386"/>
      <c r="Y331" s="386"/>
      <c r="Z331" s="84" t="str">
        <f>DEC2HEX(MOD(HEX2DEC(K331)+HEX2DEC(L331)+HEX2DEC(M331)+HEX2DEC(N331)+HEX2DEC(O331)+HEX2DEC(P331)+HEX2DEC(Q331)+HEX2DEC(R331)+HEX2DEC(S331)+HEX2DEC(T331)+HEX2DEC(U331)+HEX2DEC(V331)+HEX2DEC(W331)+HEX2DEC(X331)+HEX2DEC(Y331),256),2)</f>
        <v>9E</v>
      </c>
      <c r="AA331" s="84" t="s">
        <v>5</v>
      </c>
      <c r="AC331" s="116">
        <v>10000</v>
      </c>
      <c r="AD331" s="116">
        <v>1000</v>
      </c>
      <c r="AE331" s="116"/>
      <c r="AF331" s="116"/>
    </row>
    <row r="332" spans="1:32" x14ac:dyDescent="0.25">
      <c r="A332" s="338">
        <v>2</v>
      </c>
      <c r="C332" s="12" t="str">
        <f t="shared" si="112"/>
        <v>aa 00 07 64 01 11 27 10 03 E8 9F 55</v>
      </c>
      <c r="D332" s="440" t="s">
        <v>778</v>
      </c>
      <c r="E332" s="440"/>
      <c r="F332" s="440"/>
      <c r="G332" s="440"/>
      <c r="J332" s="84" t="s">
        <v>0</v>
      </c>
      <c r="K332" s="75" t="s">
        <v>1</v>
      </c>
      <c r="L332" s="75" t="str">
        <f t="shared" ref="L332:L335" si="113">DEC2HEX( COUNTA(M332:Y332),2)</f>
        <v>07</v>
      </c>
      <c r="M332" s="76" t="s">
        <v>381</v>
      </c>
      <c r="N332" s="76" t="s">
        <v>14</v>
      </c>
      <c r="O332" s="76" t="s">
        <v>28</v>
      </c>
      <c r="P332" s="3" t="str">
        <f t="shared" ref="P332:P335" si="114">LEFT(RIGHT(DEC2HEX(AC332,4),4),2)</f>
        <v>27</v>
      </c>
      <c r="Q332" s="3" t="str">
        <f t="shared" ref="Q332:Q335" si="115">LEFT(RIGHT(DEC2HEX(AC332,4),2),2)</f>
        <v>10</v>
      </c>
      <c r="R332" s="3" t="str">
        <f t="shared" ref="R332:R335" si="116">LEFT(RIGHT(DEC2HEX(AD332,4),4),2)</f>
        <v>03</v>
      </c>
      <c r="S332" s="3" t="str">
        <f t="shared" ref="S332:S335" si="117">LEFT(RIGHT(DEC2HEX(AD332,4),2),2)</f>
        <v>E8</v>
      </c>
      <c r="T332" s="386"/>
      <c r="U332" s="386"/>
      <c r="V332" s="386"/>
      <c r="W332" s="386"/>
      <c r="X332" s="386"/>
      <c r="Y332" s="386"/>
      <c r="Z332" s="84" t="str">
        <f t="shared" ref="Z332:Z335" si="118">DEC2HEX(MOD(HEX2DEC(K332)+HEX2DEC(L332)+HEX2DEC(M332)+HEX2DEC(N332)+HEX2DEC(O332)+HEX2DEC(P332)+HEX2DEC(Q332)+HEX2DEC(R332)+HEX2DEC(S332)+HEX2DEC(T332)+HEX2DEC(U332)+HEX2DEC(V332)+HEX2DEC(W332)+HEX2DEC(X332)+HEX2DEC(Y332),256),2)</f>
        <v>9F</v>
      </c>
      <c r="AA332" s="84" t="s">
        <v>5</v>
      </c>
      <c r="AC332" s="116">
        <v>10000</v>
      </c>
      <c r="AD332" s="116">
        <v>1000</v>
      </c>
      <c r="AE332" s="116"/>
      <c r="AF332" s="116"/>
    </row>
    <row r="333" spans="1:32" x14ac:dyDescent="0.25">
      <c r="A333" s="338">
        <v>2</v>
      </c>
      <c r="C333" s="12" t="str">
        <f t="shared" si="112"/>
        <v>aa 00 07 64 02 11 27 10 03 E8 A0 55</v>
      </c>
      <c r="D333" s="440" t="s">
        <v>778</v>
      </c>
      <c r="E333" s="440"/>
      <c r="F333" s="440"/>
      <c r="G333" s="440"/>
      <c r="J333" s="84" t="s">
        <v>0</v>
      </c>
      <c r="K333" s="75" t="s">
        <v>1</v>
      </c>
      <c r="L333" s="75" t="str">
        <f t="shared" si="113"/>
        <v>07</v>
      </c>
      <c r="M333" s="76" t="s">
        <v>381</v>
      </c>
      <c r="N333" s="76" t="s">
        <v>15</v>
      </c>
      <c r="O333" s="76" t="s">
        <v>28</v>
      </c>
      <c r="P333" s="3" t="str">
        <f t="shared" si="114"/>
        <v>27</v>
      </c>
      <c r="Q333" s="3" t="str">
        <f t="shared" si="115"/>
        <v>10</v>
      </c>
      <c r="R333" s="3" t="str">
        <f t="shared" si="116"/>
        <v>03</v>
      </c>
      <c r="S333" s="3" t="str">
        <f t="shared" si="117"/>
        <v>E8</v>
      </c>
      <c r="T333" s="386"/>
      <c r="U333" s="386"/>
      <c r="V333" s="386"/>
      <c r="W333" s="386"/>
      <c r="X333" s="386"/>
      <c r="Y333" s="386"/>
      <c r="Z333" s="84" t="str">
        <f t="shared" si="118"/>
        <v>A0</v>
      </c>
      <c r="AA333" s="84" t="s">
        <v>5</v>
      </c>
      <c r="AC333" s="116">
        <v>10000</v>
      </c>
      <c r="AD333" s="116">
        <v>1000</v>
      </c>
      <c r="AE333" s="116"/>
      <c r="AF333" s="116"/>
    </row>
    <row r="334" spans="1:32" x14ac:dyDescent="0.25">
      <c r="A334" s="338">
        <v>2</v>
      </c>
      <c r="C334" s="12" t="str">
        <f t="shared" si="112"/>
        <v>aa 00 07 64 03 11 27 10 03 E8 A1 55</v>
      </c>
      <c r="D334" s="440" t="s">
        <v>778</v>
      </c>
      <c r="E334" s="440"/>
      <c r="F334" s="440"/>
      <c r="G334" s="440"/>
      <c r="J334" s="84" t="s">
        <v>0</v>
      </c>
      <c r="K334" s="75" t="s">
        <v>1</v>
      </c>
      <c r="L334" s="75" t="str">
        <f t="shared" si="113"/>
        <v>07</v>
      </c>
      <c r="M334" s="76" t="s">
        <v>381</v>
      </c>
      <c r="N334" s="76" t="s">
        <v>13</v>
      </c>
      <c r="O334" s="76" t="s">
        <v>28</v>
      </c>
      <c r="P334" s="3" t="str">
        <f t="shared" si="114"/>
        <v>27</v>
      </c>
      <c r="Q334" s="3" t="str">
        <f t="shared" si="115"/>
        <v>10</v>
      </c>
      <c r="R334" s="3" t="str">
        <f t="shared" si="116"/>
        <v>03</v>
      </c>
      <c r="S334" s="3" t="str">
        <f t="shared" si="117"/>
        <v>E8</v>
      </c>
      <c r="T334" s="386"/>
      <c r="U334" s="386"/>
      <c r="V334" s="386"/>
      <c r="W334" s="386"/>
      <c r="X334" s="386"/>
      <c r="Y334" s="386"/>
      <c r="Z334" s="84" t="str">
        <f t="shared" si="118"/>
        <v>A1</v>
      </c>
      <c r="AA334" s="84" t="s">
        <v>5</v>
      </c>
      <c r="AC334" s="116">
        <v>10000</v>
      </c>
      <c r="AD334" s="116">
        <v>1000</v>
      </c>
      <c r="AE334" s="116"/>
      <c r="AF334" s="116"/>
    </row>
    <row r="335" spans="1:32" x14ac:dyDescent="0.25">
      <c r="A335" s="338">
        <v>2</v>
      </c>
      <c r="C335" s="12" t="str">
        <f t="shared" si="112"/>
        <v>aa 00 07 64 04 11 27 10 03 E8 A2 55</v>
      </c>
      <c r="D335" s="440" t="s">
        <v>778</v>
      </c>
      <c r="E335" s="440"/>
      <c r="F335" s="440"/>
      <c r="G335" s="440"/>
      <c r="J335" s="84" t="s">
        <v>0</v>
      </c>
      <c r="K335" s="75" t="s">
        <v>1</v>
      </c>
      <c r="L335" s="75" t="str">
        <f t="shared" si="113"/>
        <v>07</v>
      </c>
      <c r="M335" s="76" t="s">
        <v>381</v>
      </c>
      <c r="N335" s="76" t="s">
        <v>18</v>
      </c>
      <c r="O335" s="76" t="s">
        <v>28</v>
      </c>
      <c r="P335" s="3" t="str">
        <f t="shared" si="114"/>
        <v>27</v>
      </c>
      <c r="Q335" s="3" t="str">
        <f t="shared" si="115"/>
        <v>10</v>
      </c>
      <c r="R335" s="3" t="str">
        <f t="shared" si="116"/>
        <v>03</v>
      </c>
      <c r="S335" s="3" t="str">
        <f t="shared" si="117"/>
        <v>E8</v>
      </c>
      <c r="T335" s="386"/>
      <c r="U335" s="386"/>
      <c r="V335" s="386"/>
      <c r="W335" s="386"/>
      <c r="X335" s="386"/>
      <c r="Y335" s="386"/>
      <c r="Z335" s="84" t="str">
        <f t="shared" si="118"/>
        <v>A2</v>
      </c>
      <c r="AA335" s="84" t="s">
        <v>5</v>
      </c>
      <c r="AC335" s="116">
        <v>10000</v>
      </c>
      <c r="AD335" s="116">
        <v>1000</v>
      </c>
      <c r="AE335" s="116"/>
      <c r="AF335" s="116"/>
    </row>
    <row r="337" spans="1:29" ht="15" thickBot="1" x14ac:dyDescent="0.3">
      <c r="C337" s="413"/>
    </row>
    <row r="340" spans="1:29" x14ac:dyDescent="0.25">
      <c r="A340" s="330">
        <v>1</v>
      </c>
      <c r="D340" s="395" t="s">
        <v>886</v>
      </c>
    </row>
    <row r="341" spans="1:29" ht="15" hidden="1" outlineLevel="1" thickBot="1" x14ac:dyDescent="0.3">
      <c r="A341" s="338">
        <v>2</v>
      </c>
      <c r="C341" s="12" t="str">
        <f>IF(ISBLANK(H341),,H341&amp;" ")&amp;IF(ISBLANK(I341),,I341&amp;" ")&amp;IF(ISBLANK(J341),,J341&amp;" ")&amp;IF(ISBLANK(K341),,K341&amp;" ")&amp;IF(ISBLANK(L341),,L341&amp;" ")&amp;IF(ISBLANK(M341),,M341&amp;" ")&amp;IF(ISBLANK(N341),,N341&amp;" ")&amp;IF(ISBLANK(O341),,O341&amp;" ")&amp;IF(ISBLANK(P341),,P341&amp;" ")&amp;IF(ISBLANK(Q341),,Q341&amp;" ")&amp;IF(ISBLANK(R341),,R341&amp;" ")&amp;IF(ISBLANK(S341),,S341&amp;" ")&amp;IF(ISBLANK(T341),,T341&amp;" ")&amp;IF(ISBLANK(U341),,U341&amp;" ")&amp;IF(ISBLANK(V341),,V341&amp;" ")&amp;IF(ISBLANK(W341),,W341&amp;" ")&amp;IF(ISBLANK(X341),,X341&amp;" ")&amp;IF(ISBLANK(Y341),,Y341&amp;" ")&amp;IF(ISBLANK(Z341),,Z341&amp;" ")&amp;IF(ISBLANK(AA341),,AA341&amp;" ")&amp;IF(ISBLANK(AB341),,AB341&amp;" ")&amp;IF(ISBLANK(AC341),,AC341)</f>
        <v>aa 00 04 62 00 00 00 66 55</v>
      </c>
      <c r="D341" s="395" t="s">
        <v>966</v>
      </c>
      <c r="J341" s="18" t="s">
        <v>0</v>
      </c>
      <c r="K341" s="18" t="s">
        <v>1</v>
      </c>
      <c r="L341" s="46" t="str">
        <f>DEC2HEX( COUNTA(M341:AA341),2)</f>
        <v>04</v>
      </c>
      <c r="M341" s="19" t="s">
        <v>112</v>
      </c>
      <c r="N341" s="19" t="s">
        <v>1</v>
      </c>
      <c r="O341" s="19" t="s">
        <v>1</v>
      </c>
      <c r="P341" s="489" t="s">
        <v>1</v>
      </c>
      <c r="Q341" s="490"/>
      <c r="R341" s="490"/>
      <c r="S341" s="490"/>
      <c r="T341" s="490"/>
      <c r="U341" s="490"/>
      <c r="V341" s="490"/>
      <c r="W341" s="490"/>
      <c r="X341" s="490"/>
      <c r="Y341" s="490"/>
      <c r="Z341" s="490"/>
      <c r="AA341" s="491"/>
      <c r="AB341" s="85" t="str">
        <f>DEC2HEX(MOD(HEX2DEC(K341)+HEX2DEC(L341)+HEX2DEC(M341)+HEX2DEC(N341)+HEX2DEC(O341)+HEX2DEC(P341)+HEX2DEC(Q341)+HEX2DEC(R341)+HEX2DEC(S341)+HEX2DEC(T341)+HEX2DEC(U341)+HEX2DEC(V341)+HEX2DEC(W341)+HEX2DEC(Z341)+HEX2DEC(AA341),256),2)</f>
        <v>66</v>
      </c>
      <c r="AC341" s="18" t="s">
        <v>5</v>
      </c>
    </row>
    <row r="342" spans="1:29" hidden="1" outlineLevel="1" x14ac:dyDescent="0.25">
      <c r="A342" s="338"/>
      <c r="C342" s="411"/>
      <c r="D342" s="395"/>
      <c r="J342" s="492"/>
      <c r="K342" s="493"/>
      <c r="L342" s="493"/>
      <c r="M342" s="493"/>
      <c r="N342" s="493"/>
      <c r="O342" s="493"/>
      <c r="P342" s="493"/>
      <c r="Q342" s="493"/>
      <c r="R342" s="493"/>
      <c r="S342" s="493"/>
      <c r="T342" s="493"/>
      <c r="U342" s="493"/>
      <c r="V342" s="493"/>
      <c r="W342" s="493"/>
      <c r="X342" s="493"/>
      <c r="Y342" s="493"/>
      <c r="Z342" s="493"/>
      <c r="AA342" s="493"/>
      <c r="AB342" s="493"/>
      <c r="AC342" s="494"/>
    </row>
    <row r="343" spans="1:29" ht="15" hidden="1" outlineLevel="1" thickBot="1" x14ac:dyDescent="0.3">
      <c r="A343" s="338">
        <v>2</v>
      </c>
      <c r="C343" s="12" t="str">
        <f>IF(ISBLANK(H343),,H343&amp;" ")&amp;IF(ISBLANK(I343),,I343&amp;" ")&amp;IF(ISBLANK(J343),,J343&amp;" ")&amp;IF(ISBLANK(K343),,K343&amp;" ")&amp;IF(ISBLANK(L343),,L343&amp;" ")&amp;IF(ISBLANK(M343),,M343&amp;" ")&amp;IF(ISBLANK(N343),,N343&amp;" ")&amp;IF(ISBLANK(O343),,O343&amp;" ")&amp;IF(ISBLANK(P343),,P343&amp;" ")&amp;IF(ISBLANK(Q343),,Q343&amp;" ")&amp;IF(ISBLANK(R343),,R343&amp;" ")&amp;IF(ISBLANK(S343),,S343&amp;" ")&amp;IF(ISBLANK(T343),,T343&amp;" ")&amp;IF(ISBLANK(U343),,U343&amp;" ")&amp;IF(ISBLANK(V343),,V343&amp;" ")&amp;IF(ISBLANK(W343),,W343&amp;" ")&amp;IF(ISBLANK(X343),,X343&amp;" ")&amp;IF(ISBLANK(Y343),,Y343&amp;" ")&amp;IF(ISBLANK(Z343),,Z343&amp;" ")&amp;IF(ISBLANK(AA343),,AA343&amp;" ")&amp;IF(ISBLANK(AB343),,AB343&amp;" ")&amp;IF(ISBLANK(AC343),,AC343)</f>
        <v>aa 00 04 62 01 01 00 68 55</v>
      </c>
      <c r="D343" s="395" t="s">
        <v>968</v>
      </c>
      <c r="J343" s="18" t="s">
        <v>0</v>
      </c>
      <c r="K343" s="18" t="s">
        <v>1</v>
      </c>
      <c r="L343" s="46" t="str">
        <f>DEC2HEX( COUNTA(M343:AA343),2)</f>
        <v>04</v>
      </c>
      <c r="M343" s="19" t="s">
        <v>112</v>
      </c>
      <c r="N343" s="19" t="s">
        <v>4</v>
      </c>
      <c r="O343" s="19" t="s">
        <v>4</v>
      </c>
      <c r="P343" s="489" t="s">
        <v>1</v>
      </c>
      <c r="Q343" s="490"/>
      <c r="R343" s="490"/>
      <c r="S343" s="490"/>
      <c r="T343" s="490"/>
      <c r="U343" s="490"/>
      <c r="V343" s="490"/>
      <c r="W343" s="490"/>
      <c r="X343" s="490"/>
      <c r="Y343" s="490"/>
      <c r="Z343" s="490"/>
      <c r="AA343" s="491"/>
      <c r="AB343" s="85" t="str">
        <f>DEC2HEX(MOD(HEX2DEC(K343)+HEX2DEC(L343)+HEX2DEC(M343)+HEX2DEC(N343)+HEX2DEC(O343)+HEX2DEC(P343)+HEX2DEC(Q343)+HEX2DEC(R343)+HEX2DEC(S343)+HEX2DEC(T343)+HEX2DEC(U343)+HEX2DEC(V343)+HEX2DEC(W343)+HEX2DEC(Z343)+HEX2DEC(AA343),256),2)</f>
        <v>68</v>
      </c>
      <c r="AC343" s="18" t="s">
        <v>5</v>
      </c>
    </row>
    <row r="344" spans="1:29" ht="15" hidden="1" outlineLevel="1" thickBot="1" x14ac:dyDescent="0.3">
      <c r="A344" s="338">
        <v>2</v>
      </c>
      <c r="C344" s="12" t="str">
        <f t="shared" ref="C344:C364" si="119">IF(ISBLANK(H344),,H344&amp;" ")&amp;IF(ISBLANK(I344),,I344&amp;" ")&amp;IF(ISBLANK(J344),,J344&amp;" ")&amp;IF(ISBLANK(K344),,K344&amp;" ")&amp;IF(ISBLANK(L344),,L344&amp;" ")&amp;IF(ISBLANK(M344),,M344&amp;" ")&amp;IF(ISBLANK(N344),,N344&amp;" ")&amp;IF(ISBLANK(O344),,O344&amp;" ")&amp;IF(ISBLANK(P344),,P344&amp;" ")&amp;IF(ISBLANK(Q344),,Q344&amp;" ")&amp;IF(ISBLANK(R344),,R344&amp;" ")&amp;IF(ISBLANK(S344),,S344&amp;" ")&amp;IF(ISBLANK(T344),,T344&amp;" ")&amp;IF(ISBLANK(U344),,U344&amp;" ")&amp;IF(ISBLANK(V344),,V344&amp;" ")&amp;IF(ISBLANK(W344),,W344&amp;" ")&amp;IF(ISBLANK(X344),,X344&amp;" ")&amp;IF(ISBLANK(Y344),,Y344&amp;" ")&amp;IF(ISBLANK(Z344),,Z344&amp;" ")&amp;IF(ISBLANK(AA344),,AA344&amp;" ")&amp;IF(ISBLANK(AB344),,AB344&amp;" ")&amp;IF(ISBLANK(AC344),,AC344)</f>
        <v>aa 00 04 62 01 01 01 69 55</v>
      </c>
      <c r="D344" s="395"/>
      <c r="J344" s="18" t="s">
        <v>0</v>
      </c>
      <c r="K344" s="18" t="s">
        <v>1</v>
      </c>
      <c r="L344" s="46" t="str">
        <f>DEC2HEX( COUNTA(M344:AA344),2)</f>
        <v>04</v>
      </c>
      <c r="M344" s="19" t="s">
        <v>112</v>
      </c>
      <c r="N344" s="19" t="s">
        <v>4</v>
      </c>
      <c r="O344" s="19" t="s">
        <v>4</v>
      </c>
      <c r="P344" s="489" t="s">
        <v>4</v>
      </c>
      <c r="Q344" s="490"/>
      <c r="R344" s="490"/>
      <c r="S344" s="490"/>
      <c r="T344" s="490"/>
      <c r="U344" s="490"/>
      <c r="V344" s="490"/>
      <c r="W344" s="490"/>
      <c r="X344" s="490"/>
      <c r="Y344" s="490"/>
      <c r="Z344" s="490"/>
      <c r="AA344" s="491"/>
      <c r="AB344" s="85" t="str">
        <f>DEC2HEX(MOD(HEX2DEC(K344)+HEX2DEC(L344)+HEX2DEC(M344)+HEX2DEC(N344)+HEX2DEC(O344)+HEX2DEC(P344)+HEX2DEC(Q344)+HEX2DEC(R344)+HEX2DEC(S344)+HEX2DEC(T344)+HEX2DEC(U344)+HEX2DEC(V344)+HEX2DEC(W344)+HEX2DEC(Z344)+HEX2DEC(AA344),256),2)</f>
        <v>69</v>
      </c>
      <c r="AC344" s="18" t="s">
        <v>5</v>
      </c>
    </row>
    <row r="345" spans="1:29" hidden="1" outlineLevel="1" x14ac:dyDescent="0.25">
      <c r="A345" s="338"/>
      <c r="C345" s="12" t="str">
        <f t="shared" si="119"/>
        <v/>
      </c>
      <c r="D345" s="395"/>
      <c r="J345" s="387"/>
      <c r="K345" s="387"/>
      <c r="L345" s="387"/>
      <c r="M345" s="79"/>
      <c r="N345" s="79"/>
      <c r="O345" s="79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87"/>
      <c r="AC345" s="387"/>
    </row>
    <row r="346" spans="1:29" hidden="1" outlineLevel="1" x14ac:dyDescent="0.25">
      <c r="A346" s="338"/>
      <c r="C346" s="12" t="str">
        <f t="shared" si="119"/>
        <v/>
      </c>
      <c r="D346" s="395"/>
      <c r="K346" s="178"/>
      <c r="L346" s="178"/>
      <c r="M346" s="178"/>
      <c r="N346" s="178"/>
      <c r="O346" s="178"/>
      <c r="P346" s="178"/>
      <c r="Q346" s="178"/>
      <c r="R346" s="178"/>
      <c r="S346" s="178"/>
      <c r="T346" s="178"/>
      <c r="U346" s="178"/>
      <c r="V346" s="178"/>
      <c r="W346" s="178"/>
      <c r="X346" s="178"/>
      <c r="Y346" s="178"/>
      <c r="Z346" s="178"/>
      <c r="AA346" s="178"/>
      <c r="AB346" s="178"/>
      <c r="AC346" s="178"/>
    </row>
    <row r="347" spans="1:29" ht="15" hidden="1" outlineLevel="1" thickBot="1" x14ac:dyDescent="0.3">
      <c r="A347" s="338">
        <v>2</v>
      </c>
      <c r="C347" s="12" t="str">
        <f t="shared" si="119"/>
        <v>aa 00 03 62 00 10 75 55</v>
      </c>
      <c r="D347" s="395" t="s">
        <v>881</v>
      </c>
      <c r="J347" s="18" t="s">
        <v>0</v>
      </c>
      <c r="K347" s="18" t="s">
        <v>1</v>
      </c>
      <c r="L347" s="46" t="str">
        <f t="shared" ref="L347:L351" si="120">DEC2HEX( COUNTA(M347:AA347),2)</f>
        <v>03</v>
      </c>
      <c r="M347" s="19" t="s">
        <v>112</v>
      </c>
      <c r="N347" s="19" t="s">
        <v>1</v>
      </c>
      <c r="O347" s="19" t="s">
        <v>70</v>
      </c>
      <c r="P347" s="107"/>
      <c r="Q347" s="107"/>
      <c r="R347" s="107"/>
      <c r="S347" s="107"/>
      <c r="T347" s="107"/>
      <c r="U347" s="107"/>
      <c r="V347" s="107"/>
      <c r="W347" s="107"/>
      <c r="X347" s="107"/>
      <c r="Y347" s="107"/>
      <c r="Z347" s="107"/>
      <c r="AA347" s="107"/>
      <c r="AB347" s="85" t="str">
        <f>DEC2HEX(MOD(HEX2DEC(K347)+HEX2DEC(L347)+HEX2DEC(M347)+HEX2DEC(N347)+HEX2DEC(O347)+HEX2DEC(P347)+HEX2DEC(Q347)+HEX2DEC(R347)+HEX2DEC(S347)+HEX2DEC(T347)+HEX2DEC(U347)+HEX2DEC(V347)+HEX2DEC(W347)+HEX2DEC(Z347)+HEX2DEC(AA347),256),2)</f>
        <v>75</v>
      </c>
      <c r="AC347" s="18" t="s">
        <v>5</v>
      </c>
    </row>
    <row r="348" spans="1:29" ht="15" hidden="1" outlineLevel="1" thickBot="1" x14ac:dyDescent="0.3">
      <c r="A348" s="338">
        <v>2</v>
      </c>
      <c r="C348" s="12" t="str">
        <f t="shared" si="119"/>
        <v>aa 00 03 62 01 10 76 55</v>
      </c>
      <c r="D348" s="395" t="s">
        <v>882</v>
      </c>
      <c r="J348" s="18" t="s">
        <v>0</v>
      </c>
      <c r="K348" s="18" t="s">
        <v>1</v>
      </c>
      <c r="L348" s="46" t="str">
        <f t="shared" si="120"/>
        <v>03</v>
      </c>
      <c r="M348" s="19" t="s">
        <v>112</v>
      </c>
      <c r="N348" s="19" t="s">
        <v>14</v>
      </c>
      <c r="O348" s="19" t="s">
        <v>70</v>
      </c>
      <c r="P348" s="107"/>
      <c r="Q348" s="107"/>
      <c r="R348" s="107"/>
      <c r="S348" s="107"/>
      <c r="T348" s="107"/>
      <c r="U348" s="107"/>
      <c r="V348" s="107"/>
      <c r="W348" s="107"/>
      <c r="X348" s="107"/>
      <c r="Y348" s="107"/>
      <c r="Z348" s="107"/>
      <c r="AA348" s="107"/>
      <c r="AB348" s="85" t="str">
        <f>DEC2HEX(MOD(HEX2DEC(K348)+HEX2DEC(L348)+HEX2DEC(M348)+HEX2DEC(N348)+HEX2DEC(O348)+HEX2DEC(P348)+HEX2DEC(Q348)+HEX2DEC(R348)+HEX2DEC(S348)+HEX2DEC(T348)+HEX2DEC(U348)+HEX2DEC(V348)+HEX2DEC(W348)+HEX2DEC(Z348)+HEX2DEC(AA348),256),2)</f>
        <v>76</v>
      </c>
      <c r="AC348" s="18" t="s">
        <v>5</v>
      </c>
    </row>
    <row r="349" spans="1:29" ht="15" hidden="1" outlineLevel="1" thickBot="1" x14ac:dyDescent="0.3">
      <c r="A349" s="338">
        <v>2</v>
      </c>
      <c r="C349" s="12" t="str">
        <f t="shared" si="119"/>
        <v>aa 00 03 62 02 10 77 55</v>
      </c>
      <c r="D349" s="395" t="s">
        <v>883</v>
      </c>
      <c r="J349" s="18" t="s">
        <v>0</v>
      </c>
      <c r="K349" s="18" t="s">
        <v>1</v>
      </c>
      <c r="L349" s="46" t="str">
        <f t="shared" si="120"/>
        <v>03</v>
      </c>
      <c r="M349" s="19" t="s">
        <v>112</v>
      </c>
      <c r="N349" s="19" t="s">
        <v>15</v>
      </c>
      <c r="O349" s="19" t="s">
        <v>70</v>
      </c>
      <c r="P349" s="107"/>
      <c r="Q349" s="107"/>
      <c r="R349" s="107"/>
      <c r="S349" s="107"/>
      <c r="T349" s="107"/>
      <c r="U349" s="107"/>
      <c r="V349" s="107"/>
      <c r="W349" s="107"/>
      <c r="X349" s="107"/>
      <c r="Y349" s="107"/>
      <c r="Z349" s="107"/>
      <c r="AA349" s="107"/>
      <c r="AB349" s="85" t="str">
        <f>DEC2HEX(MOD(HEX2DEC(K349)+HEX2DEC(L349)+HEX2DEC(M349)+HEX2DEC(N349)+HEX2DEC(O349)+HEX2DEC(P349)+HEX2DEC(Q349)+HEX2DEC(R349)+HEX2DEC(S349)+HEX2DEC(T349)+HEX2DEC(U349)+HEX2DEC(V349)+HEX2DEC(W349)+HEX2DEC(Z349)+HEX2DEC(AA349),256),2)</f>
        <v>77</v>
      </c>
      <c r="AC349" s="18" t="s">
        <v>5</v>
      </c>
    </row>
    <row r="350" spans="1:29" ht="15" hidden="1" outlineLevel="1" thickBot="1" x14ac:dyDescent="0.3">
      <c r="A350" s="338">
        <v>2</v>
      </c>
      <c r="C350" s="12" t="str">
        <f t="shared" si="119"/>
        <v>aa 00 03 62 03 10 78 55</v>
      </c>
      <c r="D350" s="395" t="s">
        <v>885</v>
      </c>
      <c r="J350" s="18" t="s">
        <v>0</v>
      </c>
      <c r="K350" s="18" t="s">
        <v>1</v>
      </c>
      <c r="L350" s="46" t="str">
        <f t="shared" si="120"/>
        <v>03</v>
      </c>
      <c r="M350" s="19" t="s">
        <v>112</v>
      </c>
      <c r="N350" s="19" t="s">
        <v>13</v>
      </c>
      <c r="O350" s="19" t="s">
        <v>70</v>
      </c>
      <c r="P350" s="107"/>
      <c r="Q350" s="107"/>
      <c r="R350" s="107"/>
      <c r="S350" s="107"/>
      <c r="T350" s="107"/>
      <c r="U350" s="107"/>
      <c r="V350" s="107"/>
      <c r="W350" s="107"/>
      <c r="X350" s="107"/>
      <c r="Y350" s="107"/>
      <c r="Z350" s="107"/>
      <c r="AA350" s="107"/>
      <c r="AB350" s="85" t="str">
        <f>DEC2HEX(MOD(HEX2DEC(K350)+HEX2DEC(L350)+HEX2DEC(M350)+HEX2DEC(N350)+HEX2DEC(O350)+HEX2DEC(P350)+HEX2DEC(Q350)+HEX2DEC(R350)+HEX2DEC(S350)+HEX2DEC(T350)+HEX2DEC(U350)+HEX2DEC(V350)+HEX2DEC(W350)+HEX2DEC(Z350)+HEX2DEC(AA350),256),2)</f>
        <v>78</v>
      </c>
      <c r="AC350" s="18" t="s">
        <v>5</v>
      </c>
    </row>
    <row r="351" spans="1:29" ht="15" hidden="1" outlineLevel="1" thickBot="1" x14ac:dyDescent="0.3">
      <c r="A351" s="338">
        <v>2</v>
      </c>
      <c r="C351" s="12" t="str">
        <f t="shared" si="119"/>
        <v>aa 00 03 62 04 10 79 55</v>
      </c>
      <c r="D351" s="395" t="s">
        <v>884</v>
      </c>
      <c r="J351" s="18" t="s">
        <v>0</v>
      </c>
      <c r="K351" s="18" t="s">
        <v>1</v>
      </c>
      <c r="L351" s="46" t="str">
        <f t="shared" si="120"/>
        <v>03</v>
      </c>
      <c r="M351" s="19" t="s">
        <v>112</v>
      </c>
      <c r="N351" s="19" t="s">
        <v>18</v>
      </c>
      <c r="O351" s="19" t="s">
        <v>70</v>
      </c>
      <c r="P351" s="107"/>
      <c r="Q351" s="107"/>
      <c r="R351" s="107"/>
      <c r="S351" s="107"/>
      <c r="T351" s="107"/>
      <c r="U351" s="107"/>
      <c r="V351" s="107"/>
      <c r="W351" s="107"/>
      <c r="X351" s="107"/>
      <c r="Y351" s="107"/>
      <c r="Z351" s="107"/>
      <c r="AA351" s="107"/>
      <c r="AB351" s="85" t="str">
        <f>DEC2HEX(MOD(HEX2DEC(K351)+HEX2DEC(L351)+HEX2DEC(M351)+HEX2DEC(N351)+HEX2DEC(O351)+HEX2DEC(P351)+HEX2DEC(Q351)+HEX2DEC(R351)+HEX2DEC(S351)+HEX2DEC(T351)+HEX2DEC(U351)+HEX2DEC(V351)+HEX2DEC(W351)+HEX2DEC(Z351)+HEX2DEC(AA351),256),2)</f>
        <v>79</v>
      </c>
      <c r="AC351" s="18" t="s">
        <v>5</v>
      </c>
    </row>
    <row r="352" spans="1:29" hidden="1" outlineLevel="1" x14ac:dyDescent="0.25">
      <c r="C352" s="12" t="str">
        <f t="shared" si="119"/>
        <v/>
      </c>
    </row>
    <row r="353" spans="1:33" ht="15" hidden="1" outlineLevel="1" thickBot="1" x14ac:dyDescent="0.3">
      <c r="A353" s="338">
        <v>2</v>
      </c>
      <c r="C353" s="12" t="str">
        <f t="shared" si="119"/>
        <v>aa 00 03 62 00 11 76 55</v>
      </c>
      <c r="D353" s="395" t="s">
        <v>949</v>
      </c>
      <c r="J353" s="18" t="s">
        <v>0</v>
      </c>
      <c r="K353" s="18" t="s">
        <v>1</v>
      </c>
      <c r="L353" s="46" t="str">
        <f>DEC2HEX( COUNTA(M353:AA353),2)</f>
        <v>03</v>
      </c>
      <c r="M353" s="19" t="s">
        <v>112</v>
      </c>
      <c r="N353" s="19" t="s">
        <v>1</v>
      </c>
      <c r="O353" s="19" t="s">
        <v>28</v>
      </c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8"/>
      <c r="AB353" s="85" t="str">
        <f>DEC2HEX(MOD(HEX2DEC(K353)+HEX2DEC(L353)+HEX2DEC(M353)+HEX2DEC(N353)+HEX2DEC(O353)+HEX2DEC(P353)+HEX2DEC(Q353)+HEX2DEC(R353)+HEX2DEC(S353)+HEX2DEC(T353)+HEX2DEC(U353)+HEX2DEC(V353)+HEX2DEC(W353)+HEX2DEC(Z353)+HEX2DEC(AA353),256),2)</f>
        <v>76</v>
      </c>
      <c r="AC353" s="18" t="s">
        <v>5</v>
      </c>
    </row>
    <row r="354" spans="1:33" ht="15" hidden="1" outlineLevel="1" thickBot="1" x14ac:dyDescent="0.3">
      <c r="A354" s="338">
        <v>2</v>
      </c>
      <c r="C354" s="12" t="str">
        <f t="shared" ref="C354" si="121">IF(ISBLANK(H354),,H354&amp;" ")&amp;IF(ISBLANK(I354),,I354&amp;" ")&amp;IF(ISBLANK(J354),,J354&amp;" ")&amp;IF(ISBLANK(K354),,K354&amp;" ")&amp;IF(ISBLANK(L354),,L354&amp;" ")&amp;IF(ISBLANK(M354),,M354&amp;" ")&amp;IF(ISBLANK(N354),,N354&amp;" ")&amp;IF(ISBLANK(O354),,O354&amp;" ")&amp;IF(ISBLANK(P354),,P354&amp;" ")&amp;IF(ISBLANK(Q354),,Q354&amp;" ")&amp;IF(ISBLANK(R354),,R354&amp;" ")&amp;IF(ISBLANK(S354),,S354&amp;" ")&amp;IF(ISBLANK(T354),,T354&amp;" ")&amp;IF(ISBLANK(U354),,U354&amp;" ")&amp;IF(ISBLANK(V354),,V354&amp;" ")&amp;IF(ISBLANK(W354),,W354&amp;" ")&amp;IF(ISBLANK(X354),,X354&amp;" ")&amp;IF(ISBLANK(Y354),,Y354&amp;" ")&amp;IF(ISBLANK(Z354),,Z354&amp;" ")&amp;IF(ISBLANK(AA354),,AA354&amp;" ")&amp;IF(ISBLANK(AB354),,AB354&amp;" ")&amp;IF(ISBLANK(AC354),,AC354)</f>
        <v>aa 00 03 62 00 12 77 55</v>
      </c>
      <c r="D354" s="395" t="s">
        <v>969</v>
      </c>
      <c r="J354" s="18" t="s">
        <v>0</v>
      </c>
      <c r="K354" s="18" t="s">
        <v>1</v>
      </c>
      <c r="L354" s="46" t="str">
        <f>DEC2HEX( COUNTA(M354:AA354),2)</f>
        <v>03</v>
      </c>
      <c r="M354" s="19" t="s">
        <v>112</v>
      </c>
      <c r="N354" s="19" t="s">
        <v>1</v>
      </c>
      <c r="O354" s="19" t="s">
        <v>17</v>
      </c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8"/>
      <c r="AB354" s="85" t="str">
        <f>DEC2HEX(MOD(HEX2DEC(K354)+HEX2DEC(L354)+HEX2DEC(M354)+HEX2DEC(N354)+HEX2DEC(O354)+HEX2DEC(P354)+HEX2DEC(Q354)+HEX2DEC(R354)+HEX2DEC(S354)+HEX2DEC(T354)+HEX2DEC(U354)+HEX2DEC(V354)+HEX2DEC(W354)+HEX2DEC(Z354)+HEX2DEC(AA354),256),2)</f>
        <v>77</v>
      </c>
      <c r="AC354" s="18" t="s">
        <v>5</v>
      </c>
    </row>
    <row r="355" spans="1:33" ht="15" hidden="1" outlineLevel="1" thickBot="1" x14ac:dyDescent="0.3">
      <c r="A355" s="338">
        <v>2</v>
      </c>
      <c r="C355" s="12" t="str">
        <f t="shared" ref="C355" si="122">IF(ISBLANK(H355),,H355&amp;" ")&amp;IF(ISBLANK(I355),,I355&amp;" ")&amp;IF(ISBLANK(J355),,J355&amp;" ")&amp;IF(ISBLANK(K355),,K355&amp;" ")&amp;IF(ISBLANK(L355),,L355&amp;" ")&amp;IF(ISBLANK(M355),,M355&amp;" ")&amp;IF(ISBLANK(N355),,N355&amp;" ")&amp;IF(ISBLANK(O355),,O355&amp;" ")&amp;IF(ISBLANK(P355),,P355&amp;" ")&amp;IF(ISBLANK(Q355),,Q355&amp;" ")&amp;IF(ISBLANK(R355),,R355&amp;" ")&amp;IF(ISBLANK(S355),,S355&amp;" ")&amp;IF(ISBLANK(T355),,T355&amp;" ")&amp;IF(ISBLANK(U355),,U355&amp;" ")&amp;IF(ISBLANK(V355),,V355&amp;" ")&amp;IF(ISBLANK(W355),,W355&amp;" ")&amp;IF(ISBLANK(X355),,X355&amp;" ")&amp;IF(ISBLANK(Y355),,Y355&amp;" ")&amp;IF(ISBLANK(Z355),,Z355&amp;" ")&amp;IF(ISBLANK(AA355),,AA355&amp;" ")&amp;IF(ISBLANK(AB355),,AB355&amp;" ")&amp;IF(ISBLANK(AC355),,AC355)</f>
        <v>aa 00 03 62 00 13 78 55</v>
      </c>
      <c r="D355" s="395" t="s">
        <v>970</v>
      </c>
      <c r="J355" s="18" t="s">
        <v>0</v>
      </c>
      <c r="K355" s="18" t="s">
        <v>1</v>
      </c>
      <c r="L355" s="46" t="str">
        <f>DEC2HEX( COUNTA(M355:AA355),2)</f>
        <v>03</v>
      </c>
      <c r="M355" s="19" t="s">
        <v>112</v>
      </c>
      <c r="N355" s="19" t="s">
        <v>1</v>
      </c>
      <c r="O355" s="19" t="s">
        <v>377</v>
      </c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8"/>
      <c r="AB355" s="85" t="str">
        <f>DEC2HEX(MOD(HEX2DEC(K355)+HEX2DEC(L355)+HEX2DEC(M355)+HEX2DEC(N355)+HEX2DEC(O355)+HEX2DEC(P355)+HEX2DEC(Q355)+HEX2DEC(R355)+HEX2DEC(S355)+HEX2DEC(T355)+HEX2DEC(U355)+HEX2DEC(V355)+HEX2DEC(W355)+HEX2DEC(Z355)+HEX2DEC(AA355),256),2)</f>
        <v>78</v>
      </c>
      <c r="AC355" s="18" t="s">
        <v>5</v>
      </c>
    </row>
    <row r="356" spans="1:33" ht="15" hidden="1" outlineLevel="1" thickBot="1" x14ac:dyDescent="0.3">
      <c r="A356" s="338">
        <v>2</v>
      </c>
      <c r="C356" s="12" t="str">
        <f t="shared" si="119"/>
        <v>aa 00 05 62 00 20 11 94 2C 55</v>
      </c>
      <c r="D356" s="395" t="s">
        <v>893</v>
      </c>
      <c r="J356" s="18" t="s">
        <v>0</v>
      </c>
      <c r="K356" s="18" t="s">
        <v>1</v>
      </c>
      <c r="L356" s="46" t="str">
        <f t="shared" ref="L356:L362" si="123">DEC2HEX( COUNTA(M356:AA356),2)</f>
        <v>05</v>
      </c>
      <c r="M356" s="19" t="s">
        <v>112</v>
      </c>
      <c r="N356" s="19" t="s">
        <v>1</v>
      </c>
      <c r="O356" s="19" t="s">
        <v>53</v>
      </c>
      <c r="P356" s="3" t="str">
        <f>LEFT(RIGHT(DEC2HEX(AE356,4),4),2)</f>
        <v>11</v>
      </c>
      <c r="Q356" s="3" t="str">
        <f>LEFT(RIGHT(DEC2HEX(AE356,4),2),2)</f>
        <v>94</v>
      </c>
      <c r="R356" s="28"/>
      <c r="S356" s="28"/>
      <c r="T356" s="28"/>
      <c r="U356" s="28"/>
      <c r="V356" s="28"/>
      <c r="W356" s="28"/>
      <c r="X356" s="28"/>
      <c r="Y356" s="28"/>
      <c r="Z356" s="28"/>
      <c r="AA356" s="28"/>
      <c r="AB356" s="85" t="str">
        <f>DEC2HEX(MOD(HEX2DEC(K356)+HEX2DEC(L356)+HEX2DEC(M356)+HEX2DEC(N356)+HEX2DEC(O356)+HEX2DEC(P356)+HEX2DEC(Q356)+HEX2DEC(R356)+HEX2DEC(S356)+HEX2DEC(T356)+HEX2DEC(U356)+HEX2DEC(V356)+HEX2DEC(W356)+HEX2DEC(Z356)+HEX2DEC(AA356),256),2)</f>
        <v>2C</v>
      </c>
      <c r="AC356" s="18" t="s">
        <v>5</v>
      </c>
      <c r="AE356" s="405">
        <v>4500</v>
      </c>
      <c r="AF356" s="405"/>
      <c r="AG356" s="405"/>
    </row>
    <row r="357" spans="1:33" ht="15" hidden="1" outlineLevel="1" thickBot="1" x14ac:dyDescent="0.3">
      <c r="A357" s="338">
        <v>2</v>
      </c>
      <c r="C357" s="12" t="str">
        <f t="shared" si="119"/>
        <v>aa 00 05 62 01 20 05 DC 69 55</v>
      </c>
      <c r="D357" s="395" t="s">
        <v>887</v>
      </c>
      <c r="J357" s="18" t="s">
        <v>0</v>
      </c>
      <c r="K357" s="18" t="s">
        <v>1</v>
      </c>
      <c r="L357" s="46" t="str">
        <f t="shared" si="123"/>
        <v>05</v>
      </c>
      <c r="M357" s="19" t="s">
        <v>112</v>
      </c>
      <c r="N357" s="19" t="s">
        <v>14</v>
      </c>
      <c r="O357" s="19" t="s">
        <v>53</v>
      </c>
      <c r="P357" s="3" t="str">
        <f t="shared" ref="P357:P362" si="124">LEFT(RIGHT(DEC2HEX(AE357,4),4),2)</f>
        <v>05</v>
      </c>
      <c r="Q357" s="3" t="str">
        <f t="shared" ref="Q357:Q362" si="125">LEFT(RIGHT(DEC2HEX(AE357,4),2),2)</f>
        <v>DC</v>
      </c>
      <c r="R357" s="28"/>
      <c r="S357" s="28"/>
      <c r="T357" s="28"/>
      <c r="U357" s="28"/>
      <c r="V357" s="28"/>
      <c r="W357" s="28"/>
      <c r="X357" s="28"/>
      <c r="Y357" s="28"/>
      <c r="Z357" s="28"/>
      <c r="AA357" s="28"/>
      <c r="AB357" s="85" t="str">
        <f t="shared" ref="AB357:AB362" si="126">DEC2HEX(MOD(HEX2DEC(K357)+HEX2DEC(L357)+HEX2DEC(M357)+HEX2DEC(N357)+HEX2DEC(O357)+HEX2DEC(P357)+HEX2DEC(Q357)+HEX2DEC(R357)+HEX2DEC(S357)+HEX2DEC(T357)+HEX2DEC(U357)+HEX2DEC(V357)+HEX2DEC(W357)+HEX2DEC(Z357)+HEX2DEC(AA357),256),2)</f>
        <v>69</v>
      </c>
      <c r="AC357" s="18" t="s">
        <v>5</v>
      </c>
      <c r="AE357" s="405">
        <v>1500</v>
      </c>
      <c r="AF357" s="405"/>
      <c r="AG357" s="405"/>
    </row>
    <row r="358" spans="1:33" ht="15" hidden="1" outlineLevel="1" thickBot="1" x14ac:dyDescent="0.3">
      <c r="A358" s="338">
        <v>2</v>
      </c>
      <c r="C358" s="12" t="str">
        <f t="shared" si="119"/>
        <v>aa 00 05 62 02 20 07 D0 60 55</v>
      </c>
      <c r="D358" s="395" t="s">
        <v>888</v>
      </c>
      <c r="J358" s="18" t="s">
        <v>0</v>
      </c>
      <c r="K358" s="18" t="s">
        <v>1</v>
      </c>
      <c r="L358" s="46" t="str">
        <f t="shared" si="123"/>
        <v>05</v>
      </c>
      <c r="M358" s="19" t="s">
        <v>112</v>
      </c>
      <c r="N358" s="19" t="s">
        <v>15</v>
      </c>
      <c r="O358" s="19" t="s">
        <v>53</v>
      </c>
      <c r="P358" s="3" t="str">
        <f t="shared" si="124"/>
        <v>07</v>
      </c>
      <c r="Q358" s="3" t="str">
        <f t="shared" si="125"/>
        <v>D0</v>
      </c>
      <c r="R358" s="28"/>
      <c r="S358" s="28"/>
      <c r="T358" s="28"/>
      <c r="U358" s="28"/>
      <c r="V358" s="28"/>
      <c r="W358" s="28"/>
      <c r="X358" s="28"/>
      <c r="Y358" s="28"/>
      <c r="Z358" s="28"/>
      <c r="AA358" s="28"/>
      <c r="AB358" s="85" t="str">
        <f t="shared" si="126"/>
        <v>60</v>
      </c>
      <c r="AC358" s="18" t="s">
        <v>5</v>
      </c>
      <c r="AE358" s="405">
        <v>2000</v>
      </c>
      <c r="AF358" s="405"/>
      <c r="AG358" s="405"/>
    </row>
    <row r="359" spans="1:33" ht="15" hidden="1" outlineLevel="1" thickBot="1" x14ac:dyDescent="0.3">
      <c r="A359" s="338">
        <v>2</v>
      </c>
      <c r="C359" s="12" t="str">
        <f t="shared" si="119"/>
        <v>aa 00 05 62 03 20 07 D0 61 55</v>
      </c>
      <c r="D359" s="395" t="s">
        <v>889</v>
      </c>
      <c r="J359" s="18" t="s">
        <v>0</v>
      </c>
      <c r="K359" s="18" t="s">
        <v>1</v>
      </c>
      <c r="L359" s="46" t="str">
        <f t="shared" si="123"/>
        <v>05</v>
      </c>
      <c r="M359" s="19" t="s">
        <v>112</v>
      </c>
      <c r="N359" s="19" t="s">
        <v>13</v>
      </c>
      <c r="O359" s="19" t="s">
        <v>53</v>
      </c>
      <c r="P359" s="3" t="str">
        <f t="shared" si="124"/>
        <v>07</v>
      </c>
      <c r="Q359" s="3" t="str">
        <f t="shared" si="125"/>
        <v>D0</v>
      </c>
      <c r="R359" s="28"/>
      <c r="S359" s="28"/>
      <c r="T359" s="28"/>
      <c r="U359" s="28"/>
      <c r="V359" s="28"/>
      <c r="W359" s="28"/>
      <c r="X359" s="28"/>
      <c r="Y359" s="28"/>
      <c r="Z359" s="28"/>
      <c r="AA359" s="28"/>
      <c r="AB359" s="85" t="str">
        <f t="shared" si="126"/>
        <v>61</v>
      </c>
      <c r="AC359" s="18" t="s">
        <v>5</v>
      </c>
      <c r="AE359" s="405">
        <v>2000</v>
      </c>
      <c r="AF359" s="405"/>
      <c r="AG359" s="405"/>
    </row>
    <row r="360" spans="1:33" ht="15" hidden="1" outlineLevel="1" thickBot="1" x14ac:dyDescent="0.3">
      <c r="A360" s="338">
        <v>2</v>
      </c>
      <c r="C360" s="12" t="str">
        <f t="shared" si="119"/>
        <v>aa 00 05 62 04 20 07 D0 62 55</v>
      </c>
      <c r="D360" s="395" t="s">
        <v>890</v>
      </c>
      <c r="J360" s="18" t="s">
        <v>0</v>
      </c>
      <c r="K360" s="18" t="s">
        <v>1</v>
      </c>
      <c r="L360" s="46" t="str">
        <f t="shared" si="123"/>
        <v>05</v>
      </c>
      <c r="M360" s="19" t="s">
        <v>112</v>
      </c>
      <c r="N360" s="19" t="s">
        <v>18</v>
      </c>
      <c r="O360" s="19" t="s">
        <v>53</v>
      </c>
      <c r="P360" s="3" t="str">
        <f t="shared" si="124"/>
        <v>07</v>
      </c>
      <c r="Q360" s="3" t="str">
        <f t="shared" si="125"/>
        <v>D0</v>
      </c>
      <c r="R360" s="28"/>
      <c r="S360" s="28"/>
      <c r="T360" s="28"/>
      <c r="U360" s="28"/>
      <c r="V360" s="28"/>
      <c r="W360" s="28"/>
      <c r="X360" s="28"/>
      <c r="Y360" s="28"/>
      <c r="Z360" s="28"/>
      <c r="AA360" s="28"/>
      <c r="AB360" s="85" t="str">
        <f t="shared" si="126"/>
        <v>62</v>
      </c>
      <c r="AC360" s="18" t="s">
        <v>5</v>
      </c>
      <c r="AE360" s="405">
        <v>2000</v>
      </c>
      <c r="AF360" s="405"/>
      <c r="AG360" s="405"/>
    </row>
    <row r="361" spans="1:33" ht="15" hidden="1" outlineLevel="1" thickBot="1" x14ac:dyDescent="0.3">
      <c r="A361" s="338">
        <v>2</v>
      </c>
      <c r="C361" s="12" t="str">
        <f t="shared" si="119"/>
        <v>aa 00 05 62 05 20 07 D0 63 55</v>
      </c>
      <c r="D361" s="395" t="s">
        <v>891</v>
      </c>
      <c r="J361" s="18" t="s">
        <v>0</v>
      </c>
      <c r="K361" s="18" t="s">
        <v>1</v>
      </c>
      <c r="L361" s="46" t="str">
        <f t="shared" si="123"/>
        <v>05</v>
      </c>
      <c r="M361" s="19" t="s">
        <v>112</v>
      </c>
      <c r="N361" s="19" t="s">
        <v>122</v>
      </c>
      <c r="O361" s="19" t="s">
        <v>53</v>
      </c>
      <c r="P361" s="3" t="str">
        <f t="shared" si="124"/>
        <v>07</v>
      </c>
      <c r="Q361" s="3" t="str">
        <f t="shared" si="125"/>
        <v>D0</v>
      </c>
      <c r="R361" s="28"/>
      <c r="S361" s="28"/>
      <c r="T361" s="28"/>
      <c r="U361" s="28"/>
      <c r="V361" s="28"/>
      <c r="W361" s="28"/>
      <c r="X361" s="28"/>
      <c r="Y361" s="28"/>
      <c r="Z361" s="28"/>
      <c r="AA361" s="28"/>
      <c r="AB361" s="85" t="str">
        <f t="shared" si="126"/>
        <v>63</v>
      </c>
      <c r="AC361" s="18" t="s">
        <v>5</v>
      </c>
      <c r="AE361" s="405">
        <v>2000</v>
      </c>
      <c r="AF361" s="405"/>
      <c r="AG361" s="405"/>
    </row>
    <row r="362" spans="1:33" hidden="1" outlineLevel="1" x14ac:dyDescent="0.25">
      <c r="A362" s="338">
        <v>2</v>
      </c>
      <c r="C362" s="12" t="str">
        <f t="shared" si="119"/>
        <v>aa 00 05 62 06 20 07 D0 64 55</v>
      </c>
      <c r="D362" s="395" t="s">
        <v>892</v>
      </c>
      <c r="J362" s="281" t="s">
        <v>0</v>
      </c>
      <c r="K362" s="281" t="s">
        <v>1</v>
      </c>
      <c r="L362" s="242" t="str">
        <f t="shared" si="123"/>
        <v>05</v>
      </c>
      <c r="M362" s="282" t="s">
        <v>112</v>
      </c>
      <c r="N362" s="282" t="s">
        <v>123</v>
      </c>
      <c r="O362" s="282" t="s">
        <v>53</v>
      </c>
      <c r="P362" s="252" t="str">
        <f t="shared" si="124"/>
        <v>07</v>
      </c>
      <c r="Q362" s="252" t="str">
        <f t="shared" si="125"/>
        <v>D0</v>
      </c>
      <c r="R362" s="283"/>
      <c r="S362" s="283"/>
      <c r="T362" s="283"/>
      <c r="U362" s="283"/>
      <c r="V362" s="283"/>
      <c r="W362" s="283"/>
      <c r="X362" s="283"/>
      <c r="Y362" s="283"/>
      <c r="Z362" s="283"/>
      <c r="AA362" s="283"/>
      <c r="AB362" s="241" t="str">
        <f t="shared" si="126"/>
        <v>64</v>
      </c>
      <c r="AC362" s="281" t="s">
        <v>5</v>
      </c>
      <c r="AE362" s="405">
        <v>2000</v>
      </c>
      <c r="AF362" s="405"/>
      <c r="AG362" s="405"/>
    </row>
    <row r="363" spans="1:33" hidden="1" outlineLevel="1" x14ac:dyDescent="0.25">
      <c r="A363" s="338"/>
      <c r="C363" s="12" t="str">
        <f t="shared" si="119"/>
        <v/>
      </c>
      <c r="D363" s="395"/>
      <c r="J363" s="385"/>
      <c r="K363" s="385"/>
      <c r="L363" s="385"/>
      <c r="M363" s="385"/>
      <c r="N363" s="385"/>
      <c r="O363" s="385"/>
      <c r="P363" s="385"/>
      <c r="Q363" s="385"/>
      <c r="R363" s="385"/>
      <c r="S363" s="385"/>
      <c r="T363" s="385"/>
      <c r="U363" s="385"/>
      <c r="V363" s="385"/>
      <c r="W363" s="385"/>
      <c r="X363" s="385"/>
      <c r="Y363" s="385"/>
      <c r="Z363" s="385"/>
      <c r="AA363" s="385"/>
      <c r="AB363" s="385"/>
      <c r="AC363" s="385"/>
      <c r="AE363" s="41" t="s">
        <v>693</v>
      </c>
      <c r="AF363" s="41" t="s">
        <v>691</v>
      </c>
      <c r="AG363" s="41" t="s">
        <v>692</v>
      </c>
    </row>
    <row r="364" spans="1:33" hidden="1" outlineLevel="1" x14ac:dyDescent="0.25">
      <c r="A364" s="338">
        <v>2</v>
      </c>
      <c r="C364" s="12" t="str">
        <f t="shared" si="119"/>
        <v>aa 00 0F 62 00 40 01 31 2D 00 01 31 2D 00 01 31 2D 00 CE 55</v>
      </c>
      <c r="D364" s="395" t="s">
        <v>894</v>
      </c>
      <c r="J364" s="18" t="s">
        <v>0</v>
      </c>
      <c r="K364" s="18" t="s">
        <v>1</v>
      </c>
      <c r="L364" s="75" t="str">
        <f>DEC2HEX(COUNTA(M364:AA364),2)</f>
        <v>0F</v>
      </c>
      <c r="M364" s="19" t="s">
        <v>112</v>
      </c>
      <c r="N364" s="19" t="s">
        <v>1</v>
      </c>
      <c r="O364" s="19" t="s">
        <v>42</v>
      </c>
      <c r="P364" s="3" t="str">
        <f>LEFT(RIGHT(DEC2HEX(AE364*10000,8),8),2)</f>
        <v>01</v>
      </c>
      <c r="Q364" s="3" t="str">
        <f>LEFT(RIGHT(DEC2HEX(AE364*10000,8),6),2)</f>
        <v>31</v>
      </c>
      <c r="R364" s="3" t="str">
        <f>LEFT(RIGHT(DEC2HEX(AE364*10000,8),4),2)</f>
        <v>2D</v>
      </c>
      <c r="S364" s="3" t="str">
        <f>RIGHT(DEC2HEX(AE364*10000,8),2)</f>
        <v>00</v>
      </c>
      <c r="T364" s="3" t="str">
        <f>LEFT(RIGHT(DEC2HEX(AF364*10000,8),8),2)</f>
        <v>01</v>
      </c>
      <c r="U364" s="3" t="str">
        <f>LEFT(RIGHT(DEC2HEX(AF364*10000,8),6),2)</f>
        <v>31</v>
      </c>
      <c r="V364" s="3" t="str">
        <f>LEFT(RIGHT(DEC2HEX(AF364*10000,8),4),2)</f>
        <v>2D</v>
      </c>
      <c r="W364" s="3" t="str">
        <f>RIGHT(DEC2HEX(AF364*10000,8),2)</f>
        <v>00</v>
      </c>
      <c r="X364" s="3" t="str">
        <f>LEFT(RIGHT(DEC2HEX(AG364*10000,8),8),2)</f>
        <v>01</v>
      </c>
      <c r="Y364" s="3" t="str">
        <f>LEFT(RIGHT(DEC2HEX(AG364*10000,8),6),2)</f>
        <v>31</v>
      </c>
      <c r="Z364" s="3" t="str">
        <f>LEFT(RIGHT(DEC2HEX(AG364*10000,8),4),2)</f>
        <v>2D</v>
      </c>
      <c r="AA364" s="3" t="str">
        <f>RIGHT(DEC2HEX(AG364*10000,8),2)</f>
        <v>00</v>
      </c>
      <c r="AB364" s="84" t="str">
        <f>DEC2HEX(MOD(HEX2DEC(K364)+HEX2DEC(L364)+HEX2DEC(M364)+HEX2DEC(N364)+HEX2DEC(O364)+HEX2DEC(P364)+HEX2DEC(Q364)+HEX2DEC(R364)+HEX2DEC(S364)+HEX2DEC(T364)+HEX2DEC(U364)+HEX2DEC(V364)+HEX2DEC(W364)+HEX2DEC(X364)+HEX2DEC(Y364)+HEX2DEC(Z364)+HEX2DEC(AA364),256),2)</f>
        <v>CE</v>
      </c>
      <c r="AC364" s="18" t="s">
        <v>5</v>
      </c>
      <c r="AE364" s="41">
        <v>2000</v>
      </c>
      <c r="AF364" s="41">
        <v>2000</v>
      </c>
      <c r="AG364" s="41">
        <v>2000</v>
      </c>
    </row>
    <row r="365" spans="1:33" collapsed="1" x14ac:dyDescent="0.25">
      <c r="C365" s="406" t="str">
        <f t="shared" ref="C365:C372" si="127">IF(ISBLANK(H365),,H365&amp;" ")&amp;IF(ISBLANK(I365),,I365&amp;" ")&amp;IF(ISBLANK(J365),,J365&amp;" ")&amp;IF(ISBLANK(K365),,K365&amp;" ")&amp;IF(ISBLANK(L365),,L365&amp;" ")&amp;IF(ISBLANK(M365),,M365&amp;" ")&amp;IF(ISBLANK(N365),,N365&amp;" ")&amp;IF(ISBLANK(O365),,O365&amp;" ")&amp;IF(ISBLANK(P365),,P365&amp;" ")&amp;IF(ISBLANK(Q365),,Q365&amp;" ")&amp;IF(ISBLANK(R365),,R365&amp;" ")&amp;IF(ISBLANK(S365),,S365&amp;" ")&amp;IF(ISBLANK(T365),,T365&amp;" ")&amp;IF(ISBLANK(U365),,U365&amp;" ")&amp;IF(ISBLANK(V365),,V365&amp;" ")&amp;IF(ISBLANK(W365),,W365&amp;" ")&amp;IF(ISBLANK(X365),,X365&amp;" ")&amp;IF(ISBLANK(Y365),,Y365&amp;" ")&amp;IF(ISBLANK(Z365),,Z365&amp;" ")&amp;IF(ISBLANK(AA365),,AA365)</f>
        <v/>
      </c>
    </row>
    <row r="366" spans="1:33" x14ac:dyDescent="0.25">
      <c r="C366" s="406" t="str">
        <f t="shared" si="127"/>
        <v/>
      </c>
    </row>
    <row r="367" spans="1:33" x14ac:dyDescent="0.25">
      <c r="A367" s="330">
        <v>1</v>
      </c>
      <c r="C367" s="406" t="str">
        <f t="shared" si="127"/>
        <v/>
      </c>
      <c r="D367" s="395" t="s">
        <v>895</v>
      </c>
    </row>
    <row r="368" spans="1:33" x14ac:dyDescent="0.25">
      <c r="A368" s="338">
        <v>2</v>
      </c>
      <c r="C368" s="406"/>
      <c r="D368" s="395" t="s">
        <v>896</v>
      </c>
      <c r="J368" s="435" t="s">
        <v>275</v>
      </c>
      <c r="K368" s="435"/>
      <c r="L368" s="435"/>
      <c r="M368" s="435"/>
      <c r="N368" s="435"/>
      <c r="O368" s="435"/>
      <c r="P368" s="435"/>
      <c r="Q368" s="435"/>
      <c r="R368" s="435"/>
      <c r="S368" s="435"/>
      <c r="T368" s="435"/>
      <c r="U368" s="435"/>
      <c r="V368" s="435"/>
      <c r="W368" s="435"/>
      <c r="X368" s="435"/>
      <c r="Y368" s="435"/>
      <c r="Z368" s="435"/>
      <c r="AA368" s="435"/>
    </row>
    <row r="369" spans="1:30" ht="16.8" x14ac:dyDescent="0.25">
      <c r="A369" s="330"/>
      <c r="C369" s="12"/>
      <c r="D369" s="395"/>
      <c r="J369" s="86" t="s">
        <v>77</v>
      </c>
      <c r="K369" s="384" t="s">
        <v>78</v>
      </c>
      <c r="L369" s="384" t="s">
        <v>10</v>
      </c>
      <c r="M369" s="384" t="s">
        <v>79</v>
      </c>
      <c r="N369" s="384" t="s">
        <v>80</v>
      </c>
      <c r="O369" s="384" t="s">
        <v>11</v>
      </c>
      <c r="P369" s="436" t="s">
        <v>83</v>
      </c>
      <c r="Q369" s="436"/>
      <c r="R369" s="436"/>
      <c r="S369" s="436"/>
      <c r="T369" s="436"/>
      <c r="U369" s="436"/>
      <c r="V369" s="436"/>
      <c r="W369" s="436"/>
      <c r="X369" s="436"/>
      <c r="Y369" s="436"/>
      <c r="Z369" s="83" t="s">
        <v>81</v>
      </c>
      <c r="AA369" s="83" t="s">
        <v>82</v>
      </c>
      <c r="AB369" s="407"/>
      <c r="AC369" s="45" t="s">
        <v>417</v>
      </c>
      <c r="AD369" s="45" t="s">
        <v>418</v>
      </c>
    </row>
    <row r="370" spans="1:30" x14ac:dyDescent="0.25">
      <c r="A370" s="338">
        <v>3</v>
      </c>
      <c r="C370" s="12" t="str">
        <f t="shared" si="127"/>
        <v>aa 00 05 70 00 00 01 0A 80 55</v>
      </c>
      <c r="D370" s="395" t="s">
        <v>902</v>
      </c>
      <c r="J370" s="84" t="s">
        <v>0</v>
      </c>
      <c r="K370" s="75" t="s">
        <v>1</v>
      </c>
      <c r="L370" s="75" t="s">
        <v>9</v>
      </c>
      <c r="M370" s="76" t="s">
        <v>419</v>
      </c>
      <c r="N370" s="76" t="s">
        <v>1</v>
      </c>
      <c r="O370" s="76" t="s">
        <v>1</v>
      </c>
      <c r="P370" s="386" t="str">
        <f>DEC2HEX(AC370,2)</f>
        <v>01</v>
      </c>
      <c r="Q370" s="386" t="str">
        <f>DEC2HEX(AD370,2)</f>
        <v>0A</v>
      </c>
      <c r="R370" s="57"/>
      <c r="S370" s="57"/>
      <c r="T370" s="57"/>
      <c r="U370" s="57"/>
      <c r="V370" s="57"/>
      <c r="W370" s="57"/>
      <c r="X370" s="57"/>
      <c r="Y370" s="57"/>
      <c r="Z370" s="84" t="str">
        <f>DEC2HEX(MOD(HEX2DEC(K370)+HEX2DEC(L370)+HEX2DEC(M370)+HEX2DEC(N370)+HEX2DEC(O370)+HEX2DEC(P370)+HEX2DEC(Q370)+HEX2DEC(R370)+HEX2DEC(S370)+HEX2DEC(T370)+HEX2DEC(U370)+HEX2DEC(V370)+HEX2DEC(Y370),256),2)</f>
        <v>80</v>
      </c>
      <c r="AA370" s="84" t="s">
        <v>5</v>
      </c>
      <c r="AB370" s="408"/>
      <c r="AC370" s="116">
        <v>1</v>
      </c>
      <c r="AD370" s="116">
        <v>10</v>
      </c>
    </row>
    <row r="371" spans="1:30" x14ac:dyDescent="0.25">
      <c r="A371" s="330">
        <v>3</v>
      </c>
      <c r="C371" s="12" t="str">
        <f t="shared" si="127"/>
        <v>aa 00 03 70 00 10 83 55</v>
      </c>
      <c r="D371" s="395" t="s">
        <v>900</v>
      </c>
      <c r="J371" s="84" t="s">
        <v>0</v>
      </c>
      <c r="K371" s="75" t="s">
        <v>1</v>
      </c>
      <c r="L371" s="75" t="s">
        <v>8</v>
      </c>
      <c r="M371" s="76" t="s">
        <v>419</v>
      </c>
      <c r="N371" s="76" t="s">
        <v>1</v>
      </c>
      <c r="O371" s="76" t="s">
        <v>70</v>
      </c>
      <c r="P371" s="57"/>
      <c r="Q371" s="57"/>
      <c r="R371" s="57"/>
      <c r="S371" s="57"/>
      <c r="T371" s="57"/>
      <c r="U371" s="57"/>
      <c r="V371" s="57"/>
      <c r="W371" s="57"/>
      <c r="X371" s="57"/>
      <c r="Y371" s="57"/>
      <c r="Z371" s="84" t="str">
        <f>DEC2HEX(MOD(HEX2DEC(K371)+HEX2DEC(L371)+HEX2DEC(M371)+HEX2DEC(N371)+HEX2DEC(O371)+HEX2DEC(P371)+HEX2DEC(Q371)+HEX2DEC(R371)+HEX2DEC(S371)+HEX2DEC(T371)+HEX2DEC(U371)+HEX2DEC(V371)+HEX2DEC(Y371),256),2)</f>
        <v>83</v>
      </c>
      <c r="AA371" s="84" t="s">
        <v>5</v>
      </c>
    </row>
    <row r="372" spans="1:30" x14ac:dyDescent="0.25">
      <c r="A372" s="338">
        <v>3</v>
      </c>
      <c r="C372" s="12" t="str">
        <f t="shared" si="127"/>
        <v>aa 00 03 70 00 11 84 55</v>
      </c>
      <c r="D372" s="395" t="s">
        <v>898</v>
      </c>
      <c r="J372" s="84" t="s">
        <v>0</v>
      </c>
      <c r="K372" s="75" t="s">
        <v>1</v>
      </c>
      <c r="L372" s="75" t="s">
        <v>8</v>
      </c>
      <c r="M372" s="76" t="s">
        <v>419</v>
      </c>
      <c r="N372" s="76" t="s">
        <v>1</v>
      </c>
      <c r="O372" s="76" t="s">
        <v>28</v>
      </c>
      <c r="P372" s="57"/>
      <c r="Q372" s="57"/>
      <c r="R372" s="57"/>
      <c r="S372" s="57"/>
      <c r="T372" s="57"/>
      <c r="U372" s="57"/>
      <c r="V372" s="57"/>
      <c r="W372" s="57"/>
      <c r="X372" s="57"/>
      <c r="Y372" s="57"/>
      <c r="Z372" s="84" t="str">
        <f>DEC2HEX(MOD(HEX2DEC(K372)+HEX2DEC(L372)+HEX2DEC(M372)+HEX2DEC(N372)+HEX2DEC(O372)+HEX2DEC(P372)+HEX2DEC(Q372)+HEX2DEC(R372)+HEX2DEC(S372)+HEX2DEC(T372)+HEX2DEC(U372)+HEX2DEC(V372)+HEX2DEC(Y372),256),2)</f>
        <v>84</v>
      </c>
      <c r="AA372" s="84" t="s">
        <v>5</v>
      </c>
    </row>
    <row r="374" spans="1:30" ht="16.8" x14ac:dyDescent="0.25">
      <c r="A374" s="338">
        <v>2</v>
      </c>
      <c r="D374" s="395" t="s">
        <v>905</v>
      </c>
      <c r="J374" s="86" t="s">
        <v>77</v>
      </c>
      <c r="K374" s="384" t="s">
        <v>78</v>
      </c>
      <c r="L374" s="384" t="s">
        <v>10</v>
      </c>
      <c r="M374" s="384" t="s">
        <v>79</v>
      </c>
      <c r="N374" s="384" t="s">
        <v>80</v>
      </c>
      <c r="O374" s="384" t="s">
        <v>11</v>
      </c>
      <c r="P374" s="436" t="s">
        <v>83</v>
      </c>
      <c r="Q374" s="436"/>
      <c r="R374" s="436"/>
      <c r="S374" s="436"/>
      <c r="T374" s="436"/>
      <c r="U374" s="436"/>
      <c r="V374" s="436"/>
      <c r="W374" s="436"/>
      <c r="X374" s="436"/>
      <c r="Y374" s="436"/>
      <c r="Z374" s="83" t="s">
        <v>81</v>
      </c>
      <c r="AA374" s="83" t="s">
        <v>82</v>
      </c>
      <c r="AB374" s="407"/>
      <c r="AC374" s="45" t="s">
        <v>417</v>
      </c>
      <c r="AD374" s="45" t="s">
        <v>418</v>
      </c>
    </row>
    <row r="375" spans="1:30" x14ac:dyDescent="0.25">
      <c r="A375" s="338">
        <v>3</v>
      </c>
      <c r="C375" s="411" t="str">
        <f t="shared" ref="C375:C377" si="128">IF(ISBLANK(H375),,H375&amp;" ")&amp;IF(ISBLANK(I375),,I375&amp;" ")&amp;IF(ISBLANK(J375),,J375&amp;" ")&amp;IF(ISBLANK(K375),,K375&amp;" ")&amp;IF(ISBLANK(L375),,L375&amp;" ")&amp;IF(ISBLANK(M375),,M375&amp;" ")&amp;IF(ISBLANK(N375),,N375&amp;" ")&amp;IF(ISBLANK(O375),,O375&amp;" ")&amp;IF(ISBLANK(P375),,P375&amp;" ")&amp;IF(ISBLANK(Q375),,Q375&amp;" ")&amp;IF(ISBLANK(R375),,R375&amp;" ")&amp;IF(ISBLANK(S375),,S375&amp;" ")&amp;IF(ISBLANK(T375),,T375&amp;" ")&amp;IF(ISBLANK(U375),,U375&amp;" ")&amp;IF(ISBLANK(V375),,V375&amp;" ")&amp;IF(ISBLANK(W375),,W375&amp;" ")&amp;IF(ISBLANK(X375),,X375&amp;" ")&amp;IF(ISBLANK(Y375),,Y375&amp;" ")&amp;IF(ISBLANK(Z375),,Z375&amp;" ")&amp;IF(ISBLANK(AA375),,AA375)</f>
        <v>aa 00 05 71 00 00 02 0A 82 55</v>
      </c>
      <c r="D375" s="395" t="s">
        <v>906</v>
      </c>
      <c r="J375" s="84" t="s">
        <v>0</v>
      </c>
      <c r="K375" s="75" t="s">
        <v>1</v>
      </c>
      <c r="L375" s="75" t="s">
        <v>9</v>
      </c>
      <c r="M375" s="76" t="s">
        <v>428</v>
      </c>
      <c r="N375" s="76" t="s">
        <v>1</v>
      </c>
      <c r="O375" s="76" t="s">
        <v>1</v>
      </c>
      <c r="P375" s="386" t="str">
        <f>DEC2HEX(AC375,2)</f>
        <v>02</v>
      </c>
      <c r="Q375" s="386" t="str">
        <f>DEC2HEX(AD375,2)</f>
        <v>0A</v>
      </c>
      <c r="R375" s="57"/>
      <c r="S375" s="57"/>
      <c r="T375" s="57"/>
      <c r="U375" s="57"/>
      <c r="V375" s="57"/>
      <c r="W375" s="57"/>
      <c r="X375" s="57"/>
      <c r="Y375" s="57"/>
      <c r="Z375" s="84" t="str">
        <f>DEC2HEX(MOD(HEX2DEC(K375)+HEX2DEC(L375)+HEX2DEC(M375)+HEX2DEC(N375)+HEX2DEC(O375)+HEX2DEC(P375)+HEX2DEC(Q375)+HEX2DEC(R375)+HEX2DEC(S375)+HEX2DEC(T375)+HEX2DEC(U375)+HEX2DEC(V375)+HEX2DEC(Y375),256),2)</f>
        <v>82</v>
      </c>
      <c r="AA375" s="84" t="s">
        <v>5</v>
      </c>
      <c r="AB375" s="408"/>
      <c r="AC375" s="116">
        <v>2</v>
      </c>
      <c r="AD375" s="116">
        <v>10</v>
      </c>
    </row>
    <row r="376" spans="1:30" x14ac:dyDescent="0.25">
      <c r="A376" s="330">
        <v>3</v>
      </c>
      <c r="C376" s="411" t="str">
        <f t="shared" si="128"/>
        <v>aa 00 03 71 00 10 84 55</v>
      </c>
      <c r="D376" s="395" t="s">
        <v>907</v>
      </c>
      <c r="J376" s="84" t="s">
        <v>0</v>
      </c>
      <c r="K376" s="75" t="s">
        <v>1</v>
      </c>
      <c r="L376" s="75" t="s">
        <v>8</v>
      </c>
      <c r="M376" s="76" t="s">
        <v>428</v>
      </c>
      <c r="N376" s="76" t="s">
        <v>1</v>
      </c>
      <c r="O376" s="76" t="s">
        <v>70</v>
      </c>
      <c r="P376" s="57"/>
      <c r="Q376" s="57"/>
      <c r="R376" s="57"/>
      <c r="S376" s="57"/>
      <c r="T376" s="57"/>
      <c r="U376" s="57"/>
      <c r="V376" s="57"/>
      <c r="W376" s="57"/>
      <c r="X376" s="57"/>
      <c r="Y376" s="57"/>
      <c r="Z376" s="84" t="str">
        <f>DEC2HEX(MOD(HEX2DEC(K376)+HEX2DEC(L376)+HEX2DEC(M376)+HEX2DEC(N376)+HEX2DEC(O376)+HEX2DEC(P376)+HEX2DEC(Q376)+HEX2DEC(R376)+HEX2DEC(S376)+HEX2DEC(T376)+HEX2DEC(U376)+HEX2DEC(V376)+HEX2DEC(Y376),256),2)</f>
        <v>84</v>
      </c>
      <c r="AA376" s="84" t="s">
        <v>5</v>
      </c>
    </row>
    <row r="377" spans="1:30" x14ac:dyDescent="0.25">
      <c r="A377" s="338">
        <v>3</v>
      </c>
      <c r="C377" s="411" t="str">
        <f t="shared" si="128"/>
        <v>aa 00 03 71 00 11 85 55</v>
      </c>
      <c r="D377" s="395" t="s">
        <v>903</v>
      </c>
      <c r="J377" s="84" t="s">
        <v>0</v>
      </c>
      <c r="K377" s="75" t="s">
        <v>1</v>
      </c>
      <c r="L377" s="75" t="s">
        <v>8</v>
      </c>
      <c r="M377" s="76" t="s">
        <v>428</v>
      </c>
      <c r="N377" s="76" t="s">
        <v>1</v>
      </c>
      <c r="O377" s="76" t="s">
        <v>28</v>
      </c>
      <c r="P377" s="57"/>
      <c r="Q377" s="57"/>
      <c r="R377" s="57"/>
      <c r="S377" s="57"/>
      <c r="T377" s="57"/>
      <c r="U377" s="57"/>
      <c r="V377" s="57"/>
      <c r="W377" s="57"/>
      <c r="X377" s="57"/>
      <c r="Y377" s="57"/>
      <c r="Z377" s="84" t="str">
        <f>DEC2HEX(MOD(HEX2DEC(K377)+HEX2DEC(L377)+HEX2DEC(M377)+HEX2DEC(N377)+HEX2DEC(O377)+HEX2DEC(P377)+HEX2DEC(Q377)+HEX2DEC(R377)+HEX2DEC(S377)+HEX2DEC(T377)+HEX2DEC(U377)+HEX2DEC(V377)+HEX2DEC(Y377),256),2)</f>
        <v>85</v>
      </c>
      <c r="AA377" s="84" t="s">
        <v>5</v>
      </c>
    </row>
    <row r="380" spans="1:30" ht="16.8" x14ac:dyDescent="0.25">
      <c r="A380" s="338">
        <v>2</v>
      </c>
      <c r="D380" s="395" t="s">
        <v>901</v>
      </c>
      <c r="J380" s="86" t="s">
        <v>77</v>
      </c>
      <c r="K380" s="384" t="s">
        <v>78</v>
      </c>
      <c r="L380" s="384" t="s">
        <v>10</v>
      </c>
      <c r="M380" s="384" t="s">
        <v>79</v>
      </c>
      <c r="N380" s="384" t="s">
        <v>80</v>
      </c>
      <c r="O380" s="384" t="s">
        <v>11</v>
      </c>
      <c r="P380" s="436" t="s">
        <v>83</v>
      </c>
      <c r="Q380" s="436"/>
      <c r="R380" s="436"/>
      <c r="S380" s="436"/>
      <c r="T380" s="436"/>
      <c r="U380" s="436"/>
      <c r="V380" s="436"/>
      <c r="W380" s="436"/>
      <c r="X380" s="436"/>
      <c r="Y380" s="436"/>
      <c r="Z380" s="83" t="s">
        <v>81</v>
      </c>
      <c r="AA380" s="83" t="s">
        <v>82</v>
      </c>
      <c r="AC380" s="45" t="s">
        <v>417</v>
      </c>
      <c r="AD380" s="45" t="s">
        <v>418</v>
      </c>
    </row>
    <row r="381" spans="1:30" x14ac:dyDescent="0.25">
      <c r="A381" s="338">
        <v>3</v>
      </c>
      <c r="C381" s="411" t="str">
        <f t="shared" ref="C381:C383" si="129">IF(ISBLANK(H381),,H381&amp;" ")&amp;IF(ISBLANK(I381),,I381&amp;" ")&amp;IF(ISBLANK(J381),,J381&amp;" ")&amp;IF(ISBLANK(K381),,K381&amp;" ")&amp;IF(ISBLANK(L381),,L381&amp;" ")&amp;IF(ISBLANK(M381),,M381&amp;" ")&amp;IF(ISBLANK(N381),,N381&amp;" ")&amp;IF(ISBLANK(O381),,O381&amp;" ")&amp;IF(ISBLANK(P381),,P381&amp;" ")&amp;IF(ISBLANK(Q381),,Q381&amp;" ")&amp;IF(ISBLANK(R381),,R381&amp;" ")&amp;IF(ISBLANK(S381),,S381&amp;" ")&amp;IF(ISBLANK(T381),,T381&amp;" ")&amp;IF(ISBLANK(U381),,U381&amp;" ")&amp;IF(ISBLANK(V381),,V381&amp;" ")&amp;IF(ISBLANK(W381),,W381&amp;" ")&amp;IF(ISBLANK(X381),,X381&amp;" ")&amp;IF(ISBLANK(Y381),,Y381&amp;" ")&amp;IF(ISBLANK(Z381),,Z381&amp;" ")&amp;IF(ISBLANK(AA381),,AA381)</f>
        <v>aa 00 05 72 00 00 03 0A 84 55</v>
      </c>
      <c r="D381" s="395" t="s">
        <v>904</v>
      </c>
      <c r="J381" s="84" t="s">
        <v>0</v>
      </c>
      <c r="K381" s="75" t="s">
        <v>1</v>
      </c>
      <c r="L381" s="75" t="s">
        <v>9</v>
      </c>
      <c r="M381" s="76" t="s">
        <v>429</v>
      </c>
      <c r="N381" s="76" t="s">
        <v>1</v>
      </c>
      <c r="O381" s="76" t="s">
        <v>1</v>
      </c>
      <c r="P381" s="386" t="str">
        <f>DEC2HEX(AC381,2)</f>
        <v>03</v>
      </c>
      <c r="Q381" s="386" t="str">
        <f>DEC2HEX(AD381,2)</f>
        <v>0A</v>
      </c>
      <c r="R381" s="57"/>
      <c r="S381" s="57"/>
      <c r="T381" s="57"/>
      <c r="U381" s="57"/>
      <c r="V381" s="57"/>
      <c r="W381" s="57"/>
      <c r="X381" s="57"/>
      <c r="Y381" s="57"/>
      <c r="Z381" s="84" t="str">
        <f>DEC2HEX(MOD(HEX2DEC(K381)+HEX2DEC(L381)+HEX2DEC(M381)+HEX2DEC(N381)+HEX2DEC(O381)+HEX2DEC(P381)+HEX2DEC(Q381)+HEX2DEC(R381)+HEX2DEC(S381)+HEX2DEC(T381)+HEX2DEC(U381)+HEX2DEC(V381)+HEX2DEC(Y381),256),2)</f>
        <v>84</v>
      </c>
      <c r="AA381" s="84" t="s">
        <v>5</v>
      </c>
      <c r="AC381" s="116">
        <v>3</v>
      </c>
      <c r="AD381" s="116">
        <v>10</v>
      </c>
    </row>
    <row r="382" spans="1:30" x14ac:dyDescent="0.25">
      <c r="A382" s="330">
        <v>3</v>
      </c>
      <c r="C382" s="411" t="str">
        <f t="shared" si="129"/>
        <v>aa 00 03 72 00 10 85 55</v>
      </c>
      <c r="D382" s="395" t="s">
        <v>908</v>
      </c>
      <c r="J382" s="84" t="s">
        <v>0</v>
      </c>
      <c r="K382" s="75" t="s">
        <v>1</v>
      </c>
      <c r="L382" s="75" t="s">
        <v>8</v>
      </c>
      <c r="M382" s="76" t="s">
        <v>429</v>
      </c>
      <c r="N382" s="76" t="s">
        <v>1</v>
      </c>
      <c r="O382" s="76" t="s">
        <v>70</v>
      </c>
      <c r="P382" s="57"/>
      <c r="Q382" s="57"/>
      <c r="R382" s="57"/>
      <c r="S382" s="57"/>
      <c r="T382" s="57"/>
      <c r="U382" s="57"/>
      <c r="V382" s="57"/>
      <c r="W382" s="57"/>
      <c r="X382" s="57"/>
      <c r="Y382" s="57"/>
      <c r="Z382" s="84" t="str">
        <f>DEC2HEX(MOD(HEX2DEC(K382)+HEX2DEC(L382)+HEX2DEC(M382)+HEX2DEC(N382)+HEX2DEC(O382)+HEX2DEC(P382)+HEX2DEC(Q382)+HEX2DEC(R382)+HEX2DEC(S382)+HEX2DEC(T382)+HEX2DEC(U382)+HEX2DEC(V382)+HEX2DEC(Y382),256),2)</f>
        <v>85</v>
      </c>
      <c r="AA382" s="84" t="s">
        <v>5</v>
      </c>
    </row>
    <row r="383" spans="1:30" x14ac:dyDescent="0.25">
      <c r="A383" s="338">
        <v>3</v>
      </c>
      <c r="C383" s="411" t="str">
        <f t="shared" si="129"/>
        <v>aa 00 03 72 00 11 86 55</v>
      </c>
      <c r="D383" s="395" t="s">
        <v>909</v>
      </c>
      <c r="J383" s="84" t="s">
        <v>0</v>
      </c>
      <c r="K383" s="75" t="s">
        <v>1</v>
      </c>
      <c r="L383" s="75" t="s">
        <v>8</v>
      </c>
      <c r="M383" s="76" t="s">
        <v>429</v>
      </c>
      <c r="N383" s="76" t="s">
        <v>1</v>
      </c>
      <c r="O383" s="76" t="s">
        <v>28</v>
      </c>
      <c r="P383" s="57"/>
      <c r="Q383" s="57"/>
      <c r="R383" s="57"/>
      <c r="S383" s="57"/>
      <c r="T383" s="57"/>
      <c r="U383" s="57"/>
      <c r="V383" s="57"/>
      <c r="W383" s="57"/>
      <c r="X383" s="57"/>
      <c r="Y383" s="57"/>
      <c r="Z383" s="84" t="str">
        <f>DEC2HEX(MOD(HEX2DEC(K383)+HEX2DEC(L383)+HEX2DEC(M383)+HEX2DEC(N383)+HEX2DEC(O383)+HEX2DEC(P383)+HEX2DEC(Q383)+HEX2DEC(R383)+HEX2DEC(S383)+HEX2DEC(T383)+HEX2DEC(U383)+HEX2DEC(V383)+HEX2DEC(Y383),256),2)</f>
        <v>86</v>
      </c>
      <c r="AA383" s="84" t="s">
        <v>5</v>
      </c>
    </row>
    <row r="386" spans="1:27" ht="16.8" x14ac:dyDescent="0.25">
      <c r="A386" s="338">
        <v>2</v>
      </c>
      <c r="D386" s="395" t="s">
        <v>910</v>
      </c>
      <c r="J386" s="86" t="s">
        <v>77</v>
      </c>
      <c r="K386" s="384" t="s">
        <v>78</v>
      </c>
      <c r="L386" s="384" t="s">
        <v>10</v>
      </c>
      <c r="M386" s="384" t="s">
        <v>79</v>
      </c>
      <c r="N386" s="384" t="s">
        <v>80</v>
      </c>
      <c r="O386" s="384" t="s">
        <v>11</v>
      </c>
      <c r="P386" s="462" t="s">
        <v>83</v>
      </c>
      <c r="Q386" s="477"/>
      <c r="R386" s="477"/>
      <c r="S386" s="477"/>
      <c r="T386" s="477"/>
      <c r="U386" s="477"/>
      <c r="V386" s="477"/>
      <c r="W386" s="477"/>
      <c r="X386" s="477"/>
      <c r="Y386" s="463"/>
      <c r="Z386" s="83" t="s">
        <v>81</v>
      </c>
      <c r="AA386" s="83" t="s">
        <v>82</v>
      </c>
    </row>
    <row r="387" spans="1:27" hidden="1" outlineLevel="1" x14ac:dyDescent="0.25">
      <c r="A387" s="338">
        <v>3</v>
      </c>
      <c r="C387" s="411" t="str">
        <f t="shared" ref="C387:C397" si="130">IF(ISBLANK(H387),,H387&amp;" ")&amp;IF(ISBLANK(I387),,I387&amp;" ")&amp;IF(ISBLANK(J387),,J387&amp;" ")&amp;IF(ISBLANK(K387),,K387&amp;" ")&amp;IF(ISBLANK(L387),,L387&amp;" ")&amp;IF(ISBLANK(M387),,M387&amp;" ")&amp;IF(ISBLANK(N387),,N387&amp;" ")&amp;IF(ISBLANK(O387),,O387&amp;" ")&amp;IF(ISBLANK(P387),,P387&amp;" ")&amp;IF(ISBLANK(Q387),,Q387&amp;" ")&amp;IF(ISBLANK(R387),,R387&amp;" ")&amp;IF(ISBLANK(S387),,S387&amp;" ")&amp;IF(ISBLANK(T387),,T387&amp;" ")&amp;IF(ISBLANK(U387),,U387&amp;" ")&amp;IF(ISBLANK(V387),,V387&amp;" ")&amp;IF(ISBLANK(W387),,W387&amp;" ")&amp;IF(ISBLANK(X387),,X387&amp;" ")&amp;IF(ISBLANK(Y387),,Y387&amp;" ")&amp;IF(ISBLANK(Z387),,Z387&amp;" ")&amp;IF(ISBLANK(AA387),,AA387)</f>
        <v>aa 00 03 73 28 10 AE 55</v>
      </c>
      <c r="D387" s="395" t="s">
        <v>479</v>
      </c>
      <c r="J387" s="84" t="s">
        <v>0</v>
      </c>
      <c r="K387" s="75" t="s">
        <v>1</v>
      </c>
      <c r="L387" s="75" t="s">
        <v>8</v>
      </c>
      <c r="M387" s="76" t="s">
        <v>477</v>
      </c>
      <c r="N387" s="76" t="s">
        <v>707</v>
      </c>
      <c r="O387" s="76" t="s">
        <v>70</v>
      </c>
      <c r="P387" s="57"/>
      <c r="Q387" s="57"/>
      <c r="R387" s="57"/>
      <c r="S387" s="57"/>
      <c r="T387" s="57"/>
      <c r="U387" s="57"/>
      <c r="V387" s="57"/>
      <c r="W387" s="57"/>
      <c r="X387" s="57"/>
      <c r="Y387" s="57"/>
      <c r="Z387" s="84" t="str">
        <f t="shared" ref="Z387:Z397" si="131">DEC2HEX(MOD(HEX2DEC(K387)+HEX2DEC(L387)+HEX2DEC(M387)+HEX2DEC(N387)+HEX2DEC(O387)+HEX2DEC(P387)+HEX2DEC(Q387)+HEX2DEC(R387)+HEX2DEC(S387)+HEX2DEC(T387)+HEX2DEC(U387)+HEX2DEC(V387)+HEX2DEC(W387)+HEX2DEC(X387)+HEX2DEC(Y387),256),2)</f>
        <v>AE</v>
      </c>
      <c r="AA387" s="84" t="s">
        <v>5</v>
      </c>
    </row>
    <row r="388" spans="1:27" hidden="1" outlineLevel="1" x14ac:dyDescent="0.25">
      <c r="A388" s="338">
        <v>3</v>
      </c>
      <c r="C388" s="411" t="str">
        <f t="shared" si="130"/>
        <v>aa 00 03 73 00 11 87 55</v>
      </c>
      <c r="D388" s="395" t="s">
        <v>480</v>
      </c>
      <c r="J388" s="84" t="s">
        <v>0</v>
      </c>
      <c r="K388" s="75" t="s">
        <v>1</v>
      </c>
      <c r="L388" s="75" t="s">
        <v>8</v>
      </c>
      <c r="M388" s="76" t="s">
        <v>477</v>
      </c>
      <c r="N388" s="76" t="s">
        <v>1</v>
      </c>
      <c r="O388" s="76" t="s">
        <v>158</v>
      </c>
      <c r="P388" s="57"/>
      <c r="Q388" s="57"/>
      <c r="R388" s="57"/>
      <c r="S388" s="57"/>
      <c r="T388" s="57"/>
      <c r="U388" s="57"/>
      <c r="V388" s="57"/>
      <c r="W388" s="57"/>
      <c r="X388" s="57"/>
      <c r="Y388" s="57"/>
      <c r="Z388" s="84" t="str">
        <f t="shared" si="131"/>
        <v>87</v>
      </c>
      <c r="AA388" s="84" t="s">
        <v>5</v>
      </c>
    </row>
    <row r="389" spans="1:27" hidden="1" outlineLevel="1" x14ac:dyDescent="0.25">
      <c r="A389" s="338">
        <v>3</v>
      </c>
      <c r="C389" s="411" t="str">
        <f t="shared" si="130"/>
        <v>aa 00 03 73 00 12 88 55</v>
      </c>
      <c r="D389" s="395" t="s">
        <v>912</v>
      </c>
      <c r="J389" s="84" t="s">
        <v>0</v>
      </c>
      <c r="K389" s="75" t="s">
        <v>1</v>
      </c>
      <c r="L389" s="75" t="s">
        <v>8</v>
      </c>
      <c r="M389" s="76" t="s">
        <v>477</v>
      </c>
      <c r="N389" s="76" t="s">
        <v>1</v>
      </c>
      <c r="O389" s="76" t="s">
        <v>159</v>
      </c>
      <c r="P389" s="57"/>
      <c r="Q389" s="57"/>
      <c r="R389" s="57"/>
      <c r="S389" s="57"/>
      <c r="T389" s="57"/>
      <c r="U389" s="57"/>
      <c r="V389" s="57"/>
      <c r="W389" s="57"/>
      <c r="X389" s="57"/>
      <c r="Y389" s="57"/>
      <c r="Z389" s="84" t="str">
        <f t="shared" si="131"/>
        <v>88</v>
      </c>
      <c r="AA389" s="84" t="s">
        <v>5</v>
      </c>
    </row>
    <row r="390" spans="1:27" hidden="1" outlineLevel="1" x14ac:dyDescent="0.25">
      <c r="A390" s="338">
        <v>3</v>
      </c>
      <c r="C390" s="411" t="str">
        <f t="shared" si="130"/>
        <v>aa 00 03 73 00 13 89 55</v>
      </c>
      <c r="D390" s="395" t="s">
        <v>914</v>
      </c>
      <c r="J390" s="84" t="s">
        <v>0</v>
      </c>
      <c r="K390" s="75" t="s">
        <v>1</v>
      </c>
      <c r="L390" s="75" t="s">
        <v>8</v>
      </c>
      <c r="M390" s="76" t="s">
        <v>477</v>
      </c>
      <c r="N390" s="76" t="s">
        <v>1</v>
      </c>
      <c r="O390" s="76" t="s">
        <v>160</v>
      </c>
      <c r="P390" s="57"/>
      <c r="Q390" s="57"/>
      <c r="R390" s="57"/>
      <c r="S390" s="57"/>
      <c r="T390" s="57"/>
      <c r="U390" s="57"/>
      <c r="V390" s="57"/>
      <c r="W390" s="57"/>
      <c r="X390" s="57"/>
      <c r="Y390" s="57"/>
      <c r="Z390" s="84" t="str">
        <f t="shared" si="131"/>
        <v>89</v>
      </c>
      <c r="AA390" s="84" t="s">
        <v>5</v>
      </c>
    </row>
    <row r="391" spans="1:27" hidden="1" outlineLevel="1" x14ac:dyDescent="0.25">
      <c r="A391" s="338">
        <v>3</v>
      </c>
      <c r="C391" s="411" t="str">
        <f t="shared" si="130"/>
        <v>aa 00 03 73 00 20 96 55</v>
      </c>
      <c r="D391" s="395" t="s">
        <v>481</v>
      </c>
      <c r="J391" s="84" t="s">
        <v>0</v>
      </c>
      <c r="K391" s="75" t="s">
        <v>1</v>
      </c>
      <c r="L391" s="75" t="s">
        <v>8</v>
      </c>
      <c r="M391" s="76" t="s">
        <v>477</v>
      </c>
      <c r="N391" s="76" t="s">
        <v>1</v>
      </c>
      <c r="O391" s="76" t="s">
        <v>53</v>
      </c>
      <c r="P391" s="57"/>
      <c r="Q391" s="57"/>
      <c r="R391" s="57"/>
      <c r="S391" s="57"/>
      <c r="T391" s="57"/>
      <c r="U391" s="57"/>
      <c r="V391" s="57"/>
      <c r="W391" s="57"/>
      <c r="X391" s="57"/>
      <c r="Y391" s="57"/>
      <c r="Z391" s="84" t="str">
        <f t="shared" si="131"/>
        <v>96</v>
      </c>
      <c r="AA391" s="84" t="s">
        <v>5</v>
      </c>
    </row>
    <row r="392" spans="1:27" hidden="1" outlineLevel="1" x14ac:dyDescent="0.25">
      <c r="A392" s="338">
        <v>3</v>
      </c>
      <c r="C392" s="411" t="str">
        <f t="shared" si="130"/>
        <v>aa 00 03 73 00 21 97 55</v>
      </c>
      <c r="D392" s="395" t="s">
        <v>482</v>
      </c>
      <c r="J392" s="84" t="s">
        <v>0</v>
      </c>
      <c r="K392" s="75" t="s">
        <v>1</v>
      </c>
      <c r="L392" s="75" t="s">
        <v>8</v>
      </c>
      <c r="M392" s="76" t="s">
        <v>477</v>
      </c>
      <c r="N392" s="76" t="s">
        <v>1</v>
      </c>
      <c r="O392" s="76" t="s">
        <v>168</v>
      </c>
      <c r="P392" s="57"/>
      <c r="Q392" s="57"/>
      <c r="R392" s="57"/>
      <c r="S392" s="57"/>
      <c r="T392" s="57"/>
      <c r="U392" s="57"/>
      <c r="V392" s="57"/>
      <c r="W392" s="57"/>
      <c r="X392" s="57"/>
      <c r="Y392" s="57"/>
      <c r="Z392" s="84" t="str">
        <f t="shared" si="131"/>
        <v>97</v>
      </c>
      <c r="AA392" s="84" t="s">
        <v>5</v>
      </c>
    </row>
    <row r="393" spans="1:27" hidden="1" outlineLevel="1" x14ac:dyDescent="0.25">
      <c r="A393" s="338">
        <v>3</v>
      </c>
      <c r="C393" s="411" t="str">
        <f t="shared" si="130"/>
        <v>aa 00 03 73 00 22 98 55</v>
      </c>
      <c r="D393" s="395" t="s">
        <v>483</v>
      </c>
      <c r="J393" s="84" t="s">
        <v>0</v>
      </c>
      <c r="K393" s="75" t="s">
        <v>1</v>
      </c>
      <c r="L393" s="75" t="s">
        <v>8</v>
      </c>
      <c r="M393" s="76" t="s">
        <v>477</v>
      </c>
      <c r="N393" s="76" t="s">
        <v>1</v>
      </c>
      <c r="O393" s="76" t="s">
        <v>169</v>
      </c>
      <c r="P393" s="57"/>
      <c r="Q393" s="57"/>
      <c r="R393" s="57"/>
      <c r="S393" s="57"/>
      <c r="T393" s="57"/>
      <c r="U393" s="57"/>
      <c r="V393" s="57"/>
      <c r="W393" s="57"/>
      <c r="X393" s="57"/>
      <c r="Y393" s="57"/>
      <c r="Z393" s="84" t="str">
        <f t="shared" si="131"/>
        <v>98</v>
      </c>
      <c r="AA393" s="84" t="s">
        <v>5</v>
      </c>
    </row>
    <row r="394" spans="1:27" hidden="1" outlineLevel="1" x14ac:dyDescent="0.25">
      <c r="A394" s="338">
        <v>3</v>
      </c>
      <c r="C394" s="411" t="str">
        <f t="shared" si="130"/>
        <v>aa 00 03 73 00 26 9C 55</v>
      </c>
      <c r="D394" s="395" t="s">
        <v>913</v>
      </c>
      <c r="J394" s="84" t="s">
        <v>0</v>
      </c>
      <c r="K394" s="75" t="s">
        <v>1</v>
      </c>
      <c r="L394" s="75" t="s">
        <v>8</v>
      </c>
      <c r="M394" s="76" t="s">
        <v>477</v>
      </c>
      <c r="N394" s="76" t="s">
        <v>1</v>
      </c>
      <c r="O394" s="76" t="s">
        <v>773</v>
      </c>
      <c r="P394" s="57"/>
      <c r="Q394" s="57"/>
      <c r="R394" s="57"/>
      <c r="S394" s="57"/>
      <c r="T394" s="57"/>
      <c r="U394" s="57"/>
      <c r="V394" s="57"/>
      <c r="W394" s="57"/>
      <c r="X394" s="57"/>
      <c r="Y394" s="57"/>
      <c r="Z394" s="84" t="str">
        <f t="shared" si="131"/>
        <v>9C</v>
      </c>
      <c r="AA394" s="84" t="s">
        <v>5</v>
      </c>
    </row>
    <row r="395" spans="1:27" hidden="1" outlineLevel="1" x14ac:dyDescent="0.25">
      <c r="A395" s="338">
        <v>3</v>
      </c>
      <c r="C395" s="411" t="str">
        <f t="shared" si="130"/>
        <v>aa 00 03 73 00 23 99 55</v>
      </c>
      <c r="D395" s="395" t="s">
        <v>484</v>
      </c>
      <c r="J395" s="84" t="s">
        <v>0</v>
      </c>
      <c r="K395" s="75" t="s">
        <v>1</v>
      </c>
      <c r="L395" s="75" t="s">
        <v>8</v>
      </c>
      <c r="M395" s="76" t="s">
        <v>477</v>
      </c>
      <c r="N395" s="76" t="s">
        <v>1</v>
      </c>
      <c r="O395" s="76" t="s">
        <v>170</v>
      </c>
      <c r="P395" s="57"/>
      <c r="Q395" s="57"/>
      <c r="R395" s="57"/>
      <c r="S395" s="57"/>
      <c r="T395" s="57"/>
      <c r="U395" s="57"/>
      <c r="V395" s="57"/>
      <c r="W395" s="57"/>
      <c r="X395" s="57"/>
      <c r="Y395" s="57"/>
      <c r="Z395" s="84" t="str">
        <f t="shared" si="131"/>
        <v>99</v>
      </c>
      <c r="AA395" s="84" t="s">
        <v>5</v>
      </c>
    </row>
    <row r="396" spans="1:27" hidden="1" outlineLevel="1" x14ac:dyDescent="0.25">
      <c r="A396" s="338">
        <v>3</v>
      </c>
      <c r="C396" s="411" t="str">
        <f t="shared" si="130"/>
        <v>aa 00 03 73 00 24 9A 55</v>
      </c>
      <c r="D396" s="395" t="s">
        <v>485</v>
      </c>
      <c r="J396" s="84" t="s">
        <v>0</v>
      </c>
      <c r="K396" s="75" t="s">
        <v>1</v>
      </c>
      <c r="L396" s="75" t="s">
        <v>8</v>
      </c>
      <c r="M396" s="76" t="s">
        <v>477</v>
      </c>
      <c r="N396" s="76" t="s">
        <v>1</v>
      </c>
      <c r="O396" s="76" t="s">
        <v>171</v>
      </c>
      <c r="P396" s="57"/>
      <c r="Q396" s="57"/>
      <c r="R396" s="57"/>
      <c r="S396" s="57"/>
      <c r="T396" s="57"/>
      <c r="U396" s="57"/>
      <c r="V396" s="57"/>
      <c r="W396" s="57"/>
      <c r="X396" s="57"/>
      <c r="Y396" s="57"/>
      <c r="Z396" s="84" t="str">
        <f t="shared" si="131"/>
        <v>9A</v>
      </c>
      <c r="AA396" s="84" t="s">
        <v>5</v>
      </c>
    </row>
    <row r="397" spans="1:27" hidden="1" outlineLevel="1" x14ac:dyDescent="0.25">
      <c r="A397" s="338">
        <v>3</v>
      </c>
      <c r="C397" s="411" t="str">
        <f t="shared" si="130"/>
        <v>aa 00 03 73 00 25 9B 55</v>
      </c>
      <c r="D397" s="395" t="s">
        <v>486</v>
      </c>
      <c r="J397" s="84" t="s">
        <v>0</v>
      </c>
      <c r="K397" s="75" t="s">
        <v>1</v>
      </c>
      <c r="L397" s="75" t="s">
        <v>8</v>
      </c>
      <c r="M397" s="76" t="s">
        <v>477</v>
      </c>
      <c r="N397" s="76" t="s">
        <v>1</v>
      </c>
      <c r="O397" s="76" t="s">
        <v>172</v>
      </c>
      <c r="P397" s="57"/>
      <c r="Q397" s="57"/>
      <c r="R397" s="57"/>
      <c r="S397" s="57"/>
      <c r="T397" s="57"/>
      <c r="U397" s="57"/>
      <c r="V397" s="57"/>
      <c r="W397" s="57"/>
      <c r="X397" s="57"/>
      <c r="Y397" s="57"/>
      <c r="Z397" s="84" t="str">
        <f t="shared" si="131"/>
        <v>9B</v>
      </c>
      <c r="AA397" s="84" t="s">
        <v>5</v>
      </c>
    </row>
    <row r="398" spans="1:27" collapsed="1" x14ac:dyDescent="0.25"/>
    <row r="400" spans="1:27" x14ac:dyDescent="0.25">
      <c r="A400" s="409"/>
      <c r="J400" s="435" t="s">
        <v>275</v>
      </c>
      <c r="K400" s="435"/>
      <c r="L400" s="435"/>
      <c r="M400" s="435"/>
      <c r="N400" s="435"/>
      <c r="O400" s="435"/>
      <c r="P400" s="435"/>
      <c r="Q400" s="435"/>
      <c r="R400" s="435"/>
      <c r="S400" s="435"/>
      <c r="T400" s="435"/>
      <c r="U400" s="435"/>
      <c r="V400" s="435"/>
      <c r="W400" s="435"/>
      <c r="X400" s="435"/>
      <c r="Y400" s="435"/>
      <c r="Z400" s="435"/>
      <c r="AA400" s="435"/>
    </row>
    <row r="401" spans="1:27" ht="16.8" x14ac:dyDescent="0.25">
      <c r="A401" s="338">
        <v>2</v>
      </c>
      <c r="C401" s="406"/>
      <c r="D401" s="395" t="s">
        <v>915</v>
      </c>
      <c r="J401" s="86" t="s">
        <v>77</v>
      </c>
      <c r="K401" s="397" t="s">
        <v>78</v>
      </c>
      <c r="L401" s="397" t="s">
        <v>10</v>
      </c>
      <c r="M401" s="397" t="s">
        <v>79</v>
      </c>
      <c r="N401" s="397" t="s">
        <v>80</v>
      </c>
      <c r="O401" s="397" t="s">
        <v>11</v>
      </c>
      <c r="P401" s="436" t="s">
        <v>83</v>
      </c>
      <c r="Q401" s="436"/>
      <c r="R401" s="436"/>
      <c r="S401" s="436"/>
      <c r="T401" s="436"/>
      <c r="U401" s="436"/>
      <c r="V401" s="436"/>
      <c r="W401" s="436"/>
      <c r="X401" s="436"/>
      <c r="Y401" s="436"/>
      <c r="Z401" s="83" t="s">
        <v>81</v>
      </c>
      <c r="AA401" s="83" t="s">
        <v>82</v>
      </c>
    </row>
    <row r="402" spans="1:27" x14ac:dyDescent="0.25">
      <c r="A402" s="338">
        <v>3</v>
      </c>
      <c r="C402" s="12" t="str">
        <f t="shared" ref="C402:C404" si="132">IF(ISBLANK(H402),,H402&amp;" ")&amp;IF(ISBLANK(I402),,I402&amp;" ")&amp;IF(ISBLANK(J402),,J402&amp;" ")&amp;IF(ISBLANK(K402),,K402&amp;" ")&amp;IF(ISBLANK(L402),,L402&amp;" ")&amp;IF(ISBLANK(M402),,M402&amp;" ")&amp;IF(ISBLANK(N402),,N402&amp;" ")&amp;IF(ISBLANK(O402),,O402&amp;" ")&amp;IF(ISBLANK(P402),,P402&amp;" ")&amp;IF(ISBLANK(Q402),,Q402&amp;" ")&amp;IF(ISBLANK(R402),,R402&amp;" ")&amp;IF(ISBLANK(S402),,S402&amp;" ")&amp;IF(ISBLANK(T402),,T402&amp;" ")&amp;IF(ISBLANK(U402),,U402&amp;" ")&amp;IF(ISBLANK(V402),,V402&amp;" ")&amp;IF(ISBLANK(W402),,W402&amp;" ")&amp;IF(ISBLANK(X402),,X402&amp;" ")&amp;IF(ISBLANK(Y402),,Y402&amp;" ")&amp;IF(ISBLANK(Z402),,Z402&amp;" ")&amp;IF(ISBLANK(AA402),,AA402)</f>
        <v>aa 00 03 73 00 2b A1 55</v>
      </c>
      <c r="D402" s="395" t="s">
        <v>916</v>
      </c>
      <c r="J402" s="84" t="s">
        <v>0</v>
      </c>
      <c r="K402" s="75" t="s">
        <v>1</v>
      </c>
      <c r="L402" s="75" t="s">
        <v>8</v>
      </c>
      <c r="M402" s="76" t="s">
        <v>477</v>
      </c>
      <c r="N402" s="76" t="s">
        <v>1</v>
      </c>
      <c r="O402" s="76" t="s">
        <v>759</v>
      </c>
      <c r="P402" s="57"/>
      <c r="Q402" s="57"/>
      <c r="R402" s="57"/>
      <c r="S402" s="57"/>
      <c r="T402" s="57"/>
      <c r="U402" s="57"/>
      <c r="V402" s="57"/>
      <c r="W402" s="57"/>
      <c r="X402" s="57"/>
      <c r="Y402" s="57"/>
      <c r="Z402" s="84" t="str">
        <f>DEC2HEX(MOD(HEX2DEC(K402)+HEX2DEC(L402)+HEX2DEC(M402)+HEX2DEC(N402)+HEX2DEC(O402)+HEX2DEC(P402)+HEX2DEC(Q402)+HEX2DEC(R402)+HEX2DEC(S402)+HEX2DEC(T402)+HEX2DEC(U402)+HEX2DEC(V402)+HEX2DEC(Y402),256),2)</f>
        <v>A1</v>
      </c>
      <c r="AA402" s="84" t="s">
        <v>5</v>
      </c>
    </row>
    <row r="403" spans="1:27" x14ac:dyDescent="0.25">
      <c r="A403" s="338">
        <v>3</v>
      </c>
      <c r="C403" s="12" t="str">
        <f t="shared" si="132"/>
        <v>aa 00 03 73 00 2c A2 55</v>
      </c>
      <c r="D403" s="395" t="s">
        <v>917</v>
      </c>
      <c r="J403" s="84" t="s">
        <v>0</v>
      </c>
      <c r="K403" s="75" t="s">
        <v>1</v>
      </c>
      <c r="L403" s="75" t="s">
        <v>8</v>
      </c>
      <c r="M403" s="76" t="s">
        <v>477</v>
      </c>
      <c r="N403" s="76" t="s">
        <v>1</v>
      </c>
      <c r="O403" s="76" t="s">
        <v>760</v>
      </c>
      <c r="P403" s="57"/>
      <c r="Q403" s="57"/>
      <c r="R403" s="57"/>
      <c r="S403" s="57"/>
      <c r="T403" s="57"/>
      <c r="U403" s="57"/>
      <c r="V403" s="57"/>
      <c r="W403" s="57"/>
      <c r="X403" s="57"/>
      <c r="Y403" s="57"/>
      <c r="Z403" s="84" t="str">
        <f>DEC2HEX(MOD(HEX2DEC(K403)+HEX2DEC(L403)+HEX2DEC(M403)+HEX2DEC(N403)+HEX2DEC(O403)+HEX2DEC(P403)+HEX2DEC(Q403)+HEX2DEC(R403)+HEX2DEC(S403)+HEX2DEC(T403)+HEX2DEC(U403)+HEX2DEC(V403)+HEX2DEC(Y403),256),2)</f>
        <v>A2</v>
      </c>
      <c r="AA403" s="84" t="s">
        <v>5</v>
      </c>
    </row>
    <row r="404" spans="1:27" x14ac:dyDescent="0.25">
      <c r="A404" s="338">
        <v>3</v>
      </c>
      <c r="C404" s="12" t="str">
        <f t="shared" si="132"/>
        <v>aa 00 03 73 00 18 8E 55</v>
      </c>
      <c r="D404" s="395" t="s">
        <v>918</v>
      </c>
      <c r="J404" s="84" t="s">
        <v>0</v>
      </c>
      <c r="K404" s="75" t="s">
        <v>1</v>
      </c>
      <c r="L404" s="75" t="s">
        <v>8</v>
      </c>
      <c r="M404" s="76" t="s">
        <v>477</v>
      </c>
      <c r="N404" s="76" t="s">
        <v>1</v>
      </c>
      <c r="O404" s="76" t="s">
        <v>763</v>
      </c>
      <c r="P404" s="57"/>
      <c r="Q404" s="57"/>
      <c r="R404" s="57"/>
      <c r="S404" s="57"/>
      <c r="T404" s="57"/>
      <c r="U404" s="57"/>
      <c r="V404" s="57"/>
      <c r="W404" s="57"/>
      <c r="X404" s="57"/>
      <c r="Y404" s="57"/>
      <c r="Z404" s="84" t="str">
        <f t="shared" ref="Z404" si="133">DEC2HEX(MOD(HEX2DEC(K404)+HEX2DEC(L404)+HEX2DEC(M404)+HEX2DEC(N404)+HEX2DEC(O404)+HEX2DEC(P404)+HEX2DEC(Q404)+HEX2DEC(R404)+HEX2DEC(S404)+HEX2DEC(T404)+HEX2DEC(U404)+HEX2DEC(V404)+HEX2DEC(W404)+HEX2DEC(X404)+HEX2DEC(Y404),256),2)</f>
        <v>8E</v>
      </c>
      <c r="AA404" s="84" t="s">
        <v>5</v>
      </c>
    </row>
    <row r="405" spans="1:27" x14ac:dyDescent="0.25">
      <c r="A405" s="409"/>
      <c r="C405" s="406"/>
    </row>
    <row r="406" spans="1:27" x14ac:dyDescent="0.25">
      <c r="A406" s="409"/>
      <c r="C406" s="406"/>
    </row>
    <row r="407" spans="1:27" x14ac:dyDescent="0.25">
      <c r="A407" s="409"/>
      <c r="C407" s="406"/>
    </row>
    <row r="408" spans="1:27" x14ac:dyDescent="0.25">
      <c r="J408" s="435" t="s">
        <v>275</v>
      </c>
      <c r="K408" s="435"/>
      <c r="L408" s="435"/>
      <c r="M408" s="435"/>
      <c r="N408" s="435"/>
      <c r="O408" s="435"/>
      <c r="P408" s="435"/>
      <c r="Q408" s="435"/>
      <c r="R408" s="435"/>
      <c r="S408" s="435"/>
      <c r="T408" s="435"/>
      <c r="U408" s="435"/>
      <c r="V408" s="435"/>
      <c r="W408" s="435"/>
      <c r="X408" s="435"/>
      <c r="Y408" s="435"/>
      <c r="Z408" s="435"/>
      <c r="AA408" s="435"/>
    </row>
    <row r="409" spans="1:27" ht="16.8" x14ac:dyDescent="0.25">
      <c r="A409" s="338">
        <v>2</v>
      </c>
      <c r="D409" s="395" t="s">
        <v>948</v>
      </c>
      <c r="J409" s="86" t="s">
        <v>77</v>
      </c>
      <c r="K409" s="397" t="s">
        <v>78</v>
      </c>
      <c r="L409" s="397" t="s">
        <v>10</v>
      </c>
      <c r="M409" s="397" t="s">
        <v>79</v>
      </c>
      <c r="N409" s="397" t="s">
        <v>80</v>
      </c>
      <c r="O409" s="397" t="s">
        <v>11</v>
      </c>
      <c r="P409" s="436" t="s">
        <v>83</v>
      </c>
      <c r="Q409" s="436"/>
      <c r="R409" s="436"/>
      <c r="S409" s="436"/>
      <c r="T409" s="436"/>
      <c r="U409" s="436"/>
      <c r="V409" s="436"/>
      <c r="W409" s="436"/>
      <c r="X409" s="436"/>
      <c r="Y409" s="436"/>
      <c r="Z409" s="83" t="s">
        <v>81</v>
      </c>
      <c r="AA409" s="83" t="s">
        <v>82</v>
      </c>
    </row>
    <row r="410" spans="1:27" hidden="1" outlineLevel="1" x14ac:dyDescent="0.25">
      <c r="A410" s="338">
        <v>3</v>
      </c>
      <c r="C410" s="411" t="str">
        <f t="shared" ref="C410:C447" si="134">IF(ISBLANK(H410),,H410&amp;" ")&amp;IF(ISBLANK(I410),,I410&amp;" ")&amp;IF(ISBLANK(J410),,J410&amp;" ")&amp;IF(ISBLANK(K410),,K410&amp;" ")&amp;IF(ISBLANK(L410),,L410&amp;" ")&amp;IF(ISBLANK(M410),,M410&amp;" ")&amp;IF(ISBLANK(N410),,N410&amp;" ")&amp;IF(ISBLANK(O410),,O410&amp;" ")&amp;IF(ISBLANK(P410),,P410&amp;" ")&amp;IF(ISBLANK(Q410),,Q410&amp;" ")&amp;IF(ISBLANK(R410),,R410&amp;" ")&amp;IF(ISBLANK(S410),,S410&amp;" ")&amp;IF(ISBLANK(T410),,T410&amp;" ")&amp;IF(ISBLANK(U410),,U410&amp;" ")&amp;IF(ISBLANK(V410),,V410&amp;" ")&amp;IF(ISBLANK(W410),,W410&amp;" ")&amp;IF(ISBLANK(X410),,X410&amp;" ")&amp;IF(ISBLANK(Y410),,Y410&amp;" ")&amp;IF(ISBLANK(Z410),,Z410&amp;" ")&amp;IF(ISBLANK(AA410),,AA410)</f>
        <v>aa 00 03 11 00 21 35 55</v>
      </c>
      <c r="D410" s="395" t="s">
        <v>919</v>
      </c>
      <c r="J410" s="84" t="s">
        <v>0</v>
      </c>
      <c r="K410" s="75" t="s">
        <v>1</v>
      </c>
      <c r="L410" s="75" t="s">
        <v>8</v>
      </c>
      <c r="M410" s="76" t="s">
        <v>28</v>
      </c>
      <c r="N410" s="76" t="s">
        <v>1</v>
      </c>
      <c r="O410" s="76" t="s">
        <v>3</v>
      </c>
      <c r="P410" s="57"/>
      <c r="Q410" s="57"/>
      <c r="R410" s="57"/>
      <c r="S410" s="57"/>
      <c r="T410" s="57"/>
      <c r="U410" s="57"/>
      <c r="V410" s="57"/>
      <c r="W410" s="57"/>
      <c r="X410" s="57"/>
      <c r="Y410" s="57"/>
      <c r="Z410" s="84" t="str">
        <f t="shared" ref="Z410:Z421" si="135">DEC2HEX(MOD(HEX2DEC(K410)+HEX2DEC(L410)+HEX2DEC(M410)+HEX2DEC(N410)+HEX2DEC(O410)+HEX2DEC(P410)+HEX2DEC(Q410)+HEX2DEC(R410)+HEX2DEC(S410)+HEX2DEC(T410)+HEX2DEC(U410)+HEX2DEC(V410)+HEX2DEC(W410)+HEX2DEC(X410)+HEX2DEC(Y410),256),2)</f>
        <v>35</v>
      </c>
      <c r="AA410" s="84" t="s">
        <v>5</v>
      </c>
    </row>
    <row r="411" spans="1:27" hidden="1" outlineLevel="1" x14ac:dyDescent="0.25">
      <c r="A411" s="338">
        <v>3</v>
      </c>
      <c r="C411" s="411" t="str">
        <f t="shared" si="134"/>
        <v>aa 00 03 11 00 22 36 55</v>
      </c>
      <c r="D411" s="395" t="s">
        <v>920</v>
      </c>
      <c r="J411" s="84" t="s">
        <v>0</v>
      </c>
      <c r="K411" s="75" t="s">
        <v>1</v>
      </c>
      <c r="L411" s="75" t="s">
        <v>8</v>
      </c>
      <c r="M411" s="76" t="s">
        <v>28</v>
      </c>
      <c r="N411" s="76" t="s">
        <v>1</v>
      </c>
      <c r="O411" s="76" t="s">
        <v>56</v>
      </c>
      <c r="P411" s="57"/>
      <c r="Q411" s="57"/>
      <c r="R411" s="57"/>
      <c r="S411" s="57"/>
      <c r="T411" s="57"/>
      <c r="U411" s="57"/>
      <c r="V411" s="57"/>
      <c r="W411" s="57"/>
      <c r="X411" s="57"/>
      <c r="Y411" s="57"/>
      <c r="Z411" s="84" t="str">
        <f t="shared" si="135"/>
        <v>36</v>
      </c>
      <c r="AA411" s="84" t="s">
        <v>5</v>
      </c>
    </row>
    <row r="412" spans="1:27" hidden="1" outlineLevel="1" x14ac:dyDescent="0.25">
      <c r="A412" s="338">
        <v>3</v>
      </c>
      <c r="C412" s="411" t="str">
        <f t="shared" si="134"/>
        <v/>
      </c>
      <c r="D412" s="395"/>
    </row>
    <row r="413" spans="1:27" hidden="1" outlineLevel="1" x14ac:dyDescent="0.25">
      <c r="A413" s="338">
        <v>3</v>
      </c>
      <c r="C413" s="411" t="str">
        <f t="shared" si="134"/>
        <v>aa 00 06 11 00 00 01 01 00 19 55</v>
      </c>
      <c r="D413" s="395" t="s">
        <v>921</v>
      </c>
      <c r="J413" s="84" t="s">
        <v>0</v>
      </c>
      <c r="K413" s="75" t="s">
        <v>1</v>
      </c>
      <c r="L413" s="75" t="str">
        <f>DEC2HEX( COUNTA(M413:Y413),2)</f>
        <v>06</v>
      </c>
      <c r="M413" s="76" t="s">
        <v>28</v>
      </c>
      <c r="N413" s="76" t="s">
        <v>1</v>
      </c>
      <c r="O413" s="113" t="s">
        <v>1</v>
      </c>
      <c r="P413" s="399" t="s">
        <v>4</v>
      </c>
      <c r="Q413" s="399" t="s">
        <v>4</v>
      </c>
      <c r="R413" s="399" t="s">
        <v>1</v>
      </c>
      <c r="S413" s="399"/>
      <c r="T413" s="399"/>
      <c r="U413" s="399"/>
      <c r="V413" s="399"/>
      <c r="W413" s="399"/>
      <c r="X413" s="399"/>
      <c r="Y413" s="399"/>
      <c r="Z413" s="84" t="str">
        <f t="shared" ref="Z413" si="136">DEC2HEX(MOD(HEX2DEC(K413)+HEX2DEC(L413)+HEX2DEC(M413)+HEX2DEC(N413)+HEX2DEC(O413)+HEX2DEC(P413)+HEX2DEC(Q413)+HEX2DEC(R413)+HEX2DEC(S413)+HEX2DEC(T413)+HEX2DEC(U413)+HEX2DEC(V413)+HEX2DEC(W413)+HEX2DEC(X413)+HEX2DEC(Y413),256),2)</f>
        <v>19</v>
      </c>
      <c r="AA413" s="84" t="s">
        <v>5</v>
      </c>
    </row>
    <row r="414" spans="1:27" hidden="1" outlineLevel="1" x14ac:dyDescent="0.25">
      <c r="A414" s="338">
        <v>3</v>
      </c>
      <c r="C414" s="411" t="str">
        <f t="shared" si="134"/>
        <v>aa 00 06 11 00 00 01 01 03 1C 55</v>
      </c>
      <c r="D414" s="395" t="s">
        <v>922</v>
      </c>
      <c r="J414" s="84" t="s">
        <v>0</v>
      </c>
      <c r="K414" s="75" t="s">
        <v>1</v>
      </c>
      <c r="L414" s="75" t="str">
        <f>DEC2HEX( COUNTA(M414:Y414),2)</f>
        <v>06</v>
      </c>
      <c r="M414" s="76" t="s">
        <v>28</v>
      </c>
      <c r="N414" s="76" t="s">
        <v>1</v>
      </c>
      <c r="O414" s="113" t="s">
        <v>1</v>
      </c>
      <c r="P414" s="399" t="s">
        <v>4</v>
      </c>
      <c r="Q414" s="399" t="s">
        <v>4</v>
      </c>
      <c r="R414" s="399" t="s">
        <v>8</v>
      </c>
      <c r="S414" s="399"/>
      <c r="T414" s="399"/>
      <c r="U414" s="399"/>
      <c r="V414" s="399"/>
      <c r="W414" s="399"/>
      <c r="X414" s="399"/>
      <c r="Y414" s="399"/>
      <c r="Z414" s="84" t="str">
        <f t="shared" si="135"/>
        <v>1C</v>
      </c>
      <c r="AA414" s="84" t="s">
        <v>5</v>
      </c>
    </row>
    <row r="415" spans="1:27" hidden="1" outlineLevel="1" x14ac:dyDescent="0.25">
      <c r="A415" s="338">
        <v>3</v>
      </c>
      <c r="C415" s="411" t="str">
        <f t="shared" si="134"/>
        <v>aa 00 07 11 00 00 01 01 03 00 1D 55</v>
      </c>
      <c r="D415" s="395" t="s">
        <v>923</v>
      </c>
      <c r="J415" s="84" t="s">
        <v>0</v>
      </c>
      <c r="K415" s="75" t="s">
        <v>1</v>
      </c>
      <c r="L415" s="75" t="str">
        <f>DEC2HEX( COUNTA(M415:Y415),2)</f>
        <v>07</v>
      </c>
      <c r="M415" s="76" t="s">
        <v>28</v>
      </c>
      <c r="N415" s="76" t="s">
        <v>1</v>
      </c>
      <c r="O415" s="113" t="s">
        <v>1</v>
      </c>
      <c r="P415" s="399" t="s">
        <v>4</v>
      </c>
      <c r="Q415" s="399" t="s">
        <v>4</v>
      </c>
      <c r="R415" s="399" t="s">
        <v>8</v>
      </c>
      <c r="S415" s="399" t="s">
        <v>1</v>
      </c>
      <c r="T415" s="399"/>
      <c r="U415" s="399"/>
      <c r="V415" s="399"/>
      <c r="W415" s="399"/>
      <c r="X415" s="399"/>
      <c r="Y415" s="399"/>
      <c r="Z415" s="84" t="str">
        <f t="shared" si="135"/>
        <v>1D</v>
      </c>
      <c r="AA415" s="84" t="s">
        <v>5</v>
      </c>
    </row>
    <row r="416" spans="1:27" hidden="1" outlineLevel="1" x14ac:dyDescent="0.25">
      <c r="A416" s="338">
        <v>3</v>
      </c>
      <c r="C416" s="411" t="str">
        <f t="shared" si="134"/>
        <v>aa 00 03 11 00 01 15 55</v>
      </c>
      <c r="D416" s="395" t="s">
        <v>924</v>
      </c>
      <c r="J416" s="84" t="s">
        <v>0</v>
      </c>
      <c r="K416" s="75" t="s">
        <v>1</v>
      </c>
      <c r="L416" s="75" t="s">
        <v>8</v>
      </c>
      <c r="M416" s="76" t="s">
        <v>28</v>
      </c>
      <c r="N416" s="76" t="s">
        <v>1</v>
      </c>
      <c r="O416" s="76" t="s">
        <v>4</v>
      </c>
      <c r="P416" s="150"/>
      <c r="Q416" s="150"/>
      <c r="R416" s="150"/>
      <c r="S416" s="150"/>
      <c r="T416" s="150"/>
      <c r="U416" s="150"/>
      <c r="V416" s="150"/>
      <c r="W416" s="150"/>
      <c r="X416" s="150"/>
      <c r="Y416" s="150"/>
      <c r="Z416" s="84" t="str">
        <f t="shared" si="135"/>
        <v>15</v>
      </c>
      <c r="AA416" s="84" t="s">
        <v>5</v>
      </c>
    </row>
    <row r="417" spans="1:27" hidden="1" outlineLevel="1" x14ac:dyDescent="0.25">
      <c r="A417" s="338">
        <v>3</v>
      </c>
      <c r="C417" s="411" t="str">
        <f t="shared" si="134"/>
        <v>aa 00 03 11 00 02 16 55</v>
      </c>
      <c r="D417" s="395" t="s">
        <v>925</v>
      </c>
      <c r="J417" s="84" t="s">
        <v>0</v>
      </c>
      <c r="K417" s="75" t="s">
        <v>1</v>
      </c>
      <c r="L417" s="75" t="s">
        <v>8</v>
      </c>
      <c r="M417" s="76" t="s">
        <v>28</v>
      </c>
      <c r="N417" s="76" t="s">
        <v>1</v>
      </c>
      <c r="O417" s="76" t="s">
        <v>7</v>
      </c>
      <c r="P417" s="57"/>
      <c r="Q417" s="57"/>
      <c r="R417" s="57"/>
      <c r="S417" s="57"/>
      <c r="T417" s="57"/>
      <c r="U417" s="57"/>
      <c r="V417" s="57"/>
      <c r="W417" s="57"/>
      <c r="X417" s="57"/>
      <c r="Y417" s="57"/>
      <c r="Z417" s="84" t="str">
        <f t="shared" si="135"/>
        <v>16</v>
      </c>
      <c r="AA417" s="84" t="s">
        <v>5</v>
      </c>
    </row>
    <row r="418" spans="1:27" hidden="1" outlineLevel="1" x14ac:dyDescent="0.25">
      <c r="A418" s="338">
        <v>3</v>
      </c>
      <c r="C418" s="411" t="str">
        <f t="shared" si="134"/>
        <v>aa 00 03 11 00 03 17 55</v>
      </c>
      <c r="D418" s="395" t="s">
        <v>926</v>
      </c>
      <c r="J418" s="84" t="s">
        <v>0</v>
      </c>
      <c r="K418" s="75" t="s">
        <v>1</v>
      </c>
      <c r="L418" s="75" t="s">
        <v>8</v>
      </c>
      <c r="M418" s="76" t="s">
        <v>28</v>
      </c>
      <c r="N418" s="76" t="s">
        <v>1</v>
      </c>
      <c r="O418" s="76" t="s">
        <v>8</v>
      </c>
      <c r="P418" s="57"/>
      <c r="Q418" s="57"/>
      <c r="R418" s="57"/>
      <c r="S418" s="57"/>
      <c r="T418" s="57"/>
      <c r="U418" s="57"/>
      <c r="V418" s="57"/>
      <c r="W418" s="57"/>
      <c r="X418" s="57"/>
      <c r="Y418" s="57"/>
      <c r="Z418" s="84" t="str">
        <f t="shared" si="135"/>
        <v>17</v>
      </c>
      <c r="AA418" s="84" t="s">
        <v>5</v>
      </c>
    </row>
    <row r="419" spans="1:27" hidden="1" outlineLevel="1" x14ac:dyDescent="0.25">
      <c r="A419" s="338">
        <v>3</v>
      </c>
      <c r="C419" s="411" t="str">
        <f t="shared" si="134"/>
        <v>aa 00 03 11 00 13 27 55</v>
      </c>
      <c r="D419" s="395" t="s">
        <v>927</v>
      </c>
      <c r="J419" s="84" t="s">
        <v>0</v>
      </c>
      <c r="K419" s="75" t="s">
        <v>1</v>
      </c>
      <c r="L419" s="75" t="s">
        <v>8</v>
      </c>
      <c r="M419" s="76" t="s">
        <v>28</v>
      </c>
      <c r="N419" s="76" t="s">
        <v>1</v>
      </c>
      <c r="O419" s="76" t="s">
        <v>377</v>
      </c>
      <c r="P419" s="57"/>
      <c r="Q419" s="57"/>
      <c r="R419" s="57"/>
      <c r="S419" s="57"/>
      <c r="T419" s="57"/>
      <c r="U419" s="57"/>
      <c r="V419" s="57"/>
      <c r="W419" s="57"/>
      <c r="X419" s="57"/>
      <c r="Y419" s="57"/>
      <c r="Z419" s="84" t="str">
        <f t="shared" si="135"/>
        <v>27</v>
      </c>
      <c r="AA419" s="84" t="s">
        <v>5</v>
      </c>
    </row>
    <row r="420" spans="1:27" hidden="1" outlineLevel="1" x14ac:dyDescent="0.25">
      <c r="A420" s="338">
        <v>3</v>
      </c>
      <c r="C420" s="411" t="str">
        <f t="shared" si="134"/>
        <v>aa 00 03 11 00 14 28 55</v>
      </c>
      <c r="D420" s="395" t="s">
        <v>928</v>
      </c>
      <c r="J420" s="84" t="s">
        <v>0</v>
      </c>
      <c r="K420" s="75" t="s">
        <v>1</v>
      </c>
      <c r="L420" s="75" t="s">
        <v>8</v>
      </c>
      <c r="M420" s="76" t="s">
        <v>28</v>
      </c>
      <c r="N420" s="76" t="s">
        <v>1</v>
      </c>
      <c r="O420" s="76" t="s">
        <v>244</v>
      </c>
      <c r="P420" s="57"/>
      <c r="Q420" s="57"/>
      <c r="R420" s="57"/>
      <c r="S420" s="57"/>
      <c r="T420" s="57"/>
      <c r="U420" s="57"/>
      <c r="V420" s="57"/>
      <c r="W420" s="57"/>
      <c r="X420" s="57"/>
      <c r="Y420" s="57"/>
      <c r="Z420" s="84" t="str">
        <f t="shared" si="135"/>
        <v>28</v>
      </c>
      <c r="AA420" s="84" t="s">
        <v>5</v>
      </c>
    </row>
    <row r="421" spans="1:27" hidden="1" outlineLevel="1" x14ac:dyDescent="0.25">
      <c r="A421" s="338">
        <v>3</v>
      </c>
      <c r="C421" s="411" t="str">
        <f t="shared" si="134"/>
        <v>aa 00 03 11 00 20 34 55</v>
      </c>
      <c r="D421" s="395" t="s">
        <v>929</v>
      </c>
      <c r="J421" s="84" t="s">
        <v>0</v>
      </c>
      <c r="K421" s="75" t="s">
        <v>1</v>
      </c>
      <c r="L421" s="75" t="s">
        <v>8</v>
      </c>
      <c r="M421" s="76" t="s">
        <v>28</v>
      </c>
      <c r="N421" s="76" t="s">
        <v>1</v>
      </c>
      <c r="O421" s="76" t="s">
        <v>53</v>
      </c>
      <c r="P421" s="57"/>
      <c r="Q421" s="57"/>
      <c r="R421" s="57"/>
      <c r="S421" s="57"/>
      <c r="T421" s="57"/>
      <c r="U421" s="57"/>
      <c r="V421" s="57"/>
      <c r="W421" s="57"/>
      <c r="X421" s="57"/>
      <c r="Y421" s="57"/>
      <c r="Z421" s="84" t="str">
        <f t="shared" si="135"/>
        <v>34</v>
      </c>
      <c r="AA421" s="84" t="s">
        <v>5</v>
      </c>
    </row>
    <row r="422" spans="1:27" hidden="1" outlineLevel="1" x14ac:dyDescent="0.25">
      <c r="A422" s="338">
        <v>3</v>
      </c>
      <c r="C422" s="411" t="str">
        <f t="shared" si="134"/>
        <v/>
      </c>
      <c r="D422" s="395"/>
      <c r="J422" s="84"/>
      <c r="K422" s="75"/>
      <c r="L422" s="75"/>
      <c r="M422" s="76"/>
      <c r="N422" s="76"/>
      <c r="O422" s="76"/>
      <c r="P422" s="399"/>
      <c r="Q422" s="399"/>
      <c r="R422" s="399"/>
      <c r="S422" s="399"/>
      <c r="T422" s="399"/>
      <c r="U422" s="399"/>
      <c r="V422" s="399"/>
      <c r="W422" s="399"/>
      <c r="X422" s="399"/>
      <c r="Y422" s="399"/>
      <c r="Z422" s="84"/>
      <c r="AA422" s="84"/>
    </row>
    <row r="423" spans="1:27" hidden="1" outlineLevel="1" x14ac:dyDescent="0.25">
      <c r="A423" s="338">
        <v>3</v>
      </c>
      <c r="C423" s="411" t="str">
        <f t="shared" si="134"/>
        <v/>
      </c>
      <c r="D423" s="395"/>
    </row>
    <row r="424" spans="1:27" hidden="1" outlineLevel="1" x14ac:dyDescent="0.25">
      <c r="A424" s="338">
        <v>3</v>
      </c>
      <c r="C424" s="411" t="str">
        <f t="shared" si="134"/>
        <v>aa 00 03 11 00 30 44 55</v>
      </c>
      <c r="D424" s="395" t="s">
        <v>930</v>
      </c>
      <c r="J424" s="84" t="s">
        <v>0</v>
      </c>
      <c r="K424" s="75" t="s">
        <v>1</v>
      </c>
      <c r="L424" s="75" t="str">
        <f t="shared" ref="L424" si="137">DEC2HEX( COUNTA(M424:Y424),2)</f>
        <v>03</v>
      </c>
      <c r="M424" s="76" t="s">
        <v>28</v>
      </c>
      <c r="N424" s="76" t="s">
        <v>1</v>
      </c>
      <c r="O424" s="76" t="s">
        <v>20</v>
      </c>
      <c r="P424" s="57"/>
      <c r="Q424" s="57"/>
      <c r="R424" s="57"/>
      <c r="S424" s="57"/>
      <c r="T424" s="57"/>
      <c r="U424" s="57"/>
      <c r="V424" s="57"/>
      <c r="W424" s="57"/>
      <c r="X424" s="57"/>
      <c r="Y424" s="57"/>
      <c r="Z424" s="84" t="str">
        <f t="shared" ref="Z424" si="138">DEC2HEX(MOD(HEX2DEC(K424)+HEX2DEC(L424)+HEX2DEC(M424)+HEX2DEC(N424)+HEX2DEC(O424)+HEX2DEC(P424)+HEX2DEC(Q424)+HEX2DEC(R424)+HEX2DEC(S424)+HEX2DEC(T424)+HEX2DEC(U424)+HEX2DEC(V424)+HEX2DEC(W424)+HEX2DEC(X424)+HEX2DEC(Y424),256),2)</f>
        <v>44</v>
      </c>
      <c r="AA424" s="84" t="s">
        <v>5</v>
      </c>
    </row>
    <row r="425" spans="1:27" hidden="1" outlineLevel="1" x14ac:dyDescent="0.25">
      <c r="A425" s="338">
        <v>3</v>
      </c>
      <c r="C425" s="411" t="str">
        <f t="shared" si="134"/>
        <v/>
      </c>
      <c r="D425" s="395"/>
      <c r="J425" s="84"/>
      <c r="K425" s="75"/>
      <c r="L425" s="75"/>
      <c r="M425" s="76"/>
      <c r="N425" s="76"/>
      <c r="O425" s="76"/>
      <c r="P425" s="57"/>
      <c r="Q425" s="57"/>
      <c r="R425" s="57"/>
      <c r="S425" s="57"/>
      <c r="T425" s="57"/>
      <c r="U425" s="57"/>
      <c r="V425" s="57"/>
      <c r="W425" s="57"/>
      <c r="X425" s="57"/>
      <c r="Y425" s="57"/>
      <c r="Z425" s="84"/>
      <c r="AA425" s="84"/>
    </row>
    <row r="426" spans="1:27" hidden="1" outlineLevel="1" x14ac:dyDescent="0.25">
      <c r="A426" s="338">
        <v>3</v>
      </c>
      <c r="C426" s="411" t="str">
        <f t="shared" si="134"/>
        <v/>
      </c>
      <c r="D426" s="395"/>
      <c r="J426" s="84"/>
      <c r="K426" s="75"/>
      <c r="L426" s="75"/>
      <c r="M426" s="76"/>
      <c r="N426" s="76"/>
      <c r="O426" s="76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  <c r="Z426" s="84"/>
      <c r="AA426" s="84"/>
    </row>
    <row r="427" spans="1:27" hidden="1" outlineLevel="1" x14ac:dyDescent="0.25">
      <c r="A427" s="338">
        <v>3</v>
      </c>
      <c r="C427" s="411" t="str">
        <f t="shared" si="134"/>
        <v>aa 00 03 11 00 35 49 55</v>
      </c>
      <c r="D427" s="395" t="s">
        <v>931</v>
      </c>
      <c r="J427" s="84" t="s">
        <v>0</v>
      </c>
      <c r="K427" s="75" t="s">
        <v>1</v>
      </c>
      <c r="L427" s="75" t="str">
        <f t="shared" ref="L427:L435" si="139">DEC2HEX( COUNTA(M427:Y427),2)</f>
        <v>03</v>
      </c>
      <c r="M427" s="76" t="s">
        <v>28</v>
      </c>
      <c r="N427" s="76" t="s">
        <v>1</v>
      </c>
      <c r="O427" s="76" t="s">
        <v>601</v>
      </c>
      <c r="P427" s="57"/>
      <c r="Q427" s="57"/>
      <c r="R427" s="57"/>
      <c r="S427" s="57"/>
      <c r="T427" s="57"/>
      <c r="U427" s="57"/>
      <c r="V427" s="57"/>
      <c r="W427" s="57"/>
      <c r="X427" s="57"/>
      <c r="Y427" s="57"/>
      <c r="Z427" s="84" t="str">
        <f t="shared" ref="Z427:Z434" si="140">DEC2HEX(MOD(HEX2DEC(K427)+HEX2DEC(L427)+HEX2DEC(M427)+HEX2DEC(N427)+HEX2DEC(O427)+HEX2DEC(P427)+HEX2DEC(Q427)+HEX2DEC(R427)+HEX2DEC(S427)+HEX2DEC(T427)+HEX2DEC(U427)+HEX2DEC(V427)+HEX2DEC(W427)+HEX2DEC(X427)+HEX2DEC(Y427),256),2)</f>
        <v>49</v>
      </c>
      <c r="AA427" s="84" t="s">
        <v>5</v>
      </c>
    </row>
    <row r="428" spans="1:27" hidden="1" outlineLevel="1" x14ac:dyDescent="0.25">
      <c r="A428" s="338">
        <v>3</v>
      </c>
      <c r="C428" s="411" t="str">
        <f t="shared" si="134"/>
        <v>aa 00 03 11 00 36 4A 55</v>
      </c>
      <c r="D428" s="395" t="s">
        <v>932</v>
      </c>
      <c r="J428" s="84" t="s">
        <v>0</v>
      </c>
      <c r="K428" s="75" t="s">
        <v>1</v>
      </c>
      <c r="L428" s="75" t="str">
        <f t="shared" si="139"/>
        <v>03</v>
      </c>
      <c r="M428" s="76" t="s">
        <v>28</v>
      </c>
      <c r="N428" s="76" t="s">
        <v>1</v>
      </c>
      <c r="O428" s="76" t="s">
        <v>604</v>
      </c>
      <c r="P428" s="399"/>
      <c r="Q428" s="57"/>
      <c r="R428" s="57"/>
      <c r="S428" s="57"/>
      <c r="T428" s="57"/>
      <c r="U428" s="57"/>
      <c r="V428" s="57"/>
      <c r="W428" s="57"/>
      <c r="X428" s="57"/>
      <c r="Y428" s="57"/>
      <c r="Z428" s="84" t="str">
        <f t="shared" si="140"/>
        <v>4A</v>
      </c>
      <c r="AA428" s="84" t="s">
        <v>5</v>
      </c>
    </row>
    <row r="429" spans="1:27" hidden="1" outlineLevel="1" x14ac:dyDescent="0.25">
      <c r="A429" s="338">
        <v>3</v>
      </c>
      <c r="C429" s="411" t="str">
        <f t="shared" si="134"/>
        <v>aa 00 04 11 00 36 01 4C 55</v>
      </c>
      <c r="D429" s="395" t="s">
        <v>932</v>
      </c>
      <c r="J429" s="84" t="s">
        <v>0</v>
      </c>
      <c r="K429" s="75" t="s">
        <v>1</v>
      </c>
      <c r="L429" s="75" t="str">
        <f t="shared" si="139"/>
        <v>04</v>
      </c>
      <c r="M429" s="76" t="s">
        <v>28</v>
      </c>
      <c r="N429" s="76" t="s">
        <v>1</v>
      </c>
      <c r="O429" s="76" t="s">
        <v>604</v>
      </c>
      <c r="P429" s="399" t="s">
        <v>4</v>
      </c>
      <c r="Q429" s="57"/>
      <c r="R429" s="57"/>
      <c r="S429" s="57"/>
      <c r="T429" s="57"/>
      <c r="U429" s="57"/>
      <c r="V429" s="57"/>
      <c r="W429" s="57"/>
      <c r="X429" s="57"/>
      <c r="Y429" s="57"/>
      <c r="Z429" s="84" t="str">
        <f t="shared" si="140"/>
        <v>4C</v>
      </c>
      <c r="AA429" s="84" t="s">
        <v>5</v>
      </c>
    </row>
    <row r="430" spans="1:27" hidden="1" outlineLevel="1" x14ac:dyDescent="0.25">
      <c r="A430" s="338">
        <v>3</v>
      </c>
      <c r="C430" s="411" t="str">
        <f t="shared" si="134"/>
        <v>aa 00 04 11 00 36 02 4D 55</v>
      </c>
      <c r="D430" s="395" t="s">
        <v>933</v>
      </c>
      <c r="J430" s="84" t="s">
        <v>0</v>
      </c>
      <c r="K430" s="75" t="s">
        <v>1</v>
      </c>
      <c r="L430" s="75" t="str">
        <f t="shared" si="139"/>
        <v>04</v>
      </c>
      <c r="M430" s="76" t="s">
        <v>28</v>
      </c>
      <c r="N430" s="76" t="s">
        <v>1</v>
      </c>
      <c r="O430" s="76" t="s">
        <v>604</v>
      </c>
      <c r="P430" s="399" t="s">
        <v>15</v>
      </c>
      <c r="Q430" s="57"/>
      <c r="R430" s="57"/>
      <c r="S430" s="57"/>
      <c r="T430" s="57"/>
      <c r="U430" s="57"/>
      <c r="V430" s="57"/>
      <c r="W430" s="57"/>
      <c r="X430" s="57"/>
      <c r="Y430" s="57"/>
      <c r="Z430" s="84" t="str">
        <f t="shared" si="140"/>
        <v>4D</v>
      </c>
      <c r="AA430" s="84" t="s">
        <v>5</v>
      </c>
    </row>
    <row r="431" spans="1:27" hidden="1" outlineLevel="1" x14ac:dyDescent="0.25">
      <c r="A431" s="338">
        <v>3</v>
      </c>
      <c r="C431" s="411" t="str">
        <f t="shared" si="134"/>
        <v>aa 00 04 11 00 36 03 4E 55</v>
      </c>
      <c r="D431" s="395" t="s">
        <v>934</v>
      </c>
      <c r="J431" s="84" t="s">
        <v>0</v>
      </c>
      <c r="K431" s="75" t="s">
        <v>1</v>
      </c>
      <c r="L431" s="75" t="str">
        <f t="shared" si="139"/>
        <v>04</v>
      </c>
      <c r="M431" s="76" t="s">
        <v>28</v>
      </c>
      <c r="N431" s="76" t="s">
        <v>1</v>
      </c>
      <c r="O431" s="76" t="s">
        <v>604</v>
      </c>
      <c r="P431" s="399" t="s">
        <v>13</v>
      </c>
      <c r="Q431" s="57"/>
      <c r="R431" s="57"/>
      <c r="S431" s="57"/>
      <c r="T431" s="57"/>
      <c r="U431" s="57"/>
      <c r="V431" s="57"/>
      <c r="W431" s="57"/>
      <c r="X431" s="57"/>
      <c r="Y431" s="57"/>
      <c r="Z431" s="84" t="str">
        <f t="shared" si="140"/>
        <v>4E</v>
      </c>
      <c r="AA431" s="84" t="s">
        <v>5</v>
      </c>
    </row>
    <row r="432" spans="1:27" hidden="1" outlineLevel="1" x14ac:dyDescent="0.25">
      <c r="A432" s="338">
        <v>3</v>
      </c>
      <c r="C432" s="411" t="str">
        <f t="shared" si="134"/>
        <v>aa 00 04 11 00 36 04 4F 55</v>
      </c>
      <c r="D432" s="395" t="s">
        <v>935</v>
      </c>
      <c r="J432" s="84" t="s">
        <v>0</v>
      </c>
      <c r="K432" s="75" t="s">
        <v>1</v>
      </c>
      <c r="L432" s="75" t="str">
        <f t="shared" si="139"/>
        <v>04</v>
      </c>
      <c r="M432" s="76" t="s">
        <v>28</v>
      </c>
      <c r="N432" s="76" t="s">
        <v>1</v>
      </c>
      <c r="O432" s="76" t="s">
        <v>604</v>
      </c>
      <c r="P432" s="399" t="s">
        <v>18</v>
      </c>
      <c r="Q432" s="57"/>
      <c r="R432" s="57"/>
      <c r="S432" s="57"/>
      <c r="T432" s="57"/>
      <c r="U432" s="57"/>
      <c r="V432" s="57"/>
      <c r="W432" s="57"/>
      <c r="X432" s="57"/>
      <c r="Y432" s="57"/>
      <c r="Z432" s="84" t="str">
        <f t="shared" si="140"/>
        <v>4F</v>
      </c>
      <c r="AA432" s="84" t="s">
        <v>5</v>
      </c>
    </row>
    <row r="433" spans="1:32" hidden="1" outlineLevel="1" x14ac:dyDescent="0.25">
      <c r="A433" s="338">
        <v>3</v>
      </c>
      <c r="C433" s="411" t="str">
        <f t="shared" si="134"/>
        <v>aa 00 04 11 00 36 05 50 55</v>
      </c>
      <c r="D433" s="395" t="s">
        <v>936</v>
      </c>
      <c r="J433" s="84" t="s">
        <v>0</v>
      </c>
      <c r="K433" s="75" t="s">
        <v>1</v>
      </c>
      <c r="L433" s="75" t="str">
        <f t="shared" si="139"/>
        <v>04</v>
      </c>
      <c r="M433" s="76" t="s">
        <v>28</v>
      </c>
      <c r="N433" s="76" t="s">
        <v>1</v>
      </c>
      <c r="O433" s="76" t="s">
        <v>604</v>
      </c>
      <c r="P433" s="399" t="s">
        <v>122</v>
      </c>
      <c r="Q433" s="57"/>
      <c r="R433" s="57"/>
      <c r="S433" s="57"/>
      <c r="T433" s="57"/>
      <c r="U433" s="57"/>
      <c r="V433" s="57"/>
      <c r="W433" s="57"/>
      <c r="X433" s="57"/>
      <c r="Y433" s="57"/>
      <c r="Z433" s="84" t="str">
        <f t="shared" si="140"/>
        <v>50</v>
      </c>
      <c r="AA433" s="84" t="s">
        <v>5</v>
      </c>
    </row>
    <row r="434" spans="1:32" hidden="1" outlineLevel="1" x14ac:dyDescent="0.25">
      <c r="A434" s="338">
        <v>3</v>
      </c>
      <c r="C434" s="411" t="str">
        <f t="shared" si="134"/>
        <v>aa 00 04 11 00 36 06 51 55</v>
      </c>
      <c r="D434" s="395" t="s">
        <v>937</v>
      </c>
      <c r="J434" s="84" t="s">
        <v>0</v>
      </c>
      <c r="K434" s="75" t="s">
        <v>1</v>
      </c>
      <c r="L434" s="75" t="str">
        <f t="shared" si="139"/>
        <v>04</v>
      </c>
      <c r="M434" s="76" t="s">
        <v>28</v>
      </c>
      <c r="N434" s="76" t="s">
        <v>1</v>
      </c>
      <c r="O434" s="76" t="s">
        <v>604</v>
      </c>
      <c r="P434" s="399" t="s">
        <v>123</v>
      </c>
      <c r="Q434" s="57"/>
      <c r="R434" s="57"/>
      <c r="S434" s="57"/>
      <c r="T434" s="57"/>
      <c r="U434" s="57"/>
      <c r="V434" s="57"/>
      <c r="W434" s="57"/>
      <c r="X434" s="57"/>
      <c r="Y434" s="57"/>
      <c r="Z434" s="84" t="str">
        <f t="shared" si="140"/>
        <v>51</v>
      </c>
      <c r="AA434" s="84" t="s">
        <v>5</v>
      </c>
    </row>
    <row r="435" spans="1:32" hidden="1" outlineLevel="1" x14ac:dyDescent="0.25">
      <c r="A435" s="338">
        <v>3</v>
      </c>
      <c r="C435" s="411" t="str">
        <f t="shared" si="134"/>
        <v>aa 00 04 11 00 36 07 52 55</v>
      </c>
      <c r="D435" s="395" t="s">
        <v>938</v>
      </c>
      <c r="J435" s="84" t="s">
        <v>0</v>
      </c>
      <c r="K435" s="75" t="s">
        <v>1</v>
      </c>
      <c r="L435" s="75" t="str">
        <f t="shared" si="139"/>
        <v>04</v>
      </c>
      <c r="M435" s="76" t="s">
        <v>28</v>
      </c>
      <c r="N435" s="76" t="s">
        <v>1</v>
      </c>
      <c r="O435" s="76" t="s">
        <v>604</v>
      </c>
      <c r="P435" s="399" t="s">
        <v>124</v>
      </c>
      <c r="Q435" s="57"/>
      <c r="R435" s="57"/>
      <c r="S435" s="57"/>
      <c r="T435" s="57"/>
      <c r="U435" s="57"/>
      <c r="V435" s="57"/>
      <c r="W435" s="57"/>
      <c r="X435" s="57"/>
      <c r="Y435" s="57"/>
      <c r="Z435" s="84" t="str">
        <f>DEC2HEX(MOD(HEX2DEC(K435)+HEX2DEC(L435)+HEX2DEC(M435)+HEX2DEC(N435)+HEX2DEC(O435)+HEX2DEC(P435)+HEX2DEC(Q435)+HEX2DEC(R435)+HEX2DEC(S435)+HEX2DEC(T435)+HEX2DEC(U435)+HEX2DEC(V435)+HEX2DEC(W435)+HEX2DEC(X435)+HEX2DEC(Y435),256),2)</f>
        <v>52</v>
      </c>
      <c r="AA435" s="84" t="s">
        <v>5</v>
      </c>
    </row>
    <row r="436" spans="1:32" hidden="1" outlineLevel="1" x14ac:dyDescent="0.25">
      <c r="A436" s="338">
        <v>3</v>
      </c>
      <c r="C436" s="411" t="str">
        <f t="shared" si="134"/>
        <v/>
      </c>
      <c r="D436" s="395"/>
      <c r="J436" s="84"/>
      <c r="K436" s="75"/>
      <c r="L436" s="75"/>
      <c r="M436" s="76"/>
      <c r="N436" s="76"/>
      <c r="O436" s="76"/>
      <c r="P436" s="399"/>
      <c r="Q436" s="57"/>
      <c r="R436" s="57"/>
      <c r="S436" s="57"/>
      <c r="T436" s="57"/>
      <c r="U436" s="57"/>
      <c r="V436" s="57"/>
      <c r="W436" s="57"/>
      <c r="X436" s="57"/>
      <c r="Y436" s="57"/>
      <c r="Z436" s="84"/>
      <c r="AA436" s="84"/>
    </row>
    <row r="437" spans="1:32" hidden="1" outlineLevel="1" x14ac:dyDescent="0.25">
      <c r="A437" s="338">
        <v>3</v>
      </c>
      <c r="C437" s="411" t="str">
        <f t="shared" si="134"/>
        <v>aa 00 04 11 00 37 01 4D 55</v>
      </c>
      <c r="D437" s="395" t="s">
        <v>939</v>
      </c>
      <c r="J437" s="84" t="s">
        <v>0</v>
      </c>
      <c r="K437" s="75" t="s">
        <v>1</v>
      </c>
      <c r="L437" s="75" t="str">
        <f t="shared" ref="L437:L442" si="141">DEC2HEX( COUNTA(M437:Y437),2)</f>
        <v>04</v>
      </c>
      <c r="M437" s="76" t="s">
        <v>28</v>
      </c>
      <c r="N437" s="76" t="s">
        <v>1</v>
      </c>
      <c r="O437" s="76" t="s">
        <v>641</v>
      </c>
      <c r="P437" s="399" t="s">
        <v>4</v>
      </c>
      <c r="Q437" s="57"/>
      <c r="R437" s="57"/>
      <c r="S437" s="57"/>
      <c r="T437" s="57"/>
      <c r="U437" s="57"/>
      <c r="V437" s="57"/>
      <c r="W437" s="57"/>
      <c r="X437" s="57"/>
      <c r="Y437" s="57"/>
      <c r="Z437" s="84" t="str">
        <f t="shared" ref="Z437:Z442" si="142">DEC2HEX(MOD(HEX2DEC(K437)+HEX2DEC(L437)+HEX2DEC(M437)+HEX2DEC(N437)+HEX2DEC(O437)+HEX2DEC(P437)+HEX2DEC(Q437)+HEX2DEC(R437)+HEX2DEC(S437)+HEX2DEC(T437)+HEX2DEC(U437)+HEX2DEC(V437)+HEX2DEC(W437)+HEX2DEC(X437)+HEX2DEC(Y437),256),2)</f>
        <v>4D</v>
      </c>
      <c r="AA437" s="84" t="s">
        <v>5</v>
      </c>
    </row>
    <row r="438" spans="1:32" hidden="1" outlineLevel="1" x14ac:dyDescent="0.25">
      <c r="A438" s="338">
        <v>3</v>
      </c>
      <c r="C438" s="411" t="str">
        <f t="shared" si="134"/>
        <v>aa 00 04 11 00 37 02 4E 55</v>
      </c>
      <c r="D438" s="395" t="s">
        <v>940</v>
      </c>
      <c r="J438" s="84" t="s">
        <v>0</v>
      </c>
      <c r="K438" s="75" t="s">
        <v>1</v>
      </c>
      <c r="L438" s="75" t="str">
        <f t="shared" si="141"/>
        <v>04</v>
      </c>
      <c r="M438" s="76" t="s">
        <v>28</v>
      </c>
      <c r="N438" s="76" t="s">
        <v>1</v>
      </c>
      <c r="O438" s="76" t="s">
        <v>641</v>
      </c>
      <c r="P438" s="399" t="s">
        <v>15</v>
      </c>
      <c r="Q438" s="57"/>
      <c r="R438" s="57"/>
      <c r="S438" s="57"/>
      <c r="T438" s="57"/>
      <c r="U438" s="57"/>
      <c r="V438" s="57"/>
      <c r="W438" s="57"/>
      <c r="X438" s="57"/>
      <c r="Y438" s="57"/>
      <c r="Z438" s="84" t="str">
        <f t="shared" si="142"/>
        <v>4E</v>
      </c>
      <c r="AA438" s="84" t="s">
        <v>5</v>
      </c>
    </row>
    <row r="439" spans="1:32" hidden="1" outlineLevel="1" x14ac:dyDescent="0.25">
      <c r="A439" s="338">
        <v>3</v>
      </c>
      <c r="C439" s="411" t="str">
        <f t="shared" si="134"/>
        <v>aa 00 04 11 00 37 03 4F 55</v>
      </c>
      <c r="D439" s="395" t="s">
        <v>941</v>
      </c>
      <c r="J439" s="84" t="s">
        <v>0</v>
      </c>
      <c r="K439" s="75" t="s">
        <v>1</v>
      </c>
      <c r="L439" s="75" t="str">
        <f t="shared" si="141"/>
        <v>04</v>
      </c>
      <c r="M439" s="76" t="s">
        <v>28</v>
      </c>
      <c r="N439" s="76" t="s">
        <v>1</v>
      </c>
      <c r="O439" s="76" t="s">
        <v>641</v>
      </c>
      <c r="P439" s="399" t="s">
        <v>13</v>
      </c>
      <c r="Q439" s="57"/>
      <c r="R439" s="57"/>
      <c r="S439" s="57"/>
      <c r="T439" s="57"/>
      <c r="U439" s="57"/>
      <c r="V439" s="57"/>
      <c r="W439" s="57"/>
      <c r="X439" s="57"/>
      <c r="Y439" s="57"/>
      <c r="Z439" s="84" t="str">
        <f t="shared" si="142"/>
        <v>4F</v>
      </c>
      <c r="AA439" s="84" t="s">
        <v>5</v>
      </c>
    </row>
    <row r="440" spans="1:32" hidden="1" outlineLevel="1" x14ac:dyDescent="0.25">
      <c r="A440" s="338">
        <v>3</v>
      </c>
      <c r="C440" s="411" t="str">
        <f t="shared" si="134"/>
        <v>aa 00 04 11 00 37 04 50 55</v>
      </c>
      <c r="D440" s="395" t="s">
        <v>942</v>
      </c>
      <c r="J440" s="84" t="s">
        <v>0</v>
      </c>
      <c r="K440" s="75" t="s">
        <v>1</v>
      </c>
      <c r="L440" s="75" t="str">
        <f t="shared" si="141"/>
        <v>04</v>
      </c>
      <c r="M440" s="76" t="s">
        <v>28</v>
      </c>
      <c r="N440" s="76" t="s">
        <v>1</v>
      </c>
      <c r="O440" s="76" t="s">
        <v>641</v>
      </c>
      <c r="P440" s="399" t="s">
        <v>18</v>
      </c>
      <c r="Q440" s="57"/>
      <c r="R440" s="57"/>
      <c r="S440" s="57"/>
      <c r="T440" s="57"/>
      <c r="U440" s="57"/>
      <c r="V440" s="57"/>
      <c r="W440" s="57"/>
      <c r="X440" s="57"/>
      <c r="Y440" s="57"/>
      <c r="Z440" s="84" t="str">
        <f t="shared" si="142"/>
        <v>50</v>
      </c>
      <c r="AA440" s="84" t="s">
        <v>5</v>
      </c>
    </row>
    <row r="441" spans="1:32" hidden="1" outlineLevel="1" x14ac:dyDescent="0.25">
      <c r="A441" s="338">
        <v>3</v>
      </c>
      <c r="B441" s="410"/>
      <c r="C441" s="411" t="str">
        <f t="shared" si="134"/>
        <v>aa 00 04 11 00 37 05 51 55</v>
      </c>
      <c r="D441" s="395" t="s">
        <v>943</v>
      </c>
      <c r="J441" s="84" t="s">
        <v>0</v>
      </c>
      <c r="K441" s="75" t="s">
        <v>1</v>
      </c>
      <c r="L441" s="75" t="str">
        <f t="shared" si="141"/>
        <v>04</v>
      </c>
      <c r="M441" s="76" t="s">
        <v>28</v>
      </c>
      <c r="N441" s="76" t="s">
        <v>1</v>
      </c>
      <c r="O441" s="76" t="s">
        <v>641</v>
      </c>
      <c r="P441" s="399" t="s">
        <v>122</v>
      </c>
      <c r="Q441" s="57"/>
      <c r="R441" s="57"/>
      <c r="S441" s="57"/>
      <c r="T441" s="57"/>
      <c r="U441" s="57"/>
      <c r="V441" s="57"/>
      <c r="W441" s="57"/>
      <c r="X441" s="57"/>
      <c r="Y441" s="57"/>
      <c r="Z441" s="84" t="str">
        <f t="shared" si="142"/>
        <v>51</v>
      </c>
      <c r="AA441" s="84" t="s">
        <v>5</v>
      </c>
    </row>
    <row r="442" spans="1:32" hidden="1" outlineLevel="1" x14ac:dyDescent="0.25">
      <c r="A442" s="338">
        <v>3</v>
      </c>
      <c r="B442" s="410"/>
      <c r="C442" s="411" t="str">
        <f t="shared" si="134"/>
        <v>aa 00 04 11 00 37 06 52 55</v>
      </c>
      <c r="D442" s="395" t="s">
        <v>944</v>
      </c>
      <c r="J442" s="84" t="s">
        <v>0</v>
      </c>
      <c r="K442" s="75" t="s">
        <v>1</v>
      </c>
      <c r="L442" s="75" t="str">
        <f t="shared" si="141"/>
        <v>04</v>
      </c>
      <c r="M442" s="76" t="s">
        <v>28</v>
      </c>
      <c r="N442" s="76" t="s">
        <v>1</v>
      </c>
      <c r="O442" s="76" t="s">
        <v>641</v>
      </c>
      <c r="P442" s="399" t="s">
        <v>123</v>
      </c>
      <c r="Q442" s="57"/>
      <c r="R442" s="57"/>
      <c r="S442" s="57"/>
      <c r="T442" s="57"/>
      <c r="U442" s="57"/>
      <c r="V442" s="57"/>
      <c r="W442" s="57"/>
      <c r="X442" s="57"/>
      <c r="Y442" s="57"/>
      <c r="Z442" s="84" t="str">
        <f t="shared" si="142"/>
        <v>52</v>
      </c>
      <c r="AA442" s="84" t="s">
        <v>5</v>
      </c>
    </row>
    <row r="443" spans="1:32" hidden="1" outlineLevel="1" x14ac:dyDescent="0.25">
      <c r="A443" s="338">
        <v>3</v>
      </c>
      <c r="B443" s="410"/>
      <c r="C443" s="411" t="str">
        <f t="shared" si="134"/>
        <v/>
      </c>
      <c r="D443" s="395"/>
      <c r="J443" s="84"/>
      <c r="K443" s="75"/>
      <c r="L443" s="75"/>
      <c r="M443" s="76"/>
      <c r="N443" s="76"/>
      <c r="O443" s="76"/>
      <c r="P443" s="399"/>
      <c r="Q443" s="57"/>
      <c r="R443" s="57"/>
      <c r="S443" s="57"/>
      <c r="T443" s="57"/>
      <c r="U443" s="57"/>
      <c r="V443" s="57"/>
      <c r="W443" s="57"/>
      <c r="X443" s="57"/>
      <c r="Y443" s="57"/>
      <c r="Z443" s="84"/>
      <c r="AA443" s="84"/>
    </row>
    <row r="444" spans="1:32" hidden="1" outlineLevel="1" x14ac:dyDescent="0.25">
      <c r="A444" s="338">
        <v>3</v>
      </c>
      <c r="B444" s="410"/>
      <c r="C444" s="411" t="str">
        <f t="shared" si="134"/>
        <v xml:space="preserve">配置 </v>
      </c>
      <c r="D444" s="395"/>
      <c r="J444" s="84"/>
      <c r="K444" s="75"/>
      <c r="L444" s="75"/>
      <c r="M444" s="76"/>
      <c r="N444" s="76"/>
      <c r="O444" s="76"/>
      <c r="P444" s="311" t="s">
        <v>758</v>
      </c>
      <c r="Q444" s="57"/>
      <c r="R444" s="57"/>
      <c r="S444" s="57"/>
      <c r="T444" s="57"/>
      <c r="U444" s="57"/>
      <c r="V444" s="57"/>
      <c r="W444" s="57"/>
      <c r="X444" s="57"/>
      <c r="Y444" s="57"/>
      <c r="Z444" s="84"/>
      <c r="AA444" s="84"/>
      <c r="AC444" s="398" t="s">
        <v>618</v>
      </c>
      <c r="AD444" s="398" t="s">
        <v>750</v>
      </c>
      <c r="AE444" s="398" t="s">
        <v>730</v>
      </c>
      <c r="AF444" s="398" t="s">
        <v>619</v>
      </c>
    </row>
    <row r="445" spans="1:32" hidden="1" outlineLevel="1" x14ac:dyDescent="0.25">
      <c r="A445" s="338">
        <v>3</v>
      </c>
      <c r="B445" s="410"/>
      <c r="C445" s="411" t="str">
        <f t="shared" si="134"/>
        <v>aa 00 0A 11 00 34 02 00 64 00 64 1E 05 3C 55</v>
      </c>
      <c r="D445" s="395" t="s">
        <v>945</v>
      </c>
      <c r="J445" s="84" t="s">
        <v>0</v>
      </c>
      <c r="K445" s="75" t="s">
        <v>1</v>
      </c>
      <c r="L445" s="75" t="str">
        <f t="shared" ref="L445:L447" si="143">DEC2HEX( COUNTA(M445:Y445),2)</f>
        <v>0A</v>
      </c>
      <c r="M445" s="76" t="s">
        <v>28</v>
      </c>
      <c r="N445" s="76" t="s">
        <v>1</v>
      </c>
      <c r="O445" s="76" t="s">
        <v>620</v>
      </c>
      <c r="P445" s="399" t="s">
        <v>7</v>
      </c>
      <c r="Q445" s="3" t="str">
        <f>LEFT(RIGHT(DEC2HEX(AC445,4),4),2)</f>
        <v>00</v>
      </c>
      <c r="R445" s="3" t="str">
        <f>LEFT(RIGHT(DEC2HEX(AC445,4),2),2)</f>
        <v>64</v>
      </c>
      <c r="S445" s="3" t="str">
        <f>LEFT(RIGHT(DEC2HEX(AD445,4),4),2)</f>
        <v>00</v>
      </c>
      <c r="T445" s="3" t="str">
        <f>LEFT(RIGHT(DEC2HEX(AD445,4),2),2)</f>
        <v>64</v>
      </c>
      <c r="U445" s="3" t="str">
        <f>DEC2HEX(AE445,2)</f>
        <v>1E</v>
      </c>
      <c r="V445" s="399" t="str">
        <f>DEC2HEX(AF445,2)</f>
        <v>05</v>
      </c>
      <c r="W445" s="399"/>
      <c r="X445" s="57"/>
      <c r="Y445" s="57"/>
      <c r="Z445" s="84" t="str">
        <f>DEC2HEX(MOD(HEX2DEC(K445)+HEX2DEC(L445)+HEX2DEC(M445)+HEX2DEC(N445)+HEX2DEC(O445)+HEX2DEC(P445)+HEX2DEC(Q445)+HEX2DEC(R445)+HEX2DEC(S445)+HEX2DEC(T445)+HEX2DEC(U445)+HEX2DEC(V445)+HEX2DEC(W445)+HEX2DEC(X445)+HEX2DEC(Y445),256),2)</f>
        <v>3C</v>
      </c>
      <c r="AA445" s="84" t="s">
        <v>5</v>
      </c>
      <c r="AC445" s="264">
        <v>100</v>
      </c>
      <c r="AD445" s="264">
        <v>100</v>
      </c>
      <c r="AE445" s="264">
        <v>30</v>
      </c>
      <c r="AF445" s="264">
        <v>5</v>
      </c>
    </row>
    <row r="446" spans="1:32" hidden="1" outlineLevel="1" x14ac:dyDescent="0.25">
      <c r="A446" s="338">
        <v>3</v>
      </c>
      <c r="B446" s="410"/>
      <c r="C446" s="411" t="str">
        <f t="shared" si="134"/>
        <v>aa 00 03 11 00 40 54 55</v>
      </c>
      <c r="D446" s="395" t="s">
        <v>946</v>
      </c>
      <c r="J446" s="84" t="s">
        <v>0</v>
      </c>
      <c r="K446" s="75" t="s">
        <v>1</v>
      </c>
      <c r="L446" s="75" t="str">
        <f t="shared" si="143"/>
        <v>03</v>
      </c>
      <c r="M446" s="76" t="s">
        <v>28</v>
      </c>
      <c r="N446" s="76" t="s">
        <v>1</v>
      </c>
      <c r="O446" s="76" t="s">
        <v>42</v>
      </c>
      <c r="P446" s="57"/>
      <c r="Q446" s="57"/>
      <c r="R446" s="57"/>
      <c r="S446" s="57"/>
      <c r="T446" s="57"/>
      <c r="U446" s="57"/>
      <c r="V446" s="57"/>
      <c r="W446" s="57"/>
      <c r="X446" s="57"/>
      <c r="Y446" s="57"/>
      <c r="Z446" s="84" t="str">
        <f t="shared" ref="Z446:Z447" si="144">DEC2HEX(MOD(HEX2DEC(K446)+HEX2DEC(L446)+HEX2DEC(M446)+HEX2DEC(N446)+HEX2DEC(O446)+HEX2DEC(P446)+HEX2DEC(Q446)+HEX2DEC(R446)+HEX2DEC(S446)+HEX2DEC(T446)+HEX2DEC(U446)+HEX2DEC(V446)+HEX2DEC(W446)+HEX2DEC(X446)+HEX2DEC(Y446),256),2)</f>
        <v>54</v>
      </c>
      <c r="AA446" s="84" t="s">
        <v>5</v>
      </c>
    </row>
    <row r="447" spans="1:32" hidden="1" outlineLevel="1" x14ac:dyDescent="0.25">
      <c r="A447" s="338">
        <v>3</v>
      </c>
      <c r="B447" s="410"/>
      <c r="C447" s="411" t="str">
        <f t="shared" si="134"/>
        <v>aa 00 03 11 00 41 55 55</v>
      </c>
      <c r="D447" s="395" t="s">
        <v>947</v>
      </c>
      <c r="J447" s="84" t="s">
        <v>0</v>
      </c>
      <c r="K447" s="75" t="s">
        <v>1</v>
      </c>
      <c r="L447" s="75" t="str">
        <f t="shared" si="143"/>
        <v>03</v>
      </c>
      <c r="M447" s="76" t="s">
        <v>28</v>
      </c>
      <c r="N447" s="76" t="s">
        <v>1</v>
      </c>
      <c r="O447" s="76" t="s">
        <v>98</v>
      </c>
      <c r="P447" s="57"/>
      <c r="Q447" s="57"/>
      <c r="R447" s="57"/>
      <c r="S447" s="57"/>
      <c r="T447" s="57"/>
      <c r="U447" s="57"/>
      <c r="V447" s="57"/>
      <c r="W447" s="57"/>
      <c r="X447" s="57"/>
      <c r="Y447" s="57"/>
      <c r="Z447" s="84" t="str">
        <f t="shared" si="144"/>
        <v>55</v>
      </c>
      <c r="AA447" s="84" t="s">
        <v>5</v>
      </c>
    </row>
    <row r="448" spans="1:32" collapsed="1" x14ac:dyDescent="0.25">
      <c r="A448" s="409"/>
      <c r="B448" s="410"/>
      <c r="C448" s="406"/>
      <c r="D448" s="410"/>
    </row>
    <row r="451" spans="1:27" x14ac:dyDescent="0.25">
      <c r="A451" s="330">
        <v>1</v>
      </c>
      <c r="D451" s="395" t="s">
        <v>950</v>
      </c>
      <c r="J451" s="220" t="s">
        <v>77</v>
      </c>
      <c r="K451" s="412" t="s">
        <v>78</v>
      </c>
      <c r="L451" s="412" t="s">
        <v>10</v>
      </c>
      <c r="M451" s="412" t="s">
        <v>79</v>
      </c>
      <c r="N451" s="412" t="s">
        <v>80</v>
      </c>
      <c r="O451" s="412" t="s">
        <v>11</v>
      </c>
      <c r="P451" s="441" t="s">
        <v>83</v>
      </c>
      <c r="Q451" s="441"/>
      <c r="R451" s="441"/>
      <c r="S451" s="441"/>
      <c r="T451" s="441"/>
      <c r="U451" s="441"/>
      <c r="V451" s="441"/>
      <c r="W451" s="441"/>
      <c r="X451" s="441"/>
      <c r="Y451" s="441"/>
      <c r="Z451" s="412" t="s">
        <v>81</v>
      </c>
      <c r="AA451" s="412" t="s">
        <v>82</v>
      </c>
    </row>
    <row r="452" spans="1:27" x14ac:dyDescent="0.25">
      <c r="A452" s="338">
        <v>2</v>
      </c>
      <c r="C452" s="411" t="str">
        <f t="shared" ref="C452:C454" si="145">IF(ISBLANK(H452),,H452&amp;" ")&amp;IF(ISBLANK(I452),,I452&amp;" ")&amp;IF(ISBLANK(J452),,J452&amp;" ")&amp;IF(ISBLANK(K452),,K452&amp;" ")&amp;IF(ISBLANK(L452),,L452&amp;" ")&amp;IF(ISBLANK(M452),,M452&amp;" ")&amp;IF(ISBLANK(N452),,N452&amp;" ")&amp;IF(ISBLANK(O452),,O452&amp;" ")&amp;IF(ISBLANK(P452),,P452&amp;" ")&amp;IF(ISBLANK(Q452),,Q452&amp;" ")&amp;IF(ISBLANK(R452),,R452&amp;" ")&amp;IF(ISBLANK(S452),,S452&amp;" ")&amp;IF(ISBLANK(T452),,T452&amp;" ")&amp;IF(ISBLANK(U452),,U452&amp;" ")&amp;IF(ISBLANK(V452),,V452&amp;" ")&amp;IF(ISBLANK(W452),,W452&amp;" ")&amp;IF(ISBLANK(X452),,X452&amp;" ")&amp;IF(ISBLANK(Y452),,Y452&amp;" ")&amp;IF(ISBLANK(Z452),,Z452&amp;" ")&amp;IF(ISBLANK(AA452),,AA452)</f>
        <v>aa 00 03 E1 00 00 E4 55</v>
      </c>
      <c r="D452" s="395" t="s">
        <v>951</v>
      </c>
      <c r="J452" s="13" t="s">
        <v>0</v>
      </c>
      <c r="K452" s="13" t="s">
        <v>1</v>
      </c>
      <c r="L452" s="75" t="str">
        <f>DEC2HEX( COUNTA(M452:Y452),2)</f>
        <v>03</v>
      </c>
      <c r="M452" s="222" t="s">
        <v>12</v>
      </c>
      <c r="N452" s="222" t="s">
        <v>1</v>
      </c>
      <c r="O452" s="222" t="s">
        <v>1</v>
      </c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84" t="str">
        <f>DEC2HEX(MOD(HEX2DEC(K452)+HEX2DEC(L452)+HEX2DEC(M452)+HEX2DEC(N452)+HEX2DEC(O452)+HEX2DEC(P452)+HEX2DEC(Q452)+HEX2DEC(R452)+HEX2DEC(S452)+HEX2DEC(T452)+HEX2DEC(U452)+HEX2DEC(V452)+HEX2DEC(W452)+HEX2DEC(X452)+HEX2DEC(Y452),256),2)</f>
        <v>E4</v>
      </c>
      <c r="AA452" s="13" t="s">
        <v>5</v>
      </c>
    </row>
    <row r="453" spans="1:27" x14ac:dyDescent="0.25">
      <c r="A453" s="338">
        <v>2</v>
      </c>
      <c r="C453" s="411" t="str">
        <f t="shared" si="145"/>
        <v>aa 00 03 E1 01 00 E5 55</v>
      </c>
      <c r="D453" s="395" t="s">
        <v>952</v>
      </c>
      <c r="J453" s="13" t="s">
        <v>0</v>
      </c>
      <c r="K453" s="13" t="s">
        <v>1</v>
      </c>
      <c r="L453" s="75" t="str">
        <f t="shared" ref="L453:L454" si="146">DEC2HEX( COUNTA(M453:Y453),2)</f>
        <v>03</v>
      </c>
      <c r="M453" s="222" t="s">
        <v>12</v>
      </c>
      <c r="N453" s="222" t="s">
        <v>4</v>
      </c>
      <c r="O453" s="222" t="s">
        <v>1</v>
      </c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84" t="str">
        <f t="shared" ref="Z453:Z454" si="147">DEC2HEX(MOD(HEX2DEC(K453)+HEX2DEC(L453)+HEX2DEC(M453)+HEX2DEC(N453)+HEX2DEC(O453)+HEX2DEC(P453)+HEX2DEC(Q453)+HEX2DEC(R453)+HEX2DEC(S453)+HEX2DEC(T453)+HEX2DEC(U453)+HEX2DEC(V453)+HEX2DEC(W453)+HEX2DEC(X453)+HEX2DEC(Y453),256),2)</f>
        <v>E5</v>
      </c>
      <c r="AA453" s="13" t="s">
        <v>5</v>
      </c>
    </row>
    <row r="454" spans="1:27" x14ac:dyDescent="0.25">
      <c r="A454" s="338">
        <v>2</v>
      </c>
      <c r="C454" s="411" t="str">
        <f t="shared" si="145"/>
        <v>aa 00 03 E1 02 00 E6 55</v>
      </c>
      <c r="D454" s="395" t="s">
        <v>953</v>
      </c>
      <c r="J454" s="13" t="s">
        <v>0</v>
      </c>
      <c r="K454" s="13" t="s">
        <v>1</v>
      </c>
      <c r="L454" s="75" t="str">
        <f t="shared" si="146"/>
        <v>03</v>
      </c>
      <c r="M454" s="222" t="s">
        <v>12</v>
      </c>
      <c r="N454" s="222" t="s">
        <v>7</v>
      </c>
      <c r="O454" s="222" t="s">
        <v>1</v>
      </c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84" t="str">
        <f t="shared" si="147"/>
        <v>E6</v>
      </c>
      <c r="AA454" s="13" t="s">
        <v>5</v>
      </c>
    </row>
    <row r="457" spans="1:27" x14ac:dyDescent="0.25">
      <c r="A457" s="409"/>
      <c r="B457" s="410"/>
      <c r="C457" s="410"/>
      <c r="D457" s="418"/>
      <c r="J457" s="435" t="s">
        <v>275</v>
      </c>
      <c r="K457" s="435"/>
      <c r="L457" s="435"/>
      <c r="M457" s="435"/>
      <c r="N457" s="435"/>
      <c r="O457" s="435"/>
      <c r="P457" s="435"/>
      <c r="Q457" s="435"/>
      <c r="R457" s="435"/>
      <c r="S457" s="435"/>
      <c r="T457" s="435"/>
      <c r="U457" s="435"/>
      <c r="V457" s="435"/>
      <c r="W457" s="435"/>
      <c r="X457" s="435"/>
      <c r="Y457" s="435"/>
      <c r="Z457" s="435"/>
      <c r="AA457" s="435"/>
    </row>
    <row r="458" spans="1:27" ht="16.8" x14ac:dyDescent="0.25">
      <c r="A458" s="330">
        <v>1</v>
      </c>
      <c r="B458" s="410"/>
      <c r="C458" s="419"/>
      <c r="D458" s="395" t="s">
        <v>961</v>
      </c>
      <c r="J458" s="86" t="s">
        <v>77</v>
      </c>
      <c r="K458" s="414" t="s">
        <v>78</v>
      </c>
      <c r="L458" s="414" t="s">
        <v>10</v>
      </c>
      <c r="M458" s="414" t="s">
        <v>79</v>
      </c>
      <c r="N458" s="414" t="s">
        <v>80</v>
      </c>
      <c r="O458" s="414" t="s">
        <v>11</v>
      </c>
      <c r="P458" s="436" t="s">
        <v>83</v>
      </c>
      <c r="Q458" s="436"/>
      <c r="R458" s="436"/>
      <c r="S458" s="436"/>
      <c r="T458" s="436"/>
      <c r="U458" s="436"/>
      <c r="V458" s="436"/>
      <c r="W458" s="436"/>
      <c r="X458" s="436"/>
      <c r="Y458" s="436"/>
      <c r="Z458" s="83" t="s">
        <v>81</v>
      </c>
      <c r="AA458" s="83" t="s">
        <v>82</v>
      </c>
    </row>
    <row r="459" spans="1:27" ht="13.5" customHeight="1" x14ac:dyDescent="0.25">
      <c r="A459" s="338">
        <v>2</v>
      </c>
      <c r="B459" s="410"/>
      <c r="C459" s="411" t="str">
        <f>IF(ISBLANK(H459),,H459&amp;" ")&amp;IF(ISBLANK(I459),,I459&amp;" ")&amp;IF(ISBLANK(J459),,J459&amp;" ")&amp;IF(ISBLANK(K459),,K459&amp;" ")&amp;IF(ISBLANK(L459),,L459&amp;" ")&amp;IF(ISBLANK(M459),,M459&amp;" ")&amp;IF(ISBLANK(N459),,N459&amp;" ")&amp;IF(ISBLANK(O459),,O459&amp;" ")&amp;IF(ISBLANK(P459),,P459&amp;" ")&amp;IF(ISBLANK(Q459),,Q459&amp;" ")&amp;IF(ISBLANK(R459),,R459&amp;" ")&amp;IF(ISBLANK(S459),,S459&amp;" ")&amp;IF(ISBLANK(T459),,T459&amp;" ")&amp;IF(ISBLANK(U459),,U459&amp;" ")&amp;IF(ISBLANK(V459),,V459&amp;" ")&amp;IF(ISBLANK(W459),,W459&amp;" ")&amp;IF(ISBLANK(X459),,X459&amp;" ")&amp;IF(ISBLANK(Y459),,Y459&amp;" ")&amp;IF(ISBLANK(Z459),,Z459&amp;" ")&amp;IF(ISBLANK(AA459),,AA459)</f>
        <v>aa 00 03 24 00 00 27 55</v>
      </c>
      <c r="D459" s="395" t="s">
        <v>955</v>
      </c>
      <c r="J459" s="84" t="s">
        <v>0</v>
      </c>
      <c r="K459" s="75" t="s">
        <v>1</v>
      </c>
      <c r="L459" s="75" t="s">
        <v>8</v>
      </c>
      <c r="M459" s="76" t="s">
        <v>433</v>
      </c>
      <c r="N459" s="76" t="s">
        <v>1</v>
      </c>
      <c r="O459" s="76" t="s">
        <v>1</v>
      </c>
      <c r="P459" s="416"/>
      <c r="Q459" s="416"/>
      <c r="R459" s="416"/>
      <c r="S459" s="416"/>
      <c r="T459" s="416"/>
      <c r="U459" s="416"/>
      <c r="V459" s="416"/>
      <c r="W459" s="416"/>
      <c r="X459" s="416"/>
      <c r="Y459" s="416"/>
      <c r="Z459" s="84" t="str">
        <f>DEC2HEX(MOD(HEX2DEC(K459)+HEX2DEC(L459)+HEX2DEC(M459)+HEX2DEC(N459)+HEX2DEC(O459)+HEX2DEC(P459)+HEX2DEC(Q459)+HEX2DEC(R459)+HEX2DEC(S459)+HEX2DEC(T459)+HEX2DEC(U459)+HEX2DEC(V459)+HEX2DEC(Y459),256),2)</f>
        <v>27</v>
      </c>
      <c r="AA459" s="84" t="s">
        <v>5</v>
      </c>
    </row>
    <row r="460" spans="1:27" x14ac:dyDescent="0.25">
      <c r="A460" s="338">
        <v>2</v>
      </c>
      <c r="B460" s="410"/>
      <c r="C460" s="411" t="str">
        <f t="shared" ref="C460:C479" si="148">IF(ISBLANK(H460),,H460&amp;" ")&amp;IF(ISBLANK(I460),,I460&amp;" ")&amp;IF(ISBLANK(J460),,J460&amp;" ")&amp;IF(ISBLANK(K460),,K460&amp;" ")&amp;IF(ISBLANK(L460),,L460&amp;" ")&amp;IF(ISBLANK(M460),,M460&amp;" ")&amp;IF(ISBLANK(N460),,N460&amp;" ")&amp;IF(ISBLANK(O460),,O460&amp;" ")&amp;IF(ISBLANK(P460),,P460&amp;" ")&amp;IF(ISBLANK(Q460),,Q460&amp;" ")&amp;IF(ISBLANK(R460),,R460&amp;" ")&amp;IF(ISBLANK(S460),,S460&amp;" ")&amp;IF(ISBLANK(T460),,T460&amp;" ")&amp;IF(ISBLANK(U460),,U460&amp;" ")&amp;IF(ISBLANK(V460),,V460&amp;" ")&amp;IF(ISBLANK(W460),,W460&amp;" ")&amp;IF(ISBLANK(X460),,X460&amp;" ")&amp;IF(ISBLANK(Y460),,Y460&amp;" ")&amp;IF(ISBLANK(Z460),,Z460&amp;" ")&amp;IF(ISBLANK(AA460),,AA460)</f>
        <v/>
      </c>
      <c r="D460" s="395"/>
      <c r="J460" s="156"/>
      <c r="K460" s="157"/>
      <c r="L460" s="157"/>
      <c r="M460" s="157"/>
      <c r="N460" s="157"/>
      <c r="O460" s="157"/>
      <c r="P460" s="157"/>
      <c r="Q460" s="157"/>
      <c r="R460" s="157"/>
      <c r="S460" s="157"/>
      <c r="T460" s="157"/>
      <c r="U460" s="157"/>
      <c r="V460" s="157"/>
      <c r="W460" s="157"/>
      <c r="X460" s="157"/>
      <c r="Y460" s="157"/>
      <c r="Z460" s="158"/>
      <c r="AA460" s="158"/>
    </row>
    <row r="461" spans="1:27" x14ac:dyDescent="0.25">
      <c r="A461" s="338">
        <v>2</v>
      </c>
      <c r="B461" s="410"/>
      <c r="C461" s="411" t="str">
        <f t="shared" si="148"/>
        <v>aa 00 03 24 00 01 28 55</v>
      </c>
      <c r="D461" s="395" t="s">
        <v>956</v>
      </c>
      <c r="J461" s="84" t="s">
        <v>0</v>
      </c>
      <c r="K461" s="75" t="s">
        <v>1</v>
      </c>
      <c r="L461" s="75" t="s">
        <v>8</v>
      </c>
      <c r="M461" s="76" t="s">
        <v>433</v>
      </c>
      <c r="N461" s="76" t="s">
        <v>1</v>
      </c>
      <c r="O461" s="76" t="s">
        <v>4</v>
      </c>
      <c r="P461" s="416"/>
      <c r="Q461" s="416"/>
      <c r="R461" s="416"/>
      <c r="S461" s="416"/>
      <c r="T461" s="416"/>
      <c r="U461" s="416"/>
      <c r="V461" s="416"/>
      <c r="W461" s="416"/>
      <c r="X461" s="416"/>
      <c r="Y461" s="416"/>
      <c r="Z461" s="84" t="str">
        <f>DEC2HEX(MOD(HEX2DEC(K461)+HEX2DEC(L461)+HEX2DEC(M461)+HEX2DEC(N461)+HEX2DEC(O461)+HEX2DEC(P461)+HEX2DEC(Q461)+HEX2DEC(R461)+HEX2DEC(S461)+HEX2DEC(T461)+HEX2DEC(U461)+HEX2DEC(V461)+HEX2DEC(Y461),256),2)</f>
        <v>28</v>
      </c>
      <c r="AA461" s="84" t="s">
        <v>5</v>
      </c>
    </row>
    <row r="462" spans="1:27" x14ac:dyDescent="0.25">
      <c r="A462" s="338">
        <v>2</v>
      </c>
      <c r="B462" s="410"/>
      <c r="C462" s="411" t="str">
        <f t="shared" si="148"/>
        <v>aa 00 03 24 00 10 37 55</v>
      </c>
      <c r="D462" s="395" t="s">
        <v>957</v>
      </c>
      <c r="J462" s="84" t="s">
        <v>0</v>
      </c>
      <c r="K462" s="75" t="s">
        <v>1</v>
      </c>
      <c r="L462" s="75" t="s">
        <v>8</v>
      </c>
      <c r="M462" s="76" t="s">
        <v>433</v>
      </c>
      <c r="N462" s="76" t="s">
        <v>1</v>
      </c>
      <c r="O462" s="76" t="s">
        <v>70</v>
      </c>
      <c r="P462" s="416"/>
      <c r="Q462" s="416"/>
      <c r="R462" s="416"/>
      <c r="S462" s="416"/>
      <c r="T462" s="416"/>
      <c r="U462" s="416"/>
      <c r="V462" s="416"/>
      <c r="W462" s="416"/>
      <c r="X462" s="416"/>
      <c r="Y462" s="416"/>
      <c r="Z462" s="84" t="str">
        <f>DEC2HEX(MOD(HEX2DEC(K462)+HEX2DEC(L462)+HEX2DEC(M462)+HEX2DEC(N462)+HEX2DEC(O462)+HEX2DEC(P462)+HEX2DEC(Q462)+HEX2DEC(R462)+HEX2DEC(S462)+HEX2DEC(T462)+HEX2DEC(U462)+HEX2DEC(V462)+HEX2DEC(Y462),256),2)</f>
        <v>37</v>
      </c>
      <c r="AA462" s="84" t="s">
        <v>5</v>
      </c>
    </row>
    <row r="463" spans="1:27" x14ac:dyDescent="0.25">
      <c r="A463" s="338">
        <v>2</v>
      </c>
      <c r="C463" s="411" t="str">
        <f t="shared" si="148"/>
        <v>aa 00 03 24 00 11 38 55</v>
      </c>
      <c r="D463" s="395" t="s">
        <v>958</v>
      </c>
      <c r="J463" s="84" t="s">
        <v>0</v>
      </c>
      <c r="K463" s="75" t="s">
        <v>1</v>
      </c>
      <c r="L463" s="75" t="s">
        <v>8</v>
      </c>
      <c r="M463" s="76" t="s">
        <v>433</v>
      </c>
      <c r="N463" s="76" t="s">
        <v>1</v>
      </c>
      <c r="O463" s="76" t="s">
        <v>28</v>
      </c>
      <c r="P463" s="416"/>
      <c r="Q463" s="416"/>
      <c r="R463" s="416"/>
      <c r="S463" s="416"/>
      <c r="T463" s="416"/>
      <c r="U463" s="416"/>
      <c r="V463" s="416"/>
      <c r="W463" s="416"/>
      <c r="X463" s="416"/>
      <c r="Y463" s="416"/>
      <c r="Z463" s="84" t="str">
        <f>DEC2HEX(MOD(HEX2DEC(K463)+HEX2DEC(L463)+HEX2DEC(M463)+HEX2DEC(N463)+HEX2DEC(O463)+HEX2DEC(P463)+HEX2DEC(Q463)+HEX2DEC(R463)+HEX2DEC(S463)+HEX2DEC(T463)+HEX2DEC(U463)+HEX2DEC(V463)+HEX2DEC(Y463),256),2)</f>
        <v>38</v>
      </c>
      <c r="AA463" s="84" t="s">
        <v>5</v>
      </c>
    </row>
    <row r="464" spans="1:27" x14ac:dyDescent="0.25">
      <c r="A464" s="338"/>
      <c r="C464" s="411" t="str">
        <f t="shared" si="148"/>
        <v/>
      </c>
      <c r="D464" s="395"/>
      <c r="J464" s="125"/>
      <c r="K464" s="126"/>
      <c r="L464" s="126"/>
      <c r="M464" s="127"/>
      <c r="N464" s="127"/>
      <c r="O464" s="127"/>
      <c r="P464" s="128"/>
      <c r="Q464" s="128"/>
      <c r="R464" s="128"/>
      <c r="S464" s="128"/>
      <c r="T464" s="128"/>
      <c r="U464" s="128"/>
      <c r="V464" s="128"/>
      <c r="W464" s="128"/>
      <c r="X464" s="128"/>
      <c r="Y464" s="128"/>
      <c r="Z464" s="125"/>
      <c r="AA464" s="125"/>
    </row>
    <row r="465" spans="1:30" x14ac:dyDescent="0.25">
      <c r="A465" s="338"/>
      <c r="C465" s="411" t="str">
        <f t="shared" si="148"/>
        <v/>
      </c>
      <c r="D465" s="395"/>
      <c r="J465" s="125"/>
      <c r="K465" s="126"/>
      <c r="L465" s="126"/>
      <c r="M465" s="127"/>
      <c r="N465" s="127"/>
      <c r="O465" s="127"/>
      <c r="P465" s="128"/>
      <c r="Q465" s="128"/>
      <c r="R465" s="128"/>
      <c r="S465" s="128"/>
      <c r="T465" s="128"/>
      <c r="U465" s="128"/>
      <c r="V465" s="128"/>
      <c r="W465" s="128"/>
      <c r="X465" s="128"/>
      <c r="Y465" s="128"/>
      <c r="Z465" s="125"/>
      <c r="AA465" s="125"/>
    </row>
    <row r="466" spans="1:30" x14ac:dyDescent="0.25">
      <c r="A466" s="338">
        <v>2</v>
      </c>
      <c r="C466" s="411" t="str">
        <f t="shared" si="148"/>
        <v>aa 00 04 24 00 12 01 3B 55</v>
      </c>
      <c r="D466" s="420" t="s">
        <v>440</v>
      </c>
      <c r="J466" s="84" t="s">
        <v>0</v>
      </c>
      <c r="K466" s="75" t="s">
        <v>1</v>
      </c>
      <c r="L466" s="75" t="s">
        <v>2</v>
      </c>
      <c r="M466" s="76" t="s">
        <v>433</v>
      </c>
      <c r="N466" s="76" t="s">
        <v>1</v>
      </c>
      <c r="O466" s="76" t="s">
        <v>17</v>
      </c>
      <c r="P466" s="416" t="s">
        <v>4</v>
      </c>
      <c r="Q466" s="416"/>
      <c r="R466" s="416"/>
      <c r="S466" s="416"/>
      <c r="T466" s="416"/>
      <c r="U466" s="416"/>
      <c r="V466" s="416"/>
      <c r="W466" s="416"/>
      <c r="X466" s="416"/>
      <c r="Y466" s="416"/>
      <c r="Z466" s="84" t="str">
        <f>DEC2HEX(MOD(HEX2DEC(K466)+HEX2DEC(L466)+HEX2DEC(M466)+HEX2DEC(N466)+HEX2DEC(O466)+HEX2DEC(P466)+HEX2DEC(Q466)+HEX2DEC(R466)+HEX2DEC(S466)+HEX2DEC(T466)+HEX2DEC(U466)+HEX2DEC(V466)+HEX2DEC(Y466),256),2)</f>
        <v>3B</v>
      </c>
      <c r="AA466" s="84" t="s">
        <v>5</v>
      </c>
    </row>
    <row r="467" spans="1:30" x14ac:dyDescent="0.25">
      <c r="A467" s="338">
        <v>2</v>
      </c>
      <c r="C467" s="411" t="str">
        <f t="shared" si="148"/>
        <v>aa 00 04 24 00 12 02 3C 55</v>
      </c>
      <c r="D467" s="420" t="s">
        <v>442</v>
      </c>
      <c r="J467" s="84" t="s">
        <v>0</v>
      </c>
      <c r="K467" s="75" t="s">
        <v>1</v>
      </c>
      <c r="L467" s="75" t="s">
        <v>2</v>
      </c>
      <c r="M467" s="76" t="s">
        <v>433</v>
      </c>
      <c r="N467" s="76" t="s">
        <v>1</v>
      </c>
      <c r="O467" s="76" t="s">
        <v>17</v>
      </c>
      <c r="P467" s="416" t="s">
        <v>15</v>
      </c>
      <c r="Q467" s="416"/>
      <c r="R467" s="416"/>
      <c r="S467" s="416"/>
      <c r="T467" s="416"/>
      <c r="U467" s="416"/>
      <c r="V467" s="416"/>
      <c r="W467" s="416"/>
      <c r="X467" s="416"/>
      <c r="Y467" s="416"/>
      <c r="Z467" s="84" t="str">
        <f>DEC2HEX(MOD(HEX2DEC(K467)+HEX2DEC(L467)+HEX2DEC(M467)+HEX2DEC(N467)+HEX2DEC(O467)+HEX2DEC(P467)+HEX2DEC(Q467)+HEX2DEC(R467)+HEX2DEC(S467)+HEX2DEC(T467)+HEX2DEC(U467)+HEX2DEC(V467)+HEX2DEC(Y467),256),2)</f>
        <v>3C</v>
      </c>
      <c r="AA467" s="84" t="s">
        <v>5</v>
      </c>
    </row>
    <row r="468" spans="1:30" x14ac:dyDescent="0.25">
      <c r="A468" s="338">
        <v>2</v>
      </c>
      <c r="C468" s="411" t="str">
        <f t="shared" si="148"/>
        <v>aa 00 04 24 00 12 03 3D 55</v>
      </c>
      <c r="D468" s="420" t="s">
        <v>499</v>
      </c>
      <c r="J468" s="84" t="s">
        <v>0</v>
      </c>
      <c r="K468" s="75" t="s">
        <v>1</v>
      </c>
      <c r="L468" s="75" t="s">
        <v>2</v>
      </c>
      <c r="M468" s="76" t="s">
        <v>433</v>
      </c>
      <c r="N468" s="76" t="s">
        <v>1</v>
      </c>
      <c r="O468" s="76" t="s">
        <v>17</v>
      </c>
      <c r="P468" s="416" t="s">
        <v>13</v>
      </c>
      <c r="Q468" s="416"/>
      <c r="R468" s="416"/>
      <c r="S468" s="416"/>
      <c r="T468" s="416"/>
      <c r="U468" s="416"/>
      <c r="V468" s="416"/>
      <c r="W468" s="416"/>
      <c r="X468" s="416"/>
      <c r="Y468" s="416"/>
      <c r="Z468" s="84" t="str">
        <f>DEC2HEX(MOD(HEX2DEC(K468)+HEX2DEC(L468)+HEX2DEC(M468)+HEX2DEC(N468)+HEX2DEC(O468)+HEX2DEC(P468)+HEX2DEC(Q468)+HEX2DEC(R468)+HEX2DEC(S468)+HEX2DEC(T468)+HEX2DEC(U468)+HEX2DEC(V468)+HEX2DEC(Y468),256),2)</f>
        <v>3D</v>
      </c>
      <c r="AA468" s="84" t="s">
        <v>5</v>
      </c>
    </row>
    <row r="469" spans="1:30" x14ac:dyDescent="0.25">
      <c r="A469" s="338"/>
      <c r="C469" s="411" t="str">
        <f t="shared" si="148"/>
        <v/>
      </c>
      <c r="D469" s="395"/>
    </row>
    <row r="470" spans="1:30" ht="19.2" x14ac:dyDescent="0.25">
      <c r="A470" s="338"/>
      <c r="C470" s="411" t="str">
        <f t="shared" si="148"/>
        <v/>
      </c>
      <c r="D470" s="421" t="s">
        <v>954</v>
      </c>
      <c r="J470" s="125"/>
      <c r="K470" s="126"/>
      <c r="L470" s="126"/>
      <c r="M470" s="127"/>
      <c r="N470" s="127"/>
      <c r="O470" s="127"/>
      <c r="P470" s="128"/>
      <c r="Q470" s="128"/>
      <c r="R470" s="128"/>
      <c r="S470" s="128"/>
      <c r="T470" s="128"/>
      <c r="U470" s="128"/>
      <c r="V470" s="128"/>
      <c r="W470" s="128"/>
      <c r="X470" s="128"/>
      <c r="Y470" s="128"/>
      <c r="Z470" s="125"/>
      <c r="AA470" s="125"/>
      <c r="AC470" s="417" t="s">
        <v>446</v>
      </c>
      <c r="AD470" s="417" t="s">
        <v>81</v>
      </c>
    </row>
    <row r="471" spans="1:30" x14ac:dyDescent="0.25">
      <c r="A471" s="338">
        <v>2</v>
      </c>
      <c r="C471" s="411" t="str">
        <f t="shared" si="148"/>
        <v>aa 00 05 24 00 20 01 01 4B 55</v>
      </c>
      <c r="D471" s="421" t="s">
        <v>450</v>
      </c>
      <c r="J471" s="84" t="s">
        <v>0</v>
      </c>
      <c r="K471" s="75" t="s">
        <v>1</v>
      </c>
      <c r="L471" s="75" t="s">
        <v>9</v>
      </c>
      <c r="M471" s="76" t="s">
        <v>433</v>
      </c>
      <c r="N471" s="76" t="s">
        <v>1</v>
      </c>
      <c r="O471" s="76" t="s">
        <v>53</v>
      </c>
      <c r="P471" s="416" t="str">
        <f t="shared" ref="P471:Q476" si="149">DEC2HEX(AC471,2)</f>
        <v>01</v>
      </c>
      <c r="Q471" s="416" t="str">
        <f t="shared" si="149"/>
        <v>01</v>
      </c>
      <c r="R471" s="416"/>
      <c r="S471" s="416"/>
      <c r="T471" s="416"/>
      <c r="U471" s="416"/>
      <c r="V471" s="416"/>
      <c r="W471" s="416"/>
      <c r="X471" s="416"/>
      <c r="Y471" s="416"/>
      <c r="Z471" s="84" t="str">
        <f t="shared" ref="Z471:Z476" si="150">DEC2HEX(MOD(HEX2DEC(K471)+HEX2DEC(L471)+HEX2DEC(M471)+HEX2DEC(N471)+HEX2DEC(O471)+HEX2DEC(P471)+HEX2DEC(Q471)+HEX2DEC(R471)+HEX2DEC(S471)+HEX2DEC(T471)+HEX2DEC(U471)+HEX2DEC(V471)+HEX2DEC(Y471),256),2)</f>
        <v>4B</v>
      </c>
      <c r="AA471" s="84" t="s">
        <v>5</v>
      </c>
      <c r="AC471" s="116">
        <v>1</v>
      </c>
      <c r="AD471" s="115">
        <v>1</v>
      </c>
    </row>
    <row r="472" spans="1:30" x14ac:dyDescent="0.25">
      <c r="A472" s="338">
        <v>2</v>
      </c>
      <c r="C472" s="411" t="str">
        <f t="shared" si="148"/>
        <v>aa 00 05 24 00 20 02 01 4C 55</v>
      </c>
      <c r="D472" s="422" t="s">
        <v>451</v>
      </c>
      <c r="J472" s="84" t="s">
        <v>0</v>
      </c>
      <c r="K472" s="75" t="s">
        <v>1</v>
      </c>
      <c r="L472" s="75" t="s">
        <v>9</v>
      </c>
      <c r="M472" s="76" t="s">
        <v>433</v>
      </c>
      <c r="N472" s="76" t="s">
        <v>1</v>
      </c>
      <c r="O472" s="76" t="s">
        <v>53</v>
      </c>
      <c r="P472" s="416" t="str">
        <f t="shared" si="149"/>
        <v>02</v>
      </c>
      <c r="Q472" s="416" t="str">
        <f t="shared" si="149"/>
        <v>01</v>
      </c>
      <c r="R472" s="416"/>
      <c r="S472" s="416"/>
      <c r="T472" s="416"/>
      <c r="U472" s="416"/>
      <c r="V472" s="416"/>
      <c r="W472" s="416"/>
      <c r="X472" s="416"/>
      <c r="Y472" s="416"/>
      <c r="Z472" s="84" t="str">
        <f t="shared" si="150"/>
        <v>4C</v>
      </c>
      <c r="AA472" s="84" t="s">
        <v>5</v>
      </c>
      <c r="AC472" s="116">
        <v>2</v>
      </c>
      <c r="AD472" s="115">
        <v>1</v>
      </c>
    </row>
    <row r="473" spans="1:30" x14ac:dyDescent="0.25">
      <c r="A473" s="338">
        <v>2</v>
      </c>
      <c r="C473" s="411" t="str">
        <f t="shared" si="148"/>
        <v>aa 00 05 24 00 20 04 01 4E 55</v>
      </c>
      <c r="D473" s="422" t="s">
        <v>452</v>
      </c>
      <c r="J473" s="84" t="s">
        <v>0</v>
      </c>
      <c r="K473" s="75" t="s">
        <v>1</v>
      </c>
      <c r="L473" s="75" t="s">
        <v>9</v>
      </c>
      <c r="M473" s="76" t="s">
        <v>433</v>
      </c>
      <c r="N473" s="76" t="s">
        <v>1</v>
      </c>
      <c r="O473" s="76" t="s">
        <v>53</v>
      </c>
      <c r="P473" s="416" t="str">
        <f t="shared" si="149"/>
        <v>04</v>
      </c>
      <c r="Q473" s="416" t="str">
        <f t="shared" si="149"/>
        <v>01</v>
      </c>
      <c r="R473" s="416"/>
      <c r="S473" s="416"/>
      <c r="T473" s="416"/>
      <c r="U473" s="416"/>
      <c r="V473" s="416"/>
      <c r="W473" s="416"/>
      <c r="X473" s="416"/>
      <c r="Y473" s="416"/>
      <c r="Z473" s="84" t="str">
        <f t="shared" si="150"/>
        <v>4E</v>
      </c>
      <c r="AA473" s="84" t="s">
        <v>5</v>
      </c>
      <c r="AC473" s="116">
        <v>4</v>
      </c>
      <c r="AD473" s="115">
        <v>1</v>
      </c>
    </row>
    <row r="474" spans="1:30" x14ac:dyDescent="0.25">
      <c r="A474" s="338">
        <v>2</v>
      </c>
      <c r="C474" s="411" t="str">
        <f t="shared" si="148"/>
        <v>aa 00 05 24 00 20 08 01 52 55</v>
      </c>
      <c r="D474" s="422" t="s">
        <v>453</v>
      </c>
      <c r="J474" s="84" t="s">
        <v>0</v>
      </c>
      <c r="K474" s="75" t="s">
        <v>1</v>
      </c>
      <c r="L474" s="75" t="s">
        <v>9</v>
      </c>
      <c r="M474" s="76" t="s">
        <v>433</v>
      </c>
      <c r="N474" s="76" t="s">
        <v>1</v>
      </c>
      <c r="O474" s="76" t="s">
        <v>53</v>
      </c>
      <c r="P474" s="416" t="str">
        <f t="shared" si="149"/>
        <v>08</v>
      </c>
      <c r="Q474" s="416" t="str">
        <f t="shared" si="149"/>
        <v>01</v>
      </c>
      <c r="R474" s="416"/>
      <c r="S474" s="416"/>
      <c r="T474" s="416"/>
      <c r="U474" s="416"/>
      <c r="V474" s="416"/>
      <c r="W474" s="416"/>
      <c r="X474" s="416"/>
      <c r="Y474" s="416"/>
      <c r="Z474" s="84" t="str">
        <f t="shared" si="150"/>
        <v>52</v>
      </c>
      <c r="AA474" s="84" t="s">
        <v>5</v>
      </c>
      <c r="AC474" s="116">
        <v>8</v>
      </c>
      <c r="AD474" s="115">
        <v>1</v>
      </c>
    </row>
    <row r="475" spans="1:30" x14ac:dyDescent="0.25">
      <c r="A475" s="338">
        <v>2</v>
      </c>
      <c r="C475" s="411" t="str">
        <f t="shared" si="148"/>
        <v>aa 00 05 24 00 20 10 01 5A 55</v>
      </c>
      <c r="D475" s="422" t="s">
        <v>454</v>
      </c>
      <c r="J475" s="84" t="s">
        <v>0</v>
      </c>
      <c r="K475" s="75" t="s">
        <v>1</v>
      </c>
      <c r="L475" s="75" t="s">
        <v>9</v>
      </c>
      <c r="M475" s="76" t="s">
        <v>433</v>
      </c>
      <c r="N475" s="76" t="s">
        <v>1</v>
      </c>
      <c r="O475" s="76" t="s">
        <v>53</v>
      </c>
      <c r="P475" s="416" t="str">
        <f t="shared" si="149"/>
        <v>10</v>
      </c>
      <c r="Q475" s="416" t="str">
        <f t="shared" si="149"/>
        <v>01</v>
      </c>
      <c r="R475" s="416"/>
      <c r="S475" s="416"/>
      <c r="T475" s="416"/>
      <c r="U475" s="416"/>
      <c r="V475" s="416"/>
      <c r="W475" s="416"/>
      <c r="X475" s="416"/>
      <c r="Y475" s="416"/>
      <c r="Z475" s="84" t="str">
        <f t="shared" si="150"/>
        <v>5A</v>
      </c>
      <c r="AA475" s="84" t="s">
        <v>5</v>
      </c>
      <c r="AC475" s="116">
        <v>16</v>
      </c>
      <c r="AD475" s="115">
        <v>1</v>
      </c>
    </row>
    <row r="476" spans="1:30" x14ac:dyDescent="0.25">
      <c r="A476" s="338">
        <v>2</v>
      </c>
      <c r="C476" s="411" t="str">
        <f t="shared" si="148"/>
        <v>aa 00 05 24 00 20 0F 00 58 55</v>
      </c>
      <c r="D476" s="395"/>
      <c r="J476" s="84" t="s">
        <v>0</v>
      </c>
      <c r="K476" s="75" t="s">
        <v>1</v>
      </c>
      <c r="L476" s="75" t="s">
        <v>9</v>
      </c>
      <c r="M476" s="76" t="s">
        <v>433</v>
      </c>
      <c r="N476" s="76" t="s">
        <v>1</v>
      </c>
      <c r="O476" s="76" t="s">
        <v>53</v>
      </c>
      <c r="P476" s="416" t="s">
        <v>363</v>
      </c>
      <c r="Q476" s="416" t="str">
        <f t="shared" si="149"/>
        <v>00</v>
      </c>
      <c r="R476" s="416"/>
      <c r="S476" s="416"/>
      <c r="T476" s="416"/>
      <c r="U476" s="416"/>
      <c r="V476" s="416"/>
      <c r="W476" s="416"/>
      <c r="X476" s="416"/>
      <c r="Y476" s="416"/>
      <c r="Z476" s="84" t="str">
        <f t="shared" si="150"/>
        <v>58</v>
      </c>
      <c r="AA476" s="84" t="s">
        <v>5</v>
      </c>
      <c r="AC476" s="116"/>
      <c r="AD476" s="115">
        <v>0</v>
      </c>
    </row>
    <row r="477" spans="1:30" x14ac:dyDescent="0.25">
      <c r="A477" s="338"/>
      <c r="C477" s="411" t="str">
        <f t="shared" si="148"/>
        <v/>
      </c>
      <c r="D477" s="395"/>
    </row>
    <row r="478" spans="1:30" x14ac:dyDescent="0.25">
      <c r="A478" s="338"/>
      <c r="C478" s="411" t="str">
        <f t="shared" si="148"/>
        <v/>
      </c>
      <c r="D478" s="395"/>
      <c r="J478" s="415"/>
      <c r="K478" s="415"/>
      <c r="L478" s="415"/>
      <c r="M478" s="415"/>
      <c r="N478" s="415"/>
      <c r="O478" s="415"/>
      <c r="P478" s="415"/>
      <c r="Q478" s="415"/>
      <c r="R478" s="415"/>
      <c r="S478" s="415"/>
      <c r="T478" s="415"/>
      <c r="U478" s="415"/>
      <c r="V478" s="415"/>
      <c r="W478" s="415"/>
      <c r="X478" s="415"/>
      <c r="Y478" s="415"/>
      <c r="Z478" s="415"/>
      <c r="AA478" s="415"/>
      <c r="AC478" s="415" t="s">
        <v>466</v>
      </c>
    </row>
    <row r="479" spans="1:30" x14ac:dyDescent="0.25">
      <c r="A479" s="338">
        <v>2</v>
      </c>
      <c r="C479" s="411" t="str">
        <f t="shared" si="148"/>
        <v>aa 00 07 24 00 21 00 00 FF FF 4A 55</v>
      </c>
      <c r="D479" s="395" t="s">
        <v>960</v>
      </c>
      <c r="J479" s="84" t="s">
        <v>0</v>
      </c>
      <c r="K479" s="75" t="s">
        <v>1</v>
      </c>
      <c r="L479" s="75" t="s">
        <v>45</v>
      </c>
      <c r="M479" s="76" t="s">
        <v>433</v>
      </c>
      <c r="N479" s="76" t="s">
        <v>1</v>
      </c>
      <c r="O479" s="76" t="s">
        <v>3</v>
      </c>
      <c r="P479" s="416" t="str">
        <f>LEFT(AC479,2)</f>
        <v>00</v>
      </c>
      <c r="Q479" s="416" t="str">
        <f>RIGHT(LEFT(AC479,4),2)</f>
        <v>00</v>
      </c>
      <c r="R479" s="416" t="str">
        <f>RIGHT(LEFT(AC479,6),2)</f>
        <v>FF</v>
      </c>
      <c r="S479" s="416" t="str">
        <f>RIGHT(LEFT(AC479,8),2)</f>
        <v>FF</v>
      </c>
      <c r="T479" s="416"/>
      <c r="U479" s="416"/>
      <c r="V479" s="416"/>
      <c r="W479" s="416"/>
      <c r="X479" s="416"/>
      <c r="Y479" s="416"/>
      <c r="Z479" s="84" t="str">
        <f>DEC2HEX(MOD(HEX2DEC(K479)+HEX2DEC(L479)+HEX2DEC(M479)+HEX2DEC(N479)+HEX2DEC(O479)+HEX2DEC(P479)+HEX2DEC(Q479)+HEX2DEC(R479)+HEX2DEC(S479)+HEX2DEC(T479)+HEX2DEC(U479)+HEX2DEC(V479)+HEX2DEC(Y479),256),2)</f>
        <v>4A</v>
      </c>
      <c r="AA479" s="84" t="s">
        <v>5</v>
      </c>
      <c r="AC479" s="77" t="s">
        <v>467</v>
      </c>
    </row>
  </sheetData>
  <mergeCells count="176">
    <mergeCell ref="P374:Y374"/>
    <mergeCell ref="P380:Y380"/>
    <mergeCell ref="P386:Y386"/>
    <mergeCell ref="P344:AA344"/>
    <mergeCell ref="J368:AA368"/>
    <mergeCell ref="D334:G334"/>
    <mergeCell ref="D335:G335"/>
    <mergeCell ref="P341:AA341"/>
    <mergeCell ref="J342:AC342"/>
    <mergeCell ref="P343:AA343"/>
    <mergeCell ref="C192:D192"/>
    <mergeCell ref="C236:D236"/>
    <mergeCell ref="C257:D257"/>
    <mergeCell ref="D300:G300"/>
    <mergeCell ref="J316:AA316"/>
    <mergeCell ref="D319:G319"/>
    <mergeCell ref="D320:G320"/>
    <mergeCell ref="D321:G321"/>
    <mergeCell ref="D322:G322"/>
    <mergeCell ref="P317:Y317"/>
    <mergeCell ref="E29:G29"/>
    <mergeCell ref="E30:G30"/>
    <mergeCell ref="E37:G37"/>
    <mergeCell ref="E38:G38"/>
    <mergeCell ref="E80:G80"/>
    <mergeCell ref="E79:G79"/>
    <mergeCell ref="E39:G39"/>
    <mergeCell ref="E40:G40"/>
    <mergeCell ref="E41:G41"/>
    <mergeCell ref="E42:G42"/>
    <mergeCell ref="E43:G43"/>
    <mergeCell ref="E70:G70"/>
    <mergeCell ref="E71:G71"/>
    <mergeCell ref="E72:G72"/>
    <mergeCell ref="E73:G73"/>
    <mergeCell ref="E74:G74"/>
    <mergeCell ref="E75:G75"/>
    <mergeCell ref="P128:Q128"/>
    <mergeCell ref="P120:Q120"/>
    <mergeCell ref="P121:Q121"/>
    <mergeCell ref="P96:Q96"/>
    <mergeCell ref="T96:U96"/>
    <mergeCell ref="B10:G10"/>
    <mergeCell ref="E81:G81"/>
    <mergeCell ref="E44:G44"/>
    <mergeCell ref="E45:G45"/>
    <mergeCell ref="E76:G76"/>
    <mergeCell ref="E77:G77"/>
    <mergeCell ref="E34:G34"/>
    <mergeCell ref="J40:AA40"/>
    <mergeCell ref="J34:AA34"/>
    <mergeCell ref="E78:G78"/>
    <mergeCell ref="E35:G35"/>
    <mergeCell ref="J30:AA30"/>
    <mergeCell ref="E33:G33"/>
    <mergeCell ref="E31:G31"/>
    <mergeCell ref="E32:G32"/>
    <mergeCell ref="E36:G36"/>
    <mergeCell ref="C84:D84"/>
    <mergeCell ref="C96:D96"/>
    <mergeCell ref="Q84:R84"/>
    <mergeCell ref="T111:U111"/>
    <mergeCell ref="P112:Q112"/>
    <mergeCell ref="P113:Q113"/>
    <mergeCell ref="P114:Q114"/>
    <mergeCell ref="P115:Q115"/>
    <mergeCell ref="T137:U137"/>
    <mergeCell ref="C104:D104"/>
    <mergeCell ref="C111:D111"/>
    <mergeCell ref="C125:D125"/>
    <mergeCell ref="P129:Q129"/>
    <mergeCell ref="P130:Q130"/>
    <mergeCell ref="P122:Q122"/>
    <mergeCell ref="P123:Q123"/>
    <mergeCell ref="P111:Q111"/>
    <mergeCell ref="P116:Q116"/>
    <mergeCell ref="P117:Q117"/>
    <mergeCell ref="P118:Q118"/>
    <mergeCell ref="P119:Q119"/>
    <mergeCell ref="J134:AA134"/>
    <mergeCell ref="P135:T135"/>
    <mergeCell ref="P131:Q131"/>
    <mergeCell ref="P132:Q132"/>
    <mergeCell ref="P125:Q125"/>
    <mergeCell ref="U135:Y135"/>
    <mergeCell ref="P136:T136"/>
    <mergeCell ref="U136:Y136"/>
    <mergeCell ref="T125:U125"/>
    <mergeCell ref="P126:Q126"/>
    <mergeCell ref="P127:Q127"/>
    <mergeCell ref="P159:R159"/>
    <mergeCell ref="W161:X161"/>
    <mergeCell ref="P140:R140"/>
    <mergeCell ref="T140:U140"/>
    <mergeCell ref="P141:R141"/>
    <mergeCell ref="P142:R142"/>
    <mergeCell ref="P143:R143"/>
    <mergeCell ref="P144:R144"/>
    <mergeCell ref="P145:R145"/>
    <mergeCell ref="P146:R146"/>
    <mergeCell ref="P147:R147"/>
    <mergeCell ref="P148:R148"/>
    <mergeCell ref="P158:R158"/>
    <mergeCell ref="P149:R149"/>
    <mergeCell ref="P150:R150"/>
    <mergeCell ref="P151:R151"/>
    <mergeCell ref="P152:R152"/>
    <mergeCell ref="P153:R153"/>
    <mergeCell ref="P154:R154"/>
    <mergeCell ref="AG303:AJ303"/>
    <mergeCell ref="P155:R155"/>
    <mergeCell ref="P156:R156"/>
    <mergeCell ref="P157:R157"/>
    <mergeCell ref="AG304:AJ304"/>
    <mergeCell ref="J300:AA300"/>
    <mergeCell ref="P301:Y301"/>
    <mergeCell ref="AC300:AF300"/>
    <mergeCell ref="J269:AA269"/>
    <mergeCell ref="P188:Y188"/>
    <mergeCell ref="J189:AA189"/>
    <mergeCell ref="P172:Y172"/>
    <mergeCell ref="J171:AA171"/>
    <mergeCell ref="J284:AA284"/>
    <mergeCell ref="P285:Y285"/>
    <mergeCell ref="AI293:AJ293"/>
    <mergeCell ref="AC291:AJ291"/>
    <mergeCell ref="AI292:AJ292"/>
    <mergeCell ref="AG300:AJ300"/>
    <mergeCell ref="P409:Y409"/>
    <mergeCell ref="P426:Y426"/>
    <mergeCell ref="D323:G323"/>
    <mergeCell ref="P369:Y369"/>
    <mergeCell ref="AG310:AJ310"/>
    <mergeCell ref="AG311:AJ311"/>
    <mergeCell ref="D301:G301"/>
    <mergeCell ref="D302:G302"/>
    <mergeCell ref="D303:G303"/>
    <mergeCell ref="D304:G304"/>
    <mergeCell ref="D305:G305"/>
    <mergeCell ref="D306:G306"/>
    <mergeCell ref="D307:G307"/>
    <mergeCell ref="D308:G308"/>
    <mergeCell ref="D309:G309"/>
    <mergeCell ref="D310:G310"/>
    <mergeCell ref="D311:G311"/>
    <mergeCell ref="AG305:AJ305"/>
    <mergeCell ref="AG306:AJ306"/>
    <mergeCell ref="AG307:AJ307"/>
    <mergeCell ref="AG308:AJ308"/>
    <mergeCell ref="AG309:AJ309"/>
    <mergeCell ref="AG301:AJ301"/>
    <mergeCell ref="AG302:AJ302"/>
    <mergeCell ref="J45:AA45"/>
    <mergeCell ref="J50:AA50"/>
    <mergeCell ref="J57:AA57"/>
    <mergeCell ref="J62:AA62"/>
    <mergeCell ref="J457:AA457"/>
    <mergeCell ref="P458:Y458"/>
    <mergeCell ref="AC316:AF316"/>
    <mergeCell ref="D316:G316"/>
    <mergeCell ref="D317:G317"/>
    <mergeCell ref="D318:G318"/>
    <mergeCell ref="P330:Y330"/>
    <mergeCell ref="D330:G330"/>
    <mergeCell ref="D331:G331"/>
    <mergeCell ref="D332:G332"/>
    <mergeCell ref="D333:G333"/>
    <mergeCell ref="D324:G324"/>
    <mergeCell ref="D325:G325"/>
    <mergeCell ref="D326:G326"/>
    <mergeCell ref="D327:G327"/>
    <mergeCell ref="J329:AA329"/>
    <mergeCell ref="P451:Y451"/>
    <mergeCell ref="J400:AA400"/>
    <mergeCell ref="P401:Y401"/>
    <mergeCell ref="J408:AA408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6:AD28"/>
  <sheetViews>
    <sheetView zoomScale="85" zoomScaleNormal="85" workbookViewId="0">
      <selection activeCell="O10" sqref="O10:S10"/>
    </sheetView>
  </sheetViews>
  <sheetFormatPr defaultRowHeight="14.4" x14ac:dyDescent="0.25"/>
  <cols>
    <col min="2" max="2" width="51.6640625" customWidth="1"/>
    <col min="3" max="3" width="35.6640625" customWidth="1"/>
    <col min="4" max="5" width="5.44140625" customWidth="1"/>
    <col min="6" max="8" width="5" customWidth="1"/>
    <col min="9" max="26" width="3.6640625" customWidth="1"/>
  </cols>
  <sheetData>
    <row r="6" spans="2:30" x14ac:dyDescent="0.25">
      <c r="B6" s="495" t="s">
        <v>789</v>
      </c>
      <c r="C6" s="496"/>
      <c r="D6" s="496"/>
      <c r="E6" s="496"/>
      <c r="F6" s="496"/>
      <c r="G6" s="496"/>
      <c r="H6" s="496"/>
      <c r="I6" s="496"/>
      <c r="J6" s="496"/>
      <c r="K6" s="496"/>
      <c r="L6" s="496"/>
      <c r="M6" s="496"/>
      <c r="N6" s="496"/>
      <c r="O6" s="496"/>
      <c r="P6" s="496"/>
      <c r="Q6" s="496"/>
      <c r="R6" s="496"/>
      <c r="S6" s="496"/>
      <c r="T6" s="496"/>
      <c r="U6" s="496"/>
      <c r="V6" s="496"/>
      <c r="W6" s="496"/>
      <c r="X6" s="496"/>
      <c r="Y6" s="496"/>
      <c r="Z6" s="496"/>
      <c r="AA6" s="496"/>
      <c r="AB6" s="496"/>
      <c r="AC6" s="496"/>
      <c r="AD6" s="497"/>
    </row>
    <row r="7" spans="2:30" ht="22.2" x14ac:dyDescent="0.25">
      <c r="B7" s="498" t="s">
        <v>301</v>
      </c>
      <c r="C7" s="498"/>
      <c r="D7" s="498"/>
      <c r="E7" s="498"/>
      <c r="F7" s="498"/>
      <c r="G7" s="498"/>
      <c r="H7" s="498"/>
      <c r="I7" s="498"/>
      <c r="J7" s="498"/>
      <c r="K7" s="498"/>
      <c r="L7" s="498"/>
      <c r="M7" s="498"/>
      <c r="N7" s="498"/>
      <c r="O7" s="498"/>
      <c r="P7" s="498"/>
      <c r="Q7" s="498"/>
      <c r="R7" s="498"/>
      <c r="S7" s="498"/>
      <c r="T7" s="498"/>
      <c r="U7" s="498"/>
      <c r="V7" s="498"/>
      <c r="W7" s="498"/>
      <c r="X7" s="498"/>
      <c r="Y7" s="498"/>
      <c r="Z7" s="498"/>
      <c r="AA7" s="498"/>
      <c r="AB7" s="498"/>
      <c r="AC7" s="498"/>
      <c r="AD7" s="498"/>
    </row>
    <row r="8" spans="2:30" x14ac:dyDescent="0.25">
      <c r="B8" s="316" t="s">
        <v>266</v>
      </c>
      <c r="C8" s="316" t="s">
        <v>268</v>
      </c>
      <c r="D8" s="435" t="s">
        <v>791</v>
      </c>
      <c r="E8" s="435"/>
      <c r="F8" s="435"/>
      <c r="G8" s="435" t="s">
        <v>803</v>
      </c>
      <c r="H8" s="435"/>
      <c r="I8" s="435" t="s">
        <v>275</v>
      </c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5"/>
      <c r="W8" s="435"/>
      <c r="X8" s="435"/>
      <c r="Y8" s="435"/>
      <c r="Z8" s="435"/>
      <c r="AA8" s="435" t="s">
        <v>267</v>
      </c>
      <c r="AB8" s="435"/>
      <c r="AC8" s="435"/>
      <c r="AD8" s="435"/>
    </row>
    <row r="9" spans="2:30" ht="14.4" customHeight="1" x14ac:dyDescent="0.25">
      <c r="B9" s="51" t="s">
        <v>276</v>
      </c>
      <c r="C9" s="318" t="s">
        <v>253</v>
      </c>
      <c r="D9" s="435" t="s">
        <v>791</v>
      </c>
      <c r="E9" s="435"/>
      <c r="F9" s="435"/>
      <c r="G9" s="316" t="s">
        <v>801</v>
      </c>
      <c r="H9" s="316" t="s">
        <v>802</v>
      </c>
      <c r="I9" s="86" t="s">
        <v>792</v>
      </c>
      <c r="J9" s="317" t="s">
        <v>793</v>
      </c>
      <c r="K9" s="317" t="s">
        <v>794</v>
      </c>
      <c r="L9" s="317" t="s">
        <v>795</v>
      </c>
      <c r="M9" s="317" t="s">
        <v>796</v>
      </c>
      <c r="N9" s="317" t="s">
        <v>797</v>
      </c>
      <c r="O9" s="436" t="s">
        <v>798</v>
      </c>
      <c r="P9" s="436"/>
      <c r="Q9" s="436"/>
      <c r="R9" s="436"/>
      <c r="S9" s="436"/>
      <c r="T9" s="436"/>
      <c r="U9" s="436"/>
      <c r="V9" s="436"/>
      <c r="W9" s="436"/>
      <c r="X9" s="436"/>
      <c r="Y9" s="83" t="s">
        <v>799</v>
      </c>
      <c r="Z9" s="83" t="s">
        <v>800</v>
      </c>
      <c r="AA9" s="45"/>
      <c r="AB9" s="45"/>
      <c r="AC9" s="45"/>
      <c r="AD9" s="45"/>
    </row>
    <row r="10" spans="2:30" x14ac:dyDescent="0.25">
      <c r="B10" s="55" t="str">
        <f>IF(ISBLANK(G10),,G10&amp;" ")&amp;IF(ISBLANK(H10),,H10&amp;" ")&amp;IF(ISBLANK(I10),,I10&amp;" ")&amp;IF(ISBLANK(J10),,J10&amp;" ")&amp;IF(ISBLANK(K10),,K10&amp;" ")&amp;IF(ISBLANK(L10),,L10&amp;" ")&amp;IF(ISBLANK(M10),,M10&amp;" ")&amp;IF(ISBLANK(N10),,N10&amp;" ")&amp;IF(ISBLANK(O10),,O10&amp;" ")&amp;IF(ISBLANK(P10),,P10&amp;" ")&amp;IF(ISBLANK(Q10),,Q10&amp;" ")&amp;IF(ISBLANK(R10),,R10&amp;" ")&amp;IF(ISBLANK(S10),,S10&amp;" ")&amp;IF(ISBLANK(T10),,T10&amp;" ")&amp;IF(ISBLANK(U10),,U10&amp;" ")&amp;IF(ISBLANK(V10),,V10&amp;" ")&amp;IF(ISBLANK(W10),,W10&amp;" ")&amp;IF(ISBLANK(X10),,X10&amp;" ")&amp;IF(ISBLANK(Y10),,Y10&amp;" ")&amp;IF(ISBLANK(Z10),,Z10)</f>
        <v>0x00 0x01 aa 00 0D 23 01 12 00 00 00 00 00 00 00 00 00 00 43 55</v>
      </c>
      <c r="C10" s="320"/>
      <c r="D10" s="435" t="s">
        <v>791</v>
      </c>
      <c r="E10" s="435"/>
      <c r="F10" s="435"/>
      <c r="G10" s="336" t="s">
        <v>804</v>
      </c>
      <c r="H10" s="336" t="s">
        <v>805</v>
      </c>
      <c r="I10" s="84" t="s">
        <v>254</v>
      </c>
      <c r="J10" s="75" t="s">
        <v>1</v>
      </c>
      <c r="K10" s="75" t="str">
        <f>DEC2HEX( COUNTA(L10:X10),2)</f>
        <v>0D</v>
      </c>
      <c r="L10" s="76" t="s">
        <v>71</v>
      </c>
      <c r="M10" s="76" t="s">
        <v>69</v>
      </c>
      <c r="N10" s="76" t="s">
        <v>17</v>
      </c>
      <c r="O10" s="319" t="s">
        <v>90</v>
      </c>
      <c r="P10" s="319" t="s">
        <v>90</v>
      </c>
      <c r="Q10" s="319" t="s">
        <v>90</v>
      </c>
      <c r="R10" s="319" t="s">
        <v>90</v>
      </c>
      <c r="S10" s="319" t="s">
        <v>90</v>
      </c>
      <c r="T10" s="319" t="s">
        <v>90</v>
      </c>
      <c r="U10" s="319" t="s">
        <v>90</v>
      </c>
      <c r="V10" s="319" t="s">
        <v>23</v>
      </c>
      <c r="W10" s="319" t="s">
        <v>23</v>
      </c>
      <c r="X10" s="319" t="s">
        <v>23</v>
      </c>
      <c r="Y10" s="84" t="str">
        <f>DEC2HEX(MOD(HEX2DEC(J10)+HEX2DEC(K10)+HEX2DEC(L10)+HEX2DEC(M10)+HEX2DEC(N10)+HEX2DEC(O10)+HEX2DEC(P10)+HEX2DEC(Q10)+HEX2DEC(R10)+HEX2DEC(S10)+HEX2DEC(T10)+HEX2DEC(U10)+HEX2DEC(V10)+HEX2DEC(W10)+HEX2DEC(X10),256),2)</f>
        <v>43</v>
      </c>
      <c r="Z10" s="84" t="s">
        <v>92</v>
      </c>
      <c r="AA10" s="116"/>
      <c r="AB10" s="116"/>
      <c r="AC10" s="116"/>
      <c r="AD10" s="116"/>
    </row>
    <row r="25" spans="30:30" x14ac:dyDescent="0.25">
      <c r="AD25" s="43"/>
    </row>
    <row r="26" spans="30:30" x14ac:dyDescent="0.25">
      <c r="AD26" s="43"/>
    </row>
    <row r="28" spans="30:30" ht="14.4" customHeight="1" x14ac:dyDescent="0.25"/>
  </sheetData>
  <mergeCells count="9">
    <mergeCell ref="D10:F10"/>
    <mergeCell ref="G8:H8"/>
    <mergeCell ref="B6:AD6"/>
    <mergeCell ref="B7:AD7"/>
    <mergeCell ref="O9:X9"/>
    <mergeCell ref="I8:Z8"/>
    <mergeCell ref="AA8:AD8"/>
    <mergeCell ref="D8:F8"/>
    <mergeCell ref="D9:F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C2:AG46"/>
  <sheetViews>
    <sheetView topLeftCell="A4" zoomScale="130" zoomScaleNormal="130" workbookViewId="0">
      <selection activeCell="C24" sqref="C24:AC39"/>
    </sheetView>
  </sheetViews>
  <sheetFormatPr defaultColWidth="9" defaultRowHeight="14.4" x14ac:dyDescent="0.25"/>
  <cols>
    <col min="1" max="20" width="3.6640625" style="43" customWidth="1"/>
    <col min="21" max="21" width="40.6640625" style="43" customWidth="1"/>
    <col min="22" max="25" width="5.6640625" style="43" customWidth="1"/>
    <col min="26" max="29" width="10.6640625" style="43" customWidth="1"/>
    <col min="30" max="32" width="9" style="43"/>
    <col min="33" max="33" width="37.21875" style="43" customWidth="1"/>
    <col min="34" max="16384" width="9" style="43"/>
  </cols>
  <sheetData>
    <row r="2" spans="3:33" ht="15" thickBot="1" x14ac:dyDescent="0.3">
      <c r="C2" s="510" t="s">
        <v>379</v>
      </c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  <c r="AB2" s="511"/>
      <c r="AC2" s="512"/>
    </row>
    <row r="3" spans="3:33" ht="22.2" x14ac:dyDescent="0.25">
      <c r="C3" s="513" t="s">
        <v>301</v>
      </c>
      <c r="D3" s="514"/>
      <c r="E3" s="514"/>
      <c r="F3" s="514"/>
      <c r="G3" s="514"/>
      <c r="H3" s="514"/>
      <c r="I3" s="514"/>
      <c r="J3" s="514"/>
      <c r="K3" s="514"/>
      <c r="L3" s="514"/>
      <c r="M3" s="514"/>
      <c r="N3" s="514"/>
      <c r="O3" s="514"/>
      <c r="P3" s="514"/>
      <c r="Q3" s="514"/>
      <c r="R3" s="514"/>
      <c r="S3" s="514"/>
      <c r="T3" s="514"/>
      <c r="U3" s="514"/>
      <c r="V3" s="514"/>
      <c r="W3" s="514"/>
      <c r="X3" s="514"/>
      <c r="Y3" s="514"/>
      <c r="Z3" s="514"/>
      <c r="AA3" s="514"/>
      <c r="AB3" s="514"/>
      <c r="AC3" s="515"/>
      <c r="AG3" s="96" t="s">
        <v>339</v>
      </c>
    </row>
    <row r="4" spans="3:33" x14ac:dyDescent="0.25">
      <c r="C4" s="451" t="s">
        <v>275</v>
      </c>
      <c r="D4" s="435"/>
      <c r="E4" s="435"/>
      <c r="F4" s="435"/>
      <c r="G4" s="435"/>
      <c r="H4" s="435"/>
      <c r="I4" s="435"/>
      <c r="J4" s="435"/>
      <c r="K4" s="435"/>
      <c r="L4" s="435"/>
      <c r="M4" s="435"/>
      <c r="N4" s="435"/>
      <c r="O4" s="435"/>
      <c r="P4" s="435"/>
      <c r="Q4" s="435"/>
      <c r="R4" s="435"/>
      <c r="S4" s="435"/>
      <c r="T4" s="435"/>
      <c r="U4" s="218" t="s">
        <v>266</v>
      </c>
      <c r="V4" s="435" t="s">
        <v>267</v>
      </c>
      <c r="W4" s="435"/>
      <c r="X4" s="435"/>
      <c r="Y4" s="435"/>
      <c r="Z4" s="435" t="s">
        <v>268</v>
      </c>
      <c r="AA4" s="435"/>
      <c r="AB4" s="435"/>
      <c r="AC4" s="518"/>
      <c r="AG4" s="95" t="s">
        <v>303</v>
      </c>
    </row>
    <row r="5" spans="3:33" ht="12" customHeight="1" x14ac:dyDescent="0.25">
      <c r="C5" s="87" t="s">
        <v>260</v>
      </c>
      <c r="D5" s="219" t="s">
        <v>261</v>
      </c>
      <c r="E5" s="219" t="s">
        <v>262</v>
      </c>
      <c r="F5" s="219" t="s">
        <v>263</v>
      </c>
      <c r="G5" s="219" t="s">
        <v>264</v>
      </c>
      <c r="H5" s="219" t="s">
        <v>265</v>
      </c>
      <c r="I5" s="436" t="s">
        <v>87</v>
      </c>
      <c r="J5" s="436"/>
      <c r="K5" s="436"/>
      <c r="L5" s="436"/>
      <c r="M5" s="436"/>
      <c r="N5" s="436"/>
      <c r="O5" s="436"/>
      <c r="P5" s="436"/>
      <c r="Q5" s="436"/>
      <c r="R5" s="436"/>
      <c r="S5" s="83" t="s">
        <v>88</v>
      </c>
      <c r="T5" s="83" t="s">
        <v>89</v>
      </c>
      <c r="U5" s="51" t="s">
        <v>276</v>
      </c>
      <c r="V5" s="45"/>
      <c r="W5" s="45"/>
      <c r="X5" s="45"/>
      <c r="Y5" s="45"/>
      <c r="Z5" s="439" t="s">
        <v>253</v>
      </c>
      <c r="AA5" s="439"/>
      <c r="AB5" s="439"/>
      <c r="AC5" s="523"/>
      <c r="AG5" s="95" t="s">
        <v>304</v>
      </c>
    </row>
    <row r="6" spans="3:33" ht="12" customHeight="1" thickBot="1" x14ac:dyDescent="0.3">
      <c r="C6" s="88" t="s">
        <v>254</v>
      </c>
      <c r="D6" s="46" t="s">
        <v>1</v>
      </c>
      <c r="E6" s="46" t="str">
        <f>DEC2HEX( COUNTA(F6:R6),2)</f>
        <v>0D</v>
      </c>
      <c r="F6" s="47" t="s">
        <v>91</v>
      </c>
      <c r="G6" s="47" t="s">
        <v>257</v>
      </c>
      <c r="H6" s="47" t="s">
        <v>258</v>
      </c>
      <c r="I6" s="217" t="s">
        <v>90</v>
      </c>
      <c r="J6" s="217" t="s">
        <v>90</v>
      </c>
      <c r="K6" s="217" t="s">
        <v>90</v>
      </c>
      <c r="L6" s="217" t="s">
        <v>90</v>
      </c>
      <c r="M6" s="217" t="s">
        <v>90</v>
      </c>
      <c r="N6" s="217" t="s">
        <v>90</v>
      </c>
      <c r="O6" s="217" t="s">
        <v>90</v>
      </c>
      <c r="P6" s="217" t="s">
        <v>23</v>
      </c>
      <c r="Q6" s="217" t="s">
        <v>23</v>
      </c>
      <c r="R6" s="217" t="s">
        <v>85</v>
      </c>
      <c r="S6" s="85" t="str">
        <f>DEC2HEX(MOD(HEX2DEC(D6)+HEX2DEC(E6)+HEX2DEC(F6)+HEX2DEC(G6)+HEX2DEC(H6)+HEX2DEC(I6)+HEX2DEC(J6)+HEX2DEC(K6)+HEX2DEC(L6)+HEX2DEC(M6)+HEX2DEC(N6)+HEX2DEC(O6)+HEX2DEC(P6)+HEX2DEC(Q6)+HEX2DEC(R6),256),2)</f>
        <v>43</v>
      </c>
      <c r="T6" s="85" t="s">
        <v>92</v>
      </c>
      <c r="U6" s="49" t="str">
        <f>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")&amp;IF(ISBLANK(O6),,O6&amp;" ")&amp;IF(ISBLANK(P6),,P6&amp;" ")&amp;IF(ISBLANK(Q6),,Q6&amp;" ")&amp;IF(ISBLANK(R6),,R6&amp;" ")&amp;IF(ISBLANK(S6),,S6&amp;" ")&amp;IF(ISBLANK(T6),,T6)</f>
        <v>aa 00 0D 23 01 12 00 00 00 00 00 00 00 00 00 00 43 55</v>
      </c>
      <c r="V6" s="204"/>
      <c r="W6" s="204"/>
      <c r="X6" s="204"/>
      <c r="Y6" s="204"/>
      <c r="Z6" s="521"/>
      <c r="AA6" s="521"/>
      <c r="AB6" s="521"/>
      <c r="AC6" s="522"/>
      <c r="AG6" s="95" t="s">
        <v>305</v>
      </c>
    </row>
    <row r="7" spans="3:33" x14ac:dyDescent="0.25">
      <c r="AG7" s="95" t="s">
        <v>306</v>
      </c>
    </row>
    <row r="8" spans="3:33" ht="15" thickBot="1" x14ac:dyDescent="0.3">
      <c r="AG8" s="95" t="s">
        <v>307</v>
      </c>
    </row>
    <row r="9" spans="3:33" x14ac:dyDescent="0.25">
      <c r="C9" s="524" t="s">
        <v>274</v>
      </c>
      <c r="D9" s="525"/>
      <c r="E9" s="525"/>
      <c r="F9" s="525"/>
      <c r="G9" s="525"/>
      <c r="H9" s="525"/>
      <c r="I9" s="525"/>
      <c r="J9" s="525"/>
      <c r="K9" s="525"/>
      <c r="L9" s="525"/>
      <c r="M9" s="525"/>
      <c r="N9" s="525"/>
      <c r="O9" s="525"/>
      <c r="P9" s="525"/>
      <c r="Q9" s="525"/>
      <c r="R9" s="525"/>
      <c r="S9" s="525"/>
      <c r="T9" s="525"/>
      <c r="U9" s="525"/>
      <c r="V9" s="525"/>
      <c r="W9" s="525"/>
      <c r="X9" s="525"/>
      <c r="Y9" s="525"/>
      <c r="Z9" s="525"/>
      <c r="AA9" s="525"/>
      <c r="AB9" s="525"/>
      <c r="AC9" s="526"/>
      <c r="AG9" s="95" t="s">
        <v>308</v>
      </c>
    </row>
    <row r="10" spans="3:33" ht="16.8" x14ac:dyDescent="0.25">
      <c r="C10" s="87" t="s">
        <v>260</v>
      </c>
      <c r="D10" s="219" t="s">
        <v>261</v>
      </c>
      <c r="E10" s="219" t="s">
        <v>262</v>
      </c>
      <c r="F10" s="219" t="s">
        <v>263</v>
      </c>
      <c r="G10" s="219" t="s">
        <v>264</v>
      </c>
      <c r="H10" s="219" t="s">
        <v>265</v>
      </c>
      <c r="I10" s="436" t="s">
        <v>83</v>
      </c>
      <c r="J10" s="436"/>
      <c r="K10" s="436"/>
      <c r="L10" s="436"/>
      <c r="M10" s="436"/>
      <c r="N10" s="436"/>
      <c r="O10" s="436"/>
      <c r="P10" s="436"/>
      <c r="Q10" s="436"/>
      <c r="R10" s="436"/>
      <c r="S10" s="83" t="s">
        <v>81</v>
      </c>
      <c r="T10" s="83" t="s">
        <v>82</v>
      </c>
      <c r="U10" s="51" t="s">
        <v>272</v>
      </c>
      <c r="V10" s="439" t="s">
        <v>253</v>
      </c>
      <c r="W10" s="439"/>
      <c r="X10" s="439"/>
      <c r="Y10" s="439"/>
      <c r="Z10" s="439"/>
      <c r="AA10" s="439"/>
      <c r="AB10" s="439"/>
      <c r="AC10" s="523"/>
      <c r="AG10" s="95" t="s">
        <v>309</v>
      </c>
    </row>
    <row r="11" spans="3:33" ht="15" thickBot="1" x14ac:dyDescent="0.3">
      <c r="C11" s="88" t="s">
        <v>251</v>
      </c>
      <c r="D11" s="46" t="s">
        <v>256</v>
      </c>
      <c r="E11" s="46" t="str">
        <f>DEC2HEX( COUNTA(F11:R11),2)</f>
        <v>03</v>
      </c>
      <c r="F11" s="47" t="s">
        <v>255</v>
      </c>
      <c r="G11" s="47" t="s">
        <v>256</v>
      </c>
      <c r="H11" s="47" t="s">
        <v>157</v>
      </c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85" t="str">
        <f>DEC2HEX(MOD(HEX2DEC(D11)+HEX2DEC(E11)+HEX2DEC(F11)+HEX2DEC(G11)+HEX2DEC(H11)+HEX2DEC(I11)+HEX2DEC(J11)+HEX2DEC(K11)+HEX2DEC(L11)+HEX2DEC(M11)+HEX2DEC(N11)+HEX2DEC(O11)+HEX2DEC(P11)+HEX2DEC(Q11)+HEX2DEC(R11),256),2)</f>
        <v>75</v>
      </c>
      <c r="T11" s="85" t="s">
        <v>5</v>
      </c>
      <c r="U11" s="49" t="str">
        <f>IF(ISBLANK(C11),,C11&amp;" ")&amp;IF(ISBLANK(D11),,D11&amp;" ")&amp;IF(ISBLANK(E11),,E11&amp;" ")&amp;IF(ISBLANK(F11),,F11&amp;" ")&amp;IF(ISBLANK(G11),,G11&amp;" ")&amp;IF(ISBLANK(H11),,H11&amp;" ")&amp;IF(ISBLANK(I11),,I11&amp;" ")&amp;IF(ISBLANK(J11),,J11&amp;" ")&amp;IF(ISBLANK(K11),,K11&amp;" ")&amp;IF(ISBLANK(L11),,L11&amp;" ")&amp;IF(ISBLANK(M11),,M11&amp;" ")&amp;IF(ISBLANK(N11),,N11&amp;" ")&amp;IF(ISBLANK(O11),,O11&amp;" ")&amp;IF(ISBLANK(P11),,P11&amp;" ")&amp;IF(ISBLANK(Q11),,Q11&amp;" ")&amp;IF(ISBLANK(R11),,R11&amp;" ")&amp;IF(ISBLANK(S11),,S11&amp;" ")&amp;IF(ISBLANK(T11),,T11)</f>
        <v>aa 00 03 62 00 10 75 55</v>
      </c>
      <c r="V11" s="521" t="s">
        <v>273</v>
      </c>
      <c r="W11" s="521"/>
      <c r="X11" s="521"/>
      <c r="Y11" s="521"/>
      <c r="Z11" s="521"/>
      <c r="AA11" s="521"/>
      <c r="AB11" s="521"/>
      <c r="AC11" s="522"/>
      <c r="AG11" s="95" t="s">
        <v>310</v>
      </c>
    </row>
    <row r="12" spans="3:33" ht="15" thickBot="1" x14ac:dyDescent="0.3">
      <c r="AG12" s="95" t="s">
        <v>311</v>
      </c>
    </row>
    <row r="13" spans="3:33" x14ac:dyDescent="0.25">
      <c r="C13" s="524" t="s">
        <v>277</v>
      </c>
      <c r="D13" s="525"/>
      <c r="E13" s="525"/>
      <c r="F13" s="525"/>
      <c r="G13" s="525"/>
      <c r="H13" s="525"/>
      <c r="I13" s="525"/>
      <c r="J13" s="525"/>
      <c r="K13" s="525"/>
      <c r="L13" s="525"/>
      <c r="M13" s="525"/>
      <c r="N13" s="525"/>
      <c r="O13" s="525"/>
      <c r="P13" s="525"/>
      <c r="Q13" s="525"/>
      <c r="R13" s="525"/>
      <c r="S13" s="525"/>
      <c r="T13" s="525"/>
      <c r="U13" s="525"/>
      <c r="V13" s="525"/>
      <c r="W13" s="525"/>
      <c r="X13" s="525"/>
      <c r="Y13" s="525"/>
      <c r="Z13" s="525"/>
      <c r="AA13" s="525"/>
      <c r="AB13" s="525"/>
      <c r="AC13" s="526"/>
      <c r="AG13" s="95" t="s">
        <v>312</v>
      </c>
    </row>
    <row r="14" spans="3:33" ht="16.8" x14ac:dyDescent="0.25">
      <c r="C14" s="87" t="s">
        <v>260</v>
      </c>
      <c r="D14" s="219" t="s">
        <v>261</v>
      </c>
      <c r="E14" s="219" t="s">
        <v>262</v>
      </c>
      <c r="F14" s="219" t="s">
        <v>263</v>
      </c>
      <c r="G14" s="219" t="s">
        <v>264</v>
      </c>
      <c r="H14" s="219" t="s">
        <v>265</v>
      </c>
      <c r="I14" s="486" t="s">
        <v>271</v>
      </c>
      <c r="J14" s="486"/>
      <c r="K14" s="486"/>
      <c r="L14" s="486"/>
      <c r="M14" s="486"/>
      <c r="N14" s="486"/>
      <c r="O14" s="486"/>
      <c r="P14" s="486"/>
      <c r="Q14" s="486"/>
      <c r="R14" s="486"/>
      <c r="S14" s="42"/>
      <c r="T14" s="42"/>
      <c r="U14" s="51" t="s">
        <v>84</v>
      </c>
      <c r="V14" s="23" t="s">
        <v>270</v>
      </c>
      <c r="W14" s="519" t="s">
        <v>252</v>
      </c>
      <c r="X14" s="519"/>
      <c r="Y14" s="519"/>
      <c r="Z14" s="519"/>
      <c r="AA14" s="519"/>
      <c r="AB14" s="519"/>
      <c r="AC14" s="520"/>
      <c r="AG14" s="95" t="s">
        <v>313</v>
      </c>
    </row>
    <row r="15" spans="3:33" ht="15" thickBot="1" x14ac:dyDescent="0.3">
      <c r="C15" s="88" t="s">
        <v>254</v>
      </c>
      <c r="D15" s="46" t="s">
        <v>259</v>
      </c>
      <c r="E15" s="46" t="str">
        <f>DEC2HEX( COUNTA(F15:R15),2)</f>
        <v>05</v>
      </c>
      <c r="F15" s="47" t="s">
        <v>70</v>
      </c>
      <c r="G15" s="47" t="s">
        <v>23</v>
      </c>
      <c r="H15" s="47" t="s">
        <v>70</v>
      </c>
      <c r="I15" s="529" t="str">
        <f>LEFT(DEC2HEX(V15,4),2)</f>
        <v>00</v>
      </c>
      <c r="J15" s="529"/>
      <c r="K15" s="529"/>
      <c r="L15" s="529"/>
      <c r="M15" s="529"/>
      <c r="N15" s="529" t="str">
        <f>RIGHT(DEC2HEX(V15,4),2)</f>
        <v>01</v>
      </c>
      <c r="O15" s="529"/>
      <c r="P15" s="529"/>
      <c r="Q15" s="529"/>
      <c r="R15" s="529"/>
      <c r="S15" s="85" t="str">
        <f>DEC2HEX(MOD(HEX2DEC(D15)+HEX2DEC(E15)+HEX2DEC(F15)+HEX2DEC(G15)+HEX2DEC(H15)+HEX2DEC(I15)+HEX2DEC(J15)+HEX2DEC(K15)+HEX2DEC(L15)+HEX2DEC(M15)+HEX2DEC(N15)+HEX2DEC(O15)+HEX2DEC(P15)+HEX2DEC(Q15)+HEX2DEC(R15),256),2)</f>
        <v>26</v>
      </c>
      <c r="T15" s="48" t="s">
        <v>5</v>
      </c>
      <c r="U15" s="49" t="str">
        <f>IF(ISBLANK(C15),,C15&amp;" ")&amp;IF(ISBLANK(D15),,D15&amp;" ")&amp;IF(ISBLANK(E15),,E15&amp;" ")&amp;IF(ISBLANK(F15),,F15&amp;" ")&amp;IF(ISBLANK(G15),,G15&amp;" ")&amp;IF(ISBLANK(H15),,H15&amp;" ")&amp;IF(ISBLANK(I15),,I15&amp;" ")&amp;IF(ISBLANK(J15),,J15&amp;" ")&amp;IF(ISBLANK(K15),,K15&amp;" ")&amp;IF(ISBLANK(L15),,L15&amp;" ")&amp;IF(ISBLANK(M15),,M15&amp;" ")&amp;IF(ISBLANK(N15),,N15&amp;" ")&amp;IF(ISBLANK(O15),,O15&amp;" ")&amp;IF(ISBLANK(P15),,P15&amp;" ")&amp;IF(ISBLANK(Q15),,Q15&amp;" ")&amp;IF(ISBLANK(R15),,R15&amp;" ")&amp;IF(ISBLANK(S15),,S15&amp;" ")&amp;IF(ISBLANK(T15),,T15)</f>
        <v>aa 00 05 10 00 10 00 01 26 55</v>
      </c>
      <c r="V15" s="50">
        <v>1</v>
      </c>
      <c r="W15" s="527" t="s">
        <v>278</v>
      </c>
      <c r="X15" s="527"/>
      <c r="Y15" s="527"/>
      <c r="Z15" s="527"/>
      <c r="AA15" s="527"/>
      <c r="AB15" s="527"/>
      <c r="AC15" s="528"/>
      <c r="AG15" s="95" t="s">
        <v>314</v>
      </c>
    </row>
    <row r="16" spans="3:33" x14ac:dyDescent="0.25">
      <c r="AG16" s="95" t="s">
        <v>315</v>
      </c>
    </row>
    <row r="17" spans="3:33" x14ac:dyDescent="0.25">
      <c r="AG17" s="95" t="s">
        <v>316</v>
      </c>
    </row>
    <row r="18" spans="3:33" x14ac:dyDescent="0.25">
      <c r="AG18" s="95" t="s">
        <v>317</v>
      </c>
    </row>
    <row r="19" spans="3:33" x14ac:dyDescent="0.25">
      <c r="AG19" s="95" t="s">
        <v>318</v>
      </c>
    </row>
    <row r="20" spans="3:33" x14ac:dyDescent="0.25">
      <c r="C20" s="161"/>
      <c r="D20" s="162"/>
      <c r="E20" s="162"/>
      <c r="F20" s="163"/>
      <c r="G20" s="163"/>
      <c r="H20" s="163"/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161"/>
      <c r="T20" s="161"/>
      <c r="AG20" s="95" t="s">
        <v>319</v>
      </c>
    </row>
    <row r="21" spans="3:33" x14ac:dyDescent="0.25">
      <c r="C21" s="161"/>
      <c r="D21" s="162"/>
      <c r="E21" s="162"/>
      <c r="F21" s="163"/>
      <c r="G21" s="163"/>
      <c r="H21" s="163"/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161"/>
      <c r="T21" s="161"/>
      <c r="AG21" s="95" t="s">
        <v>320</v>
      </c>
    </row>
    <row r="22" spans="3:33" x14ac:dyDescent="0.25">
      <c r="AG22" s="95" t="s">
        <v>321</v>
      </c>
    </row>
    <row r="23" spans="3:33" ht="22.2" x14ac:dyDescent="0.25">
      <c r="C23" s="516" t="s">
        <v>302</v>
      </c>
      <c r="D23" s="517"/>
      <c r="E23" s="517"/>
      <c r="F23" s="517"/>
      <c r="G23" s="517"/>
      <c r="H23" s="517"/>
      <c r="I23" s="517"/>
      <c r="J23" s="517"/>
      <c r="K23" s="517"/>
      <c r="L23" s="517"/>
      <c r="M23" s="517"/>
      <c r="N23" s="517"/>
      <c r="O23" s="517"/>
      <c r="P23" s="517"/>
      <c r="Q23" s="517"/>
      <c r="R23" s="517"/>
      <c r="S23" s="517"/>
      <c r="T23" s="517"/>
      <c r="U23" s="517"/>
      <c r="V23" s="517"/>
      <c r="W23" s="517"/>
      <c r="X23" s="517"/>
      <c r="Y23" s="517"/>
      <c r="Z23" s="517"/>
      <c r="AA23" s="517"/>
      <c r="AB23" s="517"/>
      <c r="AC23" s="517"/>
      <c r="AG23" s="95" t="s">
        <v>322</v>
      </c>
    </row>
    <row r="24" spans="3:33" ht="13.5" customHeight="1" x14ac:dyDescent="0.25">
      <c r="C24" s="501" t="s">
        <v>521</v>
      </c>
      <c r="D24" s="502"/>
      <c r="E24" s="502"/>
      <c r="F24" s="502"/>
      <c r="G24" s="502"/>
      <c r="H24" s="502"/>
      <c r="I24" s="502"/>
      <c r="J24" s="502"/>
      <c r="K24" s="502"/>
      <c r="L24" s="502"/>
      <c r="M24" s="502"/>
      <c r="N24" s="502"/>
      <c r="O24" s="502"/>
      <c r="P24" s="502"/>
      <c r="Q24" s="502"/>
      <c r="R24" s="502"/>
      <c r="S24" s="502"/>
      <c r="T24" s="502"/>
      <c r="U24" s="502"/>
      <c r="V24" s="502"/>
      <c r="W24" s="502"/>
      <c r="X24" s="502"/>
      <c r="Y24" s="502"/>
      <c r="Z24" s="502"/>
      <c r="AA24" s="502"/>
      <c r="AB24" s="502"/>
      <c r="AC24" s="503"/>
      <c r="AG24" s="95" t="s">
        <v>323</v>
      </c>
    </row>
    <row r="25" spans="3:33" x14ac:dyDescent="0.25">
      <c r="C25" s="504"/>
      <c r="D25" s="505"/>
      <c r="E25" s="505"/>
      <c r="F25" s="505"/>
      <c r="G25" s="505"/>
      <c r="H25" s="505"/>
      <c r="I25" s="505"/>
      <c r="J25" s="505"/>
      <c r="K25" s="505"/>
      <c r="L25" s="505"/>
      <c r="M25" s="505"/>
      <c r="N25" s="505"/>
      <c r="O25" s="505"/>
      <c r="P25" s="505"/>
      <c r="Q25" s="505"/>
      <c r="R25" s="505"/>
      <c r="S25" s="505"/>
      <c r="T25" s="505"/>
      <c r="U25" s="505"/>
      <c r="V25" s="505"/>
      <c r="W25" s="505"/>
      <c r="X25" s="505"/>
      <c r="Y25" s="505"/>
      <c r="Z25" s="505"/>
      <c r="AA25" s="505"/>
      <c r="AB25" s="505"/>
      <c r="AC25" s="506"/>
      <c r="AG25" s="95" t="s">
        <v>324</v>
      </c>
    </row>
    <row r="26" spans="3:33" x14ac:dyDescent="0.25">
      <c r="C26" s="504"/>
      <c r="D26" s="505"/>
      <c r="E26" s="505"/>
      <c r="F26" s="505"/>
      <c r="G26" s="505"/>
      <c r="H26" s="505"/>
      <c r="I26" s="505"/>
      <c r="J26" s="505"/>
      <c r="K26" s="505"/>
      <c r="L26" s="505"/>
      <c r="M26" s="505"/>
      <c r="N26" s="505"/>
      <c r="O26" s="505"/>
      <c r="P26" s="505"/>
      <c r="Q26" s="505"/>
      <c r="R26" s="505"/>
      <c r="S26" s="505"/>
      <c r="T26" s="505"/>
      <c r="U26" s="505"/>
      <c r="V26" s="505"/>
      <c r="W26" s="505"/>
      <c r="X26" s="505"/>
      <c r="Y26" s="505"/>
      <c r="Z26" s="505"/>
      <c r="AA26" s="505"/>
      <c r="AB26" s="505"/>
      <c r="AC26" s="506"/>
      <c r="AG26" s="95" t="s">
        <v>325</v>
      </c>
    </row>
    <row r="27" spans="3:33" x14ac:dyDescent="0.25">
      <c r="C27" s="504"/>
      <c r="D27" s="505"/>
      <c r="E27" s="505"/>
      <c r="F27" s="505"/>
      <c r="G27" s="505"/>
      <c r="H27" s="505"/>
      <c r="I27" s="505"/>
      <c r="J27" s="505"/>
      <c r="K27" s="505"/>
      <c r="L27" s="505"/>
      <c r="M27" s="505"/>
      <c r="N27" s="505"/>
      <c r="O27" s="505"/>
      <c r="P27" s="505"/>
      <c r="Q27" s="505"/>
      <c r="R27" s="505"/>
      <c r="S27" s="505"/>
      <c r="T27" s="505"/>
      <c r="U27" s="505"/>
      <c r="V27" s="505"/>
      <c r="W27" s="505"/>
      <c r="X27" s="505"/>
      <c r="Y27" s="505"/>
      <c r="Z27" s="505"/>
      <c r="AA27" s="505"/>
      <c r="AB27" s="505"/>
      <c r="AC27" s="506"/>
      <c r="AG27" s="95" t="s">
        <v>326</v>
      </c>
    </row>
    <row r="28" spans="3:33" x14ac:dyDescent="0.25">
      <c r="C28" s="504"/>
      <c r="D28" s="505"/>
      <c r="E28" s="505"/>
      <c r="F28" s="505"/>
      <c r="G28" s="505"/>
      <c r="H28" s="505"/>
      <c r="I28" s="505"/>
      <c r="J28" s="505"/>
      <c r="K28" s="505"/>
      <c r="L28" s="505"/>
      <c r="M28" s="505"/>
      <c r="N28" s="505"/>
      <c r="O28" s="505"/>
      <c r="P28" s="505"/>
      <c r="Q28" s="505"/>
      <c r="R28" s="505"/>
      <c r="S28" s="505"/>
      <c r="T28" s="505"/>
      <c r="U28" s="505"/>
      <c r="V28" s="505"/>
      <c r="W28" s="505"/>
      <c r="X28" s="505"/>
      <c r="Y28" s="505"/>
      <c r="Z28" s="505"/>
      <c r="AA28" s="505"/>
      <c r="AB28" s="505"/>
      <c r="AC28" s="506"/>
      <c r="AG28" s="95" t="s">
        <v>327</v>
      </c>
    </row>
    <row r="29" spans="3:33" x14ac:dyDescent="0.25">
      <c r="C29" s="504"/>
      <c r="D29" s="505"/>
      <c r="E29" s="505"/>
      <c r="F29" s="505"/>
      <c r="G29" s="505"/>
      <c r="H29" s="505"/>
      <c r="I29" s="505"/>
      <c r="J29" s="505"/>
      <c r="K29" s="505"/>
      <c r="L29" s="505"/>
      <c r="M29" s="505"/>
      <c r="N29" s="505"/>
      <c r="O29" s="505"/>
      <c r="P29" s="505"/>
      <c r="Q29" s="505"/>
      <c r="R29" s="505"/>
      <c r="S29" s="505"/>
      <c r="T29" s="505"/>
      <c r="U29" s="505"/>
      <c r="V29" s="505"/>
      <c r="W29" s="505"/>
      <c r="X29" s="505"/>
      <c r="Y29" s="505"/>
      <c r="Z29" s="505"/>
      <c r="AA29" s="505"/>
      <c r="AB29" s="505"/>
      <c r="AC29" s="506"/>
      <c r="AG29" s="95" t="s">
        <v>328</v>
      </c>
    </row>
    <row r="30" spans="3:33" x14ac:dyDescent="0.25">
      <c r="C30" s="504"/>
      <c r="D30" s="505"/>
      <c r="E30" s="505"/>
      <c r="F30" s="505"/>
      <c r="G30" s="505"/>
      <c r="H30" s="505"/>
      <c r="I30" s="505"/>
      <c r="J30" s="505"/>
      <c r="K30" s="505"/>
      <c r="L30" s="505"/>
      <c r="M30" s="505"/>
      <c r="N30" s="505"/>
      <c r="O30" s="505"/>
      <c r="P30" s="505"/>
      <c r="Q30" s="505"/>
      <c r="R30" s="505"/>
      <c r="S30" s="505"/>
      <c r="T30" s="505"/>
      <c r="U30" s="505"/>
      <c r="V30" s="505"/>
      <c r="W30" s="505"/>
      <c r="X30" s="505"/>
      <c r="Y30" s="505"/>
      <c r="Z30" s="505"/>
      <c r="AA30" s="505"/>
      <c r="AB30" s="505"/>
      <c r="AC30" s="506"/>
      <c r="AG30" s="95" t="s">
        <v>329</v>
      </c>
    </row>
    <row r="31" spans="3:33" x14ac:dyDescent="0.25">
      <c r="C31" s="504"/>
      <c r="D31" s="505"/>
      <c r="E31" s="505"/>
      <c r="F31" s="505"/>
      <c r="G31" s="505"/>
      <c r="H31" s="505"/>
      <c r="I31" s="505"/>
      <c r="J31" s="505"/>
      <c r="K31" s="505"/>
      <c r="L31" s="505"/>
      <c r="M31" s="505"/>
      <c r="N31" s="505"/>
      <c r="O31" s="505"/>
      <c r="P31" s="505"/>
      <c r="Q31" s="505"/>
      <c r="R31" s="505"/>
      <c r="S31" s="505"/>
      <c r="T31" s="505"/>
      <c r="U31" s="505"/>
      <c r="V31" s="505"/>
      <c r="W31" s="505"/>
      <c r="X31" s="505"/>
      <c r="Y31" s="505"/>
      <c r="Z31" s="505"/>
      <c r="AA31" s="505"/>
      <c r="AB31" s="505"/>
      <c r="AC31" s="506"/>
      <c r="AG31" s="95" t="s">
        <v>330</v>
      </c>
    </row>
    <row r="32" spans="3:33" x14ac:dyDescent="0.25">
      <c r="C32" s="504"/>
      <c r="D32" s="505"/>
      <c r="E32" s="505"/>
      <c r="F32" s="505"/>
      <c r="G32" s="505"/>
      <c r="H32" s="505"/>
      <c r="I32" s="505"/>
      <c r="J32" s="505"/>
      <c r="K32" s="505"/>
      <c r="L32" s="505"/>
      <c r="M32" s="505"/>
      <c r="N32" s="505"/>
      <c r="O32" s="505"/>
      <c r="P32" s="505"/>
      <c r="Q32" s="505"/>
      <c r="R32" s="505"/>
      <c r="S32" s="505"/>
      <c r="T32" s="505"/>
      <c r="U32" s="505"/>
      <c r="V32" s="505"/>
      <c r="W32" s="505"/>
      <c r="X32" s="505"/>
      <c r="Y32" s="505"/>
      <c r="Z32" s="505"/>
      <c r="AA32" s="505"/>
      <c r="AB32" s="505"/>
      <c r="AC32" s="506"/>
      <c r="AG32" s="95" t="s">
        <v>331</v>
      </c>
    </row>
    <row r="33" spans="3:33" x14ac:dyDescent="0.25">
      <c r="C33" s="504"/>
      <c r="D33" s="505"/>
      <c r="E33" s="505"/>
      <c r="F33" s="505"/>
      <c r="G33" s="505"/>
      <c r="H33" s="505"/>
      <c r="I33" s="505"/>
      <c r="J33" s="505"/>
      <c r="K33" s="505"/>
      <c r="L33" s="505"/>
      <c r="M33" s="505"/>
      <c r="N33" s="505"/>
      <c r="O33" s="505"/>
      <c r="P33" s="505"/>
      <c r="Q33" s="505"/>
      <c r="R33" s="505"/>
      <c r="S33" s="505"/>
      <c r="T33" s="505"/>
      <c r="U33" s="505"/>
      <c r="V33" s="505"/>
      <c r="W33" s="505"/>
      <c r="X33" s="505"/>
      <c r="Y33" s="505"/>
      <c r="Z33" s="505"/>
      <c r="AA33" s="505"/>
      <c r="AB33" s="505"/>
      <c r="AC33" s="506"/>
      <c r="AG33" s="95" t="s">
        <v>332</v>
      </c>
    </row>
    <row r="34" spans="3:33" x14ac:dyDescent="0.25">
      <c r="C34" s="504"/>
      <c r="D34" s="505"/>
      <c r="E34" s="505"/>
      <c r="F34" s="505"/>
      <c r="G34" s="505"/>
      <c r="H34" s="505"/>
      <c r="I34" s="505"/>
      <c r="J34" s="505"/>
      <c r="K34" s="505"/>
      <c r="L34" s="505"/>
      <c r="M34" s="505"/>
      <c r="N34" s="505"/>
      <c r="O34" s="505"/>
      <c r="P34" s="505"/>
      <c r="Q34" s="505"/>
      <c r="R34" s="505"/>
      <c r="S34" s="505"/>
      <c r="T34" s="505"/>
      <c r="U34" s="505"/>
      <c r="V34" s="505"/>
      <c r="W34" s="505"/>
      <c r="X34" s="505"/>
      <c r="Y34" s="505"/>
      <c r="Z34" s="505"/>
      <c r="AA34" s="505"/>
      <c r="AB34" s="505"/>
      <c r="AC34" s="506"/>
      <c r="AG34" s="95" t="s">
        <v>333</v>
      </c>
    </row>
    <row r="35" spans="3:33" x14ac:dyDescent="0.25">
      <c r="C35" s="504"/>
      <c r="D35" s="505"/>
      <c r="E35" s="505"/>
      <c r="F35" s="505"/>
      <c r="G35" s="505"/>
      <c r="H35" s="505"/>
      <c r="I35" s="505"/>
      <c r="J35" s="505"/>
      <c r="K35" s="505"/>
      <c r="L35" s="505"/>
      <c r="M35" s="505"/>
      <c r="N35" s="505"/>
      <c r="O35" s="505"/>
      <c r="P35" s="505"/>
      <c r="Q35" s="505"/>
      <c r="R35" s="505"/>
      <c r="S35" s="505"/>
      <c r="T35" s="505"/>
      <c r="U35" s="505"/>
      <c r="V35" s="505"/>
      <c r="W35" s="505"/>
      <c r="X35" s="505"/>
      <c r="Y35" s="505"/>
      <c r="Z35" s="505"/>
      <c r="AA35" s="505"/>
      <c r="AB35" s="505"/>
      <c r="AC35" s="506"/>
      <c r="AG35" s="95" t="s">
        <v>338</v>
      </c>
    </row>
    <row r="36" spans="3:33" x14ac:dyDescent="0.25">
      <c r="C36" s="504"/>
      <c r="D36" s="505"/>
      <c r="E36" s="505"/>
      <c r="F36" s="505"/>
      <c r="G36" s="505"/>
      <c r="H36" s="505"/>
      <c r="I36" s="505"/>
      <c r="J36" s="505"/>
      <c r="K36" s="505"/>
      <c r="L36" s="505"/>
      <c r="M36" s="505"/>
      <c r="N36" s="505"/>
      <c r="O36" s="505"/>
      <c r="P36" s="505"/>
      <c r="Q36" s="505"/>
      <c r="R36" s="505"/>
      <c r="S36" s="505"/>
      <c r="T36" s="505"/>
      <c r="U36" s="505"/>
      <c r="V36" s="505"/>
      <c r="W36" s="505"/>
      <c r="X36" s="505"/>
      <c r="Y36" s="505"/>
      <c r="Z36" s="505"/>
      <c r="AA36" s="505"/>
      <c r="AB36" s="505"/>
      <c r="AC36" s="506"/>
      <c r="AG36" s="95" t="s">
        <v>334</v>
      </c>
    </row>
    <row r="37" spans="3:33" x14ac:dyDescent="0.25">
      <c r="C37" s="504"/>
      <c r="D37" s="505"/>
      <c r="E37" s="505"/>
      <c r="F37" s="505"/>
      <c r="G37" s="505"/>
      <c r="H37" s="505"/>
      <c r="I37" s="505"/>
      <c r="J37" s="505"/>
      <c r="K37" s="505"/>
      <c r="L37" s="505"/>
      <c r="M37" s="505"/>
      <c r="N37" s="505"/>
      <c r="O37" s="505"/>
      <c r="P37" s="505"/>
      <c r="Q37" s="505"/>
      <c r="R37" s="505"/>
      <c r="S37" s="505"/>
      <c r="T37" s="505"/>
      <c r="U37" s="505"/>
      <c r="V37" s="505"/>
      <c r="W37" s="505"/>
      <c r="X37" s="505"/>
      <c r="Y37" s="505"/>
      <c r="Z37" s="505"/>
      <c r="AA37" s="505"/>
      <c r="AB37" s="505"/>
      <c r="AC37" s="506"/>
      <c r="AG37" s="95" t="s">
        <v>335</v>
      </c>
    </row>
    <row r="38" spans="3:33" x14ac:dyDescent="0.25">
      <c r="C38" s="504"/>
      <c r="D38" s="505"/>
      <c r="E38" s="505"/>
      <c r="F38" s="505"/>
      <c r="G38" s="505"/>
      <c r="H38" s="505"/>
      <c r="I38" s="505"/>
      <c r="J38" s="505"/>
      <c r="K38" s="505"/>
      <c r="L38" s="505"/>
      <c r="M38" s="505"/>
      <c r="N38" s="505"/>
      <c r="O38" s="505"/>
      <c r="P38" s="505"/>
      <c r="Q38" s="505"/>
      <c r="R38" s="505"/>
      <c r="S38" s="505"/>
      <c r="T38" s="505"/>
      <c r="U38" s="505"/>
      <c r="V38" s="505"/>
      <c r="W38" s="505"/>
      <c r="X38" s="505"/>
      <c r="Y38" s="505"/>
      <c r="Z38" s="505"/>
      <c r="AA38" s="505"/>
      <c r="AB38" s="505"/>
      <c r="AC38" s="506"/>
      <c r="AG38" s="95" t="s">
        <v>336</v>
      </c>
    </row>
    <row r="39" spans="3:33" x14ac:dyDescent="0.25">
      <c r="C39" s="507"/>
      <c r="D39" s="508"/>
      <c r="E39" s="508"/>
      <c r="F39" s="508"/>
      <c r="G39" s="508"/>
      <c r="H39" s="508"/>
      <c r="I39" s="508"/>
      <c r="J39" s="508"/>
      <c r="K39" s="508"/>
      <c r="L39" s="508"/>
      <c r="M39" s="508"/>
      <c r="N39" s="508"/>
      <c r="O39" s="508"/>
      <c r="P39" s="508"/>
      <c r="Q39" s="508"/>
      <c r="R39" s="508"/>
      <c r="S39" s="508"/>
      <c r="T39" s="508"/>
      <c r="U39" s="508"/>
      <c r="V39" s="508"/>
      <c r="W39" s="508"/>
      <c r="X39" s="508"/>
      <c r="Y39" s="508"/>
      <c r="Z39" s="508"/>
      <c r="AA39" s="508"/>
      <c r="AB39" s="508"/>
      <c r="AC39" s="509"/>
      <c r="AG39" s="95" t="s">
        <v>337</v>
      </c>
    </row>
    <row r="42" spans="3:33" ht="72.75" customHeight="1" x14ac:dyDescent="0.25">
      <c r="AG42" s="94"/>
    </row>
    <row r="44" spans="3:33" x14ac:dyDescent="0.25">
      <c r="C44" s="499">
        <v>0.64415509259259263</v>
      </c>
      <c r="D44" s="500"/>
      <c r="E44" s="500"/>
      <c r="F44" s="500"/>
    </row>
    <row r="45" spans="3:33" x14ac:dyDescent="0.25">
      <c r="H45" s="499">
        <f>C46-C44</f>
        <v>1.388888888889106E-4</v>
      </c>
      <c r="I45" s="500"/>
      <c r="J45" s="500"/>
      <c r="K45" s="500"/>
    </row>
    <row r="46" spans="3:33" x14ac:dyDescent="0.25">
      <c r="C46" s="499">
        <v>0.64429398148148154</v>
      </c>
      <c r="D46" s="500"/>
      <c r="E46" s="500"/>
      <c r="F46" s="500"/>
    </row>
  </sheetData>
  <sheetProtection selectLockedCells="1"/>
  <mergeCells count="23">
    <mergeCell ref="C9:AC9"/>
    <mergeCell ref="V10:AC10"/>
    <mergeCell ref="W15:AC15"/>
    <mergeCell ref="I14:R14"/>
    <mergeCell ref="C13:AC13"/>
    <mergeCell ref="I15:M15"/>
    <mergeCell ref="N15:R15"/>
    <mergeCell ref="C44:F44"/>
    <mergeCell ref="C46:F46"/>
    <mergeCell ref="H45:K45"/>
    <mergeCell ref="C24:AC39"/>
    <mergeCell ref="C2:AC2"/>
    <mergeCell ref="C3:AC3"/>
    <mergeCell ref="C23:AC23"/>
    <mergeCell ref="C4:T4"/>
    <mergeCell ref="V4:Y4"/>
    <mergeCell ref="Z4:AC4"/>
    <mergeCell ref="W14:AC14"/>
    <mergeCell ref="V11:AC11"/>
    <mergeCell ref="I5:R5"/>
    <mergeCell ref="Z5:AC5"/>
    <mergeCell ref="Z6:AC6"/>
    <mergeCell ref="I10:R10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/>
  <dimension ref="B1:U19"/>
  <sheetViews>
    <sheetView workbookViewId="0">
      <selection activeCell="K12" activeCellId="1" sqref="U3:U17 K12"/>
    </sheetView>
  </sheetViews>
  <sheetFormatPr defaultRowHeight="14.4" x14ac:dyDescent="0.25"/>
  <cols>
    <col min="2" max="19" width="3.6640625" customWidth="1"/>
    <col min="20" max="20" width="25.77734375" customWidth="1"/>
    <col min="21" max="21" width="53.33203125" customWidth="1"/>
  </cols>
  <sheetData>
    <row r="1" spans="2:21" ht="22.2" x14ac:dyDescent="0.25">
      <c r="B1" s="530" t="s">
        <v>660</v>
      </c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2"/>
    </row>
    <row r="2" spans="2:21" x14ac:dyDescent="0.25">
      <c r="T2" s="270" t="s">
        <v>266</v>
      </c>
      <c r="U2" s="272" t="s">
        <v>678</v>
      </c>
    </row>
    <row r="3" spans="2:21" ht="13.5" customHeight="1" x14ac:dyDescent="0.25">
      <c r="T3" s="51" t="s">
        <v>276</v>
      </c>
      <c r="U3" s="166" t="s">
        <v>6</v>
      </c>
    </row>
    <row r="4" spans="2:21" ht="13.5" customHeight="1" x14ac:dyDescent="0.25">
      <c r="T4" s="55" t="str">
        <f>IF(ISBLANK(给QT读取的!J173),,给QT读取的!J173&amp;" ")&amp;IF(ISBLANK(给QT读取的!K173),,给QT读取的!K173&amp;" ")&amp;IF(ISBLANK(给QT读取的!L173),,给QT读取的!L173&amp;" ")&amp;IF(ISBLANK(给QT读取的!M173),,给QT读取的!M173&amp;" ")&amp;IF(ISBLANK(给QT读取的!N173),,给QT读取的!N173&amp;" ")&amp;IF(ISBLANK(给QT读取的!O173),,给QT读取的!O173&amp;" ")&amp;IF(ISBLANK(给QT读取的!P173),,给QT读取的!P173&amp;" ")&amp;IF(ISBLANK(给QT读取的!Q173),,给QT读取的!Q173&amp;" ")&amp;IF(ISBLANK(给QT读取的!R173),,给QT读取的!R173&amp;" ")&amp;IF(ISBLANK(给QT读取的!S173),,给QT读取的!S173&amp;" ")&amp;IF(ISBLANK(给QT读取的!T173),,给QT读取的!T173&amp;" ")&amp;IF(ISBLANK(给QT读取的!U173),,给QT读取的!U173&amp;" ")&amp;IF(ISBLANK(给QT读取的!V173),,给QT读取的!V173&amp;" ")&amp;IF(ISBLANK(给QT读取的!W173),,给QT读取的!W173&amp;" ")&amp;IF(ISBLANK(给QT读取的!X173),,给QT读取的!X173&amp;" ")&amp;IF(ISBLANK(给QT读取的!Y173),,给QT读取的!Y173&amp;" ")&amp;IF(ISBLANK(给QT读取的!Z173),,给QT读取的!Z173&amp;" ")&amp;IF(ISBLANK(给QT读取的!AA173),,给QT读取的!AA173)</f>
        <v>aa 00 03 02 00 00 05 55</v>
      </c>
      <c r="U4" s="273" t="s">
        <v>662</v>
      </c>
    </row>
    <row r="5" spans="2:21" ht="13.5" customHeight="1" x14ac:dyDescent="0.25">
      <c r="T5" s="55" t="str">
        <f>IF(ISBLANK(给QT读取的!J174),,给QT读取的!J174&amp;" ")&amp;IF(ISBLANK(给QT读取的!K174),,给QT读取的!K174&amp;" ")&amp;IF(ISBLANK(给QT读取的!L174),,给QT读取的!L174&amp;" ")&amp;IF(ISBLANK(给QT读取的!M174),,给QT读取的!M174&amp;" ")&amp;IF(ISBLANK(给QT读取的!N174),,给QT读取的!N174&amp;" ")&amp;IF(ISBLANK(给QT读取的!O174),,给QT读取的!O174&amp;" ")&amp;IF(ISBLANK(给QT读取的!P174),,给QT读取的!P174&amp;" ")&amp;IF(ISBLANK(给QT读取的!Q174),,给QT读取的!Q174&amp;" ")&amp;IF(ISBLANK(给QT读取的!R174),,给QT读取的!R174&amp;" ")&amp;IF(ISBLANK(给QT读取的!S174),,给QT读取的!S174&amp;" ")&amp;IF(ISBLANK(给QT读取的!T174),,给QT读取的!T174&amp;" ")&amp;IF(ISBLANK(给QT读取的!U174),,给QT读取的!U174&amp;" ")&amp;IF(ISBLANK(给QT读取的!V174),,给QT读取的!V174&amp;" ")&amp;IF(ISBLANK(给QT读取的!W174),,给QT读取的!W174&amp;" ")&amp;IF(ISBLANK(给QT读取的!X174),,给QT读取的!X174&amp;" ")&amp;IF(ISBLANK(给QT读取的!Y174),,给QT读取的!Y174&amp;" ")&amp;IF(ISBLANK(给QT读取的!Z174),,给QT读取的!Z174&amp;" ")&amp;IF(ISBLANK(给QT读取的!AA174),,给QT读取的!AA174)</f>
        <v>aa 00 03 02 00 01 06 55</v>
      </c>
      <c r="U5" s="273" t="s">
        <v>663</v>
      </c>
    </row>
    <row r="6" spans="2:21" ht="27" customHeight="1" x14ac:dyDescent="0.25">
      <c r="T6" s="55" t="e">
        <f>IF(ISBLANK(给QT读取的!J175),,给QT读取的!J175&amp;" ")&amp;IF(ISBLANK(给QT读取的!K175),,给QT读取的!K175&amp;" ")&amp;IF(ISBLANK(给QT读取的!L175),,给QT读取的!L175&amp;" ")&amp;IF(ISBLANK(给QT读取的!M175),,给QT读取的!M175&amp;" ")&amp;IF(ISBLANK(给QT读取的!N175),,给QT读取的!N175&amp;" ")&amp;IF(ISBLANK(给QT读取的!O175),,给QT读取的!O175&amp;" ")&amp;IF(ISBLANK(给QT读取的!P175),,给QT读取的!P175&amp;" ")&amp;IF(ISBLANK(给QT读取的!Q175),,给QT读取的!Q175&amp;" ")&amp;IF(ISBLANK(给QT读取的!R175),,给QT读取的!R175&amp;" ")&amp;IF(ISBLANK(给QT读取的!S175),,给QT读取的!S175&amp;" ")&amp;IF(ISBLANK(给QT读取的!T175),,给QT读取的!T175&amp;" ")&amp;IF(ISBLANK(给QT读取的!U175),,给QT读取的!U175&amp;" ")&amp;IF(ISBLANK(给QT读取的!V175),,给QT读取的!V175&amp;" ")&amp;IF(ISBLANK(给QT读取的!W175),,给QT读取的!W175&amp;" ")&amp;IF(ISBLANK(给QT读取的!X175),,给QT读取的!X175&amp;" ")&amp;IF(ISBLANK(给QT读取的!Y175),,给QT读取的!Y175&amp;" ")&amp;IF(ISBLANK(给QT读取的!Z175),,给QT读取的!Z175&amp;" ")&amp;IF(ISBLANK(给QT读取的!AA175),,给QT读取的!AA175)</f>
        <v>#NUM!</v>
      </c>
      <c r="U6" s="273" t="s">
        <v>668</v>
      </c>
    </row>
    <row r="7" spans="2:21" ht="40.5" customHeight="1" x14ac:dyDescent="0.25">
      <c r="T7" s="55" t="e">
        <f>IF(ISBLANK(给QT读取的!J176),,给QT读取的!J176&amp;" ")&amp;IF(ISBLANK(给QT读取的!K176),,给QT读取的!K176&amp;" ")&amp;IF(ISBLANK(给QT读取的!L176),,给QT读取的!L176&amp;" ")&amp;IF(ISBLANK(给QT读取的!M176),,给QT读取的!M176&amp;" ")&amp;IF(ISBLANK(给QT读取的!N176),,给QT读取的!N176&amp;" ")&amp;IF(ISBLANK(给QT读取的!O176),,给QT读取的!O176&amp;" ")&amp;IF(ISBLANK(给QT读取的!P176),,给QT读取的!P176&amp;" ")&amp;IF(ISBLANK(给QT读取的!Q176),,给QT读取的!Q176&amp;" ")&amp;IF(ISBLANK(给QT读取的!R176),,给QT读取的!R176&amp;" ")&amp;IF(ISBLANK(给QT读取的!S176),,给QT读取的!S176&amp;" ")&amp;IF(ISBLANK(给QT读取的!T176),,给QT读取的!T176&amp;" ")&amp;IF(ISBLANK(给QT读取的!U176),,给QT读取的!U176&amp;" ")&amp;IF(ISBLANK(给QT读取的!V176),,给QT读取的!V176&amp;" ")&amp;IF(ISBLANK(给QT读取的!W176),,给QT读取的!W176&amp;" ")&amp;IF(ISBLANK(给QT读取的!X176),,给QT读取的!X176&amp;" ")&amp;IF(ISBLANK(给QT读取的!Y176),,给QT读取的!Y176&amp;" ")&amp;IF(ISBLANK(给QT读取的!Z176),,给QT读取的!Z176&amp;" ")&amp;IF(ISBLANK(给QT读取的!AA176),,给QT读取的!AA176)</f>
        <v>#NUM!</v>
      </c>
      <c r="U7" s="273" t="s">
        <v>669</v>
      </c>
    </row>
    <row r="8" spans="2:21" ht="24" customHeight="1" x14ac:dyDescent="0.25">
      <c r="T8" s="55" t="str">
        <f>IF(ISBLANK(给QT读取的!J177),,给QT读取的!J177&amp;" ")&amp;IF(ISBLANK(给QT读取的!K177),,给QT读取的!K177&amp;" ")&amp;IF(ISBLANK(给QT读取的!L177),,给QT读取的!L177&amp;" ")&amp;IF(ISBLANK(给QT读取的!M177),,给QT读取的!M177&amp;" ")&amp;IF(ISBLANK(给QT读取的!N177),,给QT读取的!N177&amp;" ")&amp;IF(ISBLANK(给QT读取的!O177),,给QT读取的!O177&amp;" ")&amp;IF(ISBLANK(给QT读取的!P177),,给QT读取的!P177&amp;" ")&amp;IF(ISBLANK(给QT读取的!Q177),,给QT读取的!Q177&amp;" ")&amp;IF(ISBLANK(给QT读取的!R177),,给QT读取的!R177&amp;" ")&amp;IF(ISBLANK(给QT读取的!S177),,给QT读取的!S177&amp;" ")&amp;IF(ISBLANK(给QT读取的!T177),,给QT读取的!T177&amp;" ")&amp;IF(ISBLANK(给QT读取的!U177),,给QT读取的!U177&amp;" ")&amp;IF(ISBLANK(给QT读取的!V177),,给QT读取的!V177&amp;" ")&amp;IF(ISBLANK(给QT读取的!W177),,给QT读取的!W177&amp;" ")&amp;IF(ISBLANK(给QT读取的!X177),,给QT读取的!X177&amp;" ")&amp;IF(ISBLANK(给QT读取的!Y177),,给QT读取的!Y177&amp;" ")&amp;IF(ISBLANK(给QT读取的!Z177),,给QT读取的!Z177&amp;" ")&amp;IF(ISBLANK(给QT读取的!AA177),,给QT读取的!AA177)</f>
        <v>aa 00 03 02 00 04 09 55</v>
      </c>
      <c r="U8" s="273" t="s">
        <v>670</v>
      </c>
    </row>
    <row r="9" spans="2:21" ht="38.25" customHeight="1" x14ac:dyDescent="0.25">
      <c r="T9" s="55" t="str">
        <f>IF(ISBLANK(给QT读取的!J178),,给QT读取的!J178&amp;" ")&amp;IF(ISBLANK(给QT读取的!K178),,给QT读取的!K178&amp;" ")&amp;IF(ISBLANK(给QT读取的!L178),,给QT读取的!L178&amp;" ")&amp;IF(ISBLANK(给QT读取的!M178),,给QT读取的!M178&amp;" ")&amp;IF(ISBLANK(给QT读取的!N178),,给QT读取的!N178&amp;" ")&amp;IF(ISBLANK(给QT读取的!O178),,给QT读取的!O178&amp;" ")&amp;IF(ISBLANK(给QT读取的!P178),,给QT读取的!P178&amp;" ")&amp;IF(ISBLANK(给QT读取的!Q178),,给QT读取的!Q178&amp;" ")&amp;IF(ISBLANK(给QT读取的!R178),,给QT读取的!R178&amp;" ")&amp;IF(ISBLANK(给QT读取的!S178),,给QT读取的!S178&amp;" ")&amp;IF(ISBLANK(给QT读取的!T178),,给QT读取的!T178&amp;" ")&amp;IF(ISBLANK(给QT读取的!U178),,给QT读取的!U178&amp;" ")&amp;IF(ISBLANK(给QT读取的!V178),,给QT读取的!V178&amp;" ")&amp;IF(ISBLANK(给QT读取的!W178),,给QT读取的!W178&amp;" ")&amp;IF(ISBLANK(给QT读取的!X178),,给QT读取的!X178&amp;" ")&amp;IF(ISBLANK(给QT读取的!Y178),,给QT读取的!Y178&amp;" ")&amp;IF(ISBLANK(给QT读取的!Z178),,给QT读取的!Z178&amp;" ")&amp;IF(ISBLANK(给QT读取的!AA178),,给QT读取的!AA178)</f>
        <v>aa 00 03 02 00 05 0A 55</v>
      </c>
      <c r="U9" s="273" t="s">
        <v>666</v>
      </c>
    </row>
    <row r="10" spans="2:21" ht="33" customHeight="1" x14ac:dyDescent="0.25">
      <c r="T10" s="55" t="str">
        <f>IF(ISBLANK(给QT读取的!J179),,给QT读取的!J179&amp;" ")&amp;IF(ISBLANK(给QT读取的!K179),,给QT读取的!K179&amp;" ")&amp;IF(ISBLANK(给QT读取的!L179),,给QT读取的!L179&amp;" ")&amp;IF(ISBLANK(给QT读取的!M179),,给QT读取的!M179&amp;" ")&amp;IF(ISBLANK(给QT读取的!N179),,给QT读取的!N179&amp;" ")&amp;IF(ISBLANK(给QT读取的!O179),,给QT读取的!O179&amp;" ")&amp;IF(ISBLANK(给QT读取的!P179),,给QT读取的!P179&amp;" ")&amp;IF(ISBLANK(给QT读取的!Q179),,给QT读取的!Q179&amp;" ")&amp;IF(ISBLANK(给QT读取的!R179),,给QT读取的!R179&amp;" ")&amp;IF(ISBLANK(给QT读取的!S179),,给QT读取的!S179&amp;" ")&amp;IF(ISBLANK(给QT读取的!T179),,给QT读取的!T179&amp;" ")&amp;IF(ISBLANK(给QT读取的!U179),,给QT读取的!U179&amp;" ")&amp;IF(ISBLANK(给QT读取的!V179),,给QT读取的!V179&amp;" ")&amp;IF(ISBLANK(给QT读取的!W179),,给QT读取的!W179&amp;" ")&amp;IF(ISBLANK(给QT读取的!X179),,给QT读取的!X179&amp;" ")&amp;IF(ISBLANK(给QT读取的!Y179),,给QT读取的!Y179&amp;" ")&amp;IF(ISBLANK(给QT读取的!Z179),,给QT读取的!Z179&amp;" ")&amp;IF(ISBLANK(给QT读取的!AA179),,给QT读取的!AA179)</f>
        <v>aa 00 03 02 00 06 0B 55</v>
      </c>
      <c r="U10" s="273" t="s">
        <v>667</v>
      </c>
    </row>
    <row r="11" spans="2:21" ht="42" customHeight="1" x14ac:dyDescent="0.25">
      <c r="T11" s="55" t="str">
        <f>IF(ISBLANK(给QT读取的!J180),,给QT读取的!J180&amp;" ")&amp;IF(ISBLANK(给QT读取的!K180),,给QT读取的!K180&amp;" ")&amp;IF(ISBLANK(给QT读取的!L180),,给QT读取的!L180&amp;" ")&amp;IF(ISBLANK(给QT读取的!M180),,给QT读取的!M180&amp;" ")&amp;IF(ISBLANK(给QT读取的!N180),,给QT读取的!N180&amp;" ")&amp;IF(ISBLANK(给QT读取的!O180),,给QT读取的!O180&amp;" ")&amp;IF(ISBLANK(给QT读取的!P180),,给QT读取的!P180&amp;" ")&amp;IF(ISBLANK(给QT读取的!Q180),,给QT读取的!Q180&amp;" ")&amp;IF(ISBLANK(给QT读取的!R180),,给QT读取的!R180&amp;" ")&amp;IF(ISBLANK(给QT读取的!S180),,给QT读取的!S180&amp;" ")&amp;IF(ISBLANK(给QT读取的!T180),,给QT读取的!T180&amp;" ")&amp;IF(ISBLANK(给QT读取的!U180),,给QT读取的!U180&amp;" ")&amp;IF(ISBLANK(给QT读取的!V180),,给QT读取的!V180&amp;" ")&amp;IF(ISBLANK(给QT读取的!W180),,给QT读取的!W180&amp;" ")&amp;IF(ISBLANK(给QT读取的!X180),,给QT读取的!X180&amp;" ")&amp;IF(ISBLANK(给QT读取的!Y180),,给QT读取的!Y180&amp;" ")&amp;IF(ISBLANK(给QT读取的!Z180),,给QT读取的!Z180&amp;" ")&amp;IF(ISBLANK(给QT读取的!AA180),,给QT读取的!AA180)</f>
        <v>aa 00 03 02 00 07 0C 55</v>
      </c>
      <c r="U11" s="273" t="s">
        <v>672</v>
      </c>
    </row>
    <row r="12" spans="2:21" ht="32.25" customHeight="1" thickBot="1" x14ac:dyDescent="0.3">
      <c r="T12" s="243" t="str">
        <f>IF(ISBLANK(给QT读取的!J181),,给QT读取的!J181&amp;" ")&amp;IF(ISBLANK(给QT读取的!K181),,给QT读取的!K181&amp;" ")&amp;IF(ISBLANK(给QT读取的!L181),,给QT读取的!L181&amp;" ")&amp;IF(ISBLANK(给QT读取的!M181),,给QT读取的!M181&amp;" ")&amp;IF(ISBLANK(给QT读取的!N181),,给QT读取的!N181&amp;" ")&amp;IF(ISBLANK(给QT读取的!O181),,给QT读取的!O181&amp;" ")&amp;IF(ISBLANK(给QT读取的!P181),,给QT读取的!P181&amp;" ")&amp;IF(ISBLANK(给QT读取的!Q181),,给QT读取的!Q181&amp;" ")&amp;IF(ISBLANK(给QT读取的!R181),,给QT读取的!R181&amp;" ")&amp;IF(ISBLANK(给QT读取的!S181),,给QT读取的!S181&amp;" ")&amp;IF(ISBLANK(给QT读取的!T181),,给QT读取的!T181&amp;" ")&amp;IF(ISBLANK(给QT读取的!U181),,给QT读取的!U181&amp;" ")&amp;IF(ISBLANK(给QT读取的!V181),,给QT读取的!V181&amp;" ")&amp;IF(ISBLANK(给QT读取的!W181),,给QT读取的!W181&amp;" ")&amp;IF(ISBLANK(给QT读取的!X181),,给QT读取的!X181&amp;" ")&amp;IF(ISBLANK(给QT读取的!Y181),,给QT读取的!Y181&amp;" ")&amp;IF(ISBLANK(给QT读取的!Z181),,给QT读取的!Z181&amp;" ")&amp;IF(ISBLANK(给QT读取的!AA181),,给QT读取的!AA181)</f>
        <v>aa 00 03 02 00 08 0D 55</v>
      </c>
      <c r="U12" s="274" t="s">
        <v>671</v>
      </c>
    </row>
    <row r="13" spans="2:21" ht="27" customHeight="1" x14ac:dyDescent="0.25">
      <c r="T13" s="200" t="str">
        <f>IF(ISBLANK(给QT读取的!J182),,给QT读取的!J182&amp;" ")&amp;IF(ISBLANK(给QT读取的!K182),,给QT读取的!K182&amp;" ")&amp;IF(ISBLANK(给QT读取的!L182),,给QT读取的!L182&amp;" ")&amp;IF(ISBLANK(给QT读取的!M182),,给QT读取的!M182&amp;" ")&amp;IF(ISBLANK(给QT读取的!N182),,给QT读取的!N182&amp;" ")&amp;IF(ISBLANK(给QT读取的!O182),,给QT读取的!O182&amp;" ")&amp;IF(ISBLANK(给QT读取的!P182),,给QT读取的!P182&amp;" ")&amp;IF(ISBLANK(给QT读取的!Q182),,给QT读取的!Q182&amp;" ")&amp;IF(ISBLANK(给QT读取的!R182),,给QT读取的!R182&amp;" ")&amp;IF(ISBLANK(给QT读取的!S182),,给QT读取的!S182&amp;" ")&amp;IF(ISBLANK(给QT读取的!T182),,给QT读取的!T182&amp;" ")&amp;IF(ISBLANK(给QT读取的!U182),,给QT读取的!U182&amp;" ")&amp;IF(ISBLANK(给QT读取的!V182),,给QT读取的!V182&amp;" ")&amp;IF(ISBLANK(给QT读取的!W182),,给QT读取的!W182&amp;" ")&amp;IF(ISBLANK(给QT读取的!X182),,给QT读取的!X182&amp;" ")&amp;IF(ISBLANK(给QT读取的!Y182),,给QT读取的!Y182&amp;" ")&amp;IF(ISBLANK(给QT读取的!Z182),,给QT读取的!Z182&amp;" ")&amp;IF(ISBLANK(给QT读取的!AA182),,给QT读取的!AA182)</f>
        <v>aa 00 03 02 00 09 0E 55</v>
      </c>
      <c r="U13" s="275" t="s">
        <v>680</v>
      </c>
    </row>
    <row r="14" spans="2:21" ht="27" customHeight="1" x14ac:dyDescent="0.25">
      <c r="T14" s="55" t="str">
        <f>IF(ISBLANK(给QT读取的!J183),,给QT读取的!J183&amp;" ")&amp;IF(ISBLANK(给QT读取的!K183),,给QT读取的!K183&amp;" ")&amp;IF(ISBLANK(给QT读取的!L183),,给QT读取的!L183&amp;" ")&amp;IF(ISBLANK(给QT读取的!M183),,给QT读取的!M183&amp;" ")&amp;IF(ISBLANK(给QT读取的!N183),,给QT读取的!N183&amp;" ")&amp;IF(ISBLANK(给QT读取的!O183),,给QT读取的!O183&amp;" ")&amp;IF(ISBLANK(给QT读取的!P183),,给QT读取的!P183&amp;" ")&amp;IF(ISBLANK(给QT读取的!Q183),,给QT读取的!Q183&amp;" ")&amp;IF(ISBLANK(给QT读取的!R183),,给QT读取的!R183&amp;" ")&amp;IF(ISBLANK(给QT读取的!S183),,给QT读取的!S183&amp;" ")&amp;IF(ISBLANK(给QT读取的!T183),,给QT读取的!T183&amp;" ")&amp;IF(ISBLANK(给QT读取的!U183),,给QT读取的!U183&amp;" ")&amp;IF(ISBLANK(给QT读取的!V183),,给QT读取的!V183&amp;" ")&amp;IF(ISBLANK(给QT读取的!W183),,给QT读取的!W183&amp;" ")&amp;IF(ISBLANK(给QT读取的!X183),,给QT读取的!X183&amp;" ")&amp;IF(ISBLANK(给QT读取的!Y183),,给QT读取的!Y183&amp;" ")&amp;IF(ISBLANK(给QT读取的!Z183),,给QT读取的!Z183&amp;" ")&amp;IF(ISBLANK(给QT读取的!AA183),,给QT读取的!AA183)</f>
        <v>aa 00 03 02 00 0A 0F 55</v>
      </c>
      <c r="U14" s="276" t="s">
        <v>681</v>
      </c>
    </row>
    <row r="15" spans="2:21" ht="13.5" customHeight="1" x14ac:dyDescent="0.25">
      <c r="T15" s="55" t="str">
        <f>IF(ISBLANK(给QT读取的!J184),,给QT读取的!J184&amp;" ")&amp;IF(ISBLANK(给QT读取的!K184),,给QT读取的!K184&amp;" ")&amp;IF(ISBLANK(给QT读取的!L184),,给QT读取的!L184&amp;" ")&amp;IF(ISBLANK(给QT读取的!M184),,给QT读取的!M184&amp;" ")&amp;IF(ISBLANK(给QT读取的!N184),,给QT读取的!N184&amp;" ")&amp;IF(ISBLANK(给QT读取的!O184),,给QT读取的!O184&amp;" ")&amp;IF(ISBLANK(给QT读取的!P184),,给QT读取的!P184&amp;" ")&amp;IF(ISBLANK(给QT读取的!Q184),,给QT读取的!Q184&amp;" ")&amp;IF(ISBLANK(给QT读取的!R184),,给QT读取的!R184&amp;" ")&amp;IF(ISBLANK(给QT读取的!S184),,给QT读取的!S184&amp;" ")&amp;IF(ISBLANK(给QT读取的!T184),,给QT读取的!T184&amp;" ")&amp;IF(ISBLANK(给QT读取的!U184),,给QT读取的!U184&amp;" ")&amp;IF(ISBLANK(给QT读取的!V184),,给QT读取的!V184&amp;" ")&amp;IF(ISBLANK(给QT读取的!W184),,给QT读取的!W184&amp;" ")&amp;IF(ISBLANK(给QT读取的!X184),,给QT读取的!X184&amp;" ")&amp;IF(ISBLANK(给QT读取的!Y184),,给QT读取的!Y184&amp;" ")&amp;IF(ISBLANK(给QT读取的!Z184),,给QT读取的!Z184&amp;" ")&amp;IF(ISBLANK(给QT读取的!AA184),,给QT读取的!AA184)</f>
        <v>aa 00 0D 02 00 0B 01 02 03 04 05 06 07 08 09 10 57 55</v>
      </c>
      <c r="U15" s="276" t="s">
        <v>674</v>
      </c>
    </row>
    <row r="16" spans="2:21" ht="13.5" customHeight="1" x14ac:dyDescent="0.25">
      <c r="T16" s="55" t="str">
        <f>IF(ISBLANK(给QT读取的!J185),,给QT读取的!J185&amp;" ")&amp;IF(ISBLANK(给QT读取的!K185),,给QT读取的!K185&amp;" ")&amp;IF(ISBLANK(给QT读取的!L185),,给QT读取的!L185&amp;" ")&amp;IF(ISBLANK(给QT读取的!M185),,给QT读取的!M185&amp;" ")&amp;IF(ISBLANK(给QT读取的!N185),,给QT读取的!N185&amp;" ")&amp;IF(ISBLANK(给QT读取的!O185),,给QT读取的!O185&amp;" ")&amp;IF(ISBLANK(给QT读取的!P185),,给QT读取的!P185&amp;" ")&amp;IF(ISBLANK(给QT读取的!Q185),,给QT读取的!Q185&amp;" ")&amp;IF(ISBLANK(给QT读取的!R185),,给QT读取的!R185&amp;" ")&amp;IF(ISBLANK(给QT读取的!S185),,给QT读取的!S185&amp;" ")&amp;IF(ISBLANK(给QT读取的!T185),,给QT读取的!T185&amp;" ")&amp;IF(ISBLANK(给QT读取的!U185),,给QT读取的!U185&amp;" ")&amp;IF(ISBLANK(给QT读取的!V185),,给QT读取的!V185&amp;" ")&amp;IF(ISBLANK(给QT读取的!W185),,给QT读取的!W185&amp;" ")&amp;IF(ISBLANK(给QT读取的!X185),,给QT读取的!X185&amp;" ")&amp;IF(ISBLANK(给QT读取的!Y185),,给QT读取的!Y185&amp;" ")&amp;IF(ISBLANK(给QT读取的!Z185),,给QT读取的!Z185&amp;" ")&amp;IF(ISBLANK(给QT读取的!AA185),,给QT读取的!AA185)</f>
        <v>aa 00 03 02 00 0C 11 55</v>
      </c>
      <c r="U16" s="276" t="s">
        <v>676</v>
      </c>
    </row>
    <row r="17" spans="2:21" ht="13.5" customHeight="1" thickBot="1" x14ac:dyDescent="0.3">
      <c r="T17" s="49" t="e">
        <f>IF(ISBLANK(给QT读取的!J186),,给QT读取的!J186&amp;" ")&amp;IF(ISBLANK(给QT读取的!K186),,给QT读取的!K186&amp;" ")&amp;IF(ISBLANK(给QT读取的!L186),,给QT读取的!L186&amp;" ")&amp;IF(ISBLANK(给QT读取的!M186),,给QT读取的!M186&amp;" ")&amp;IF(ISBLANK(给QT读取的!N186),,给QT读取的!N186&amp;" ")&amp;IF(ISBLANK(给QT读取的!O186),,给QT读取的!O186&amp;" ")&amp;IF(ISBLANK(给QT读取的!P186),,给QT读取的!P186&amp;" ")&amp;IF(ISBLANK(给QT读取的!Q186),,给QT读取的!Q186&amp;" ")&amp;IF(ISBLANK(给QT读取的!R186),,给QT读取的!R186&amp;" ")&amp;IF(ISBLANK(给QT读取的!S186),,给QT读取的!S186&amp;" ")&amp;IF(ISBLANK(给QT读取的!T186),,给QT读取的!T186&amp;" ")&amp;IF(ISBLANK(给QT读取的!U186),,给QT读取的!U186&amp;" ")&amp;IF(ISBLANK(给QT读取的!V186),,给QT读取的!V186&amp;" ")&amp;IF(ISBLANK(给QT读取的!W186),,给QT读取的!W186&amp;" ")&amp;IF(ISBLANK(给QT读取的!X186),,给QT读取的!X186&amp;" ")&amp;IF(ISBLANK(给QT读取的!Y186),,给QT读取的!Y186&amp;" ")&amp;IF(ISBLANK(给QT读取的!Z186),,给QT读取的!Z186&amp;" ")&amp;IF(ISBLANK(给QT读取的!AA186),,给QT读取的!AA186)</f>
        <v>#NUM!</v>
      </c>
      <c r="U17" s="277" t="s">
        <v>677</v>
      </c>
    </row>
    <row r="19" spans="2:21" ht="13.5" customHeight="1" x14ac:dyDescent="0.25">
      <c r="B19" s="84" t="s">
        <v>0</v>
      </c>
      <c r="C19" s="75" t="s">
        <v>1</v>
      </c>
      <c r="D19" s="75" t="str">
        <f>DEC2HEX( COUNTA(E19:Q19),2)</f>
        <v>03</v>
      </c>
      <c r="E19" s="76" t="s">
        <v>661</v>
      </c>
      <c r="F19" s="76" t="s">
        <v>1</v>
      </c>
      <c r="G19" s="76" t="s">
        <v>679</v>
      </c>
      <c r="H19" s="271"/>
      <c r="I19" s="271"/>
      <c r="J19" s="271"/>
      <c r="K19" s="271"/>
      <c r="L19" s="271"/>
      <c r="M19" s="271"/>
      <c r="N19" s="271"/>
      <c r="O19" s="271"/>
      <c r="P19" s="271"/>
      <c r="Q19" s="271"/>
      <c r="R19" s="84" t="str">
        <f>DEC2HEX(MOD(HEX2DEC(C19)+HEX2DEC(D19)+HEX2DEC(E19)+HEX2DEC(F19)+HEX2DEC(G19)+HEX2DEC(H19)+HEX2DEC(I19)+HEX2DEC(J19)+HEX2DEC(K19)+HEX2DEC(L19)+HEX2DEC(M19)+HEX2DEC(N19)+HEX2DEC(O19)+HEX2DEC(P19)+HEX2DEC(Q19),256),2)</f>
        <v>04</v>
      </c>
      <c r="S19" s="84" t="s">
        <v>5</v>
      </c>
      <c r="T19" s="55" t="str">
        <f>IF(ISBLANK(B19),,B19&amp;" ")&amp;IF(ISBLANK(C19),,C19&amp;" ")&amp;IF(ISBLANK(D19),,D19&amp;" ")&amp;IF(ISBLANK(E19),,E19&amp;" ")&amp;IF(ISBLANK(F19),,F19&amp;" ")&amp;IF(ISBLANK(G19),,G19&amp;" ")&amp;IF(ISBLANK(H19),,H19&amp;" ")&amp;IF(ISBLANK(I19),,I19&amp;" ")&amp;IF(ISBLANK(J19),,J19&amp;" ")&amp;IF(ISBLANK(K19),,K19&amp;" ")&amp;IF(ISBLANK(L19),,L19&amp;" ")&amp;IF(ISBLANK(M19),,M19&amp;" ")&amp;IF(ISBLANK(N19),,N19&amp;" ")&amp;IF(ISBLANK(O19),,O19&amp;" ")&amp;IF(ISBLANK(P19),,P19&amp;" ")&amp;IF(ISBLANK(Q19),,Q19&amp;" ")&amp;IF(ISBLANK(R19),,R19&amp;" ")&amp;IF(ISBLANK(S19),,S19)</f>
        <v>aa 00 03 02 00 FF 04 55</v>
      </c>
      <c r="U19" s="273"/>
    </row>
  </sheetData>
  <mergeCells count="1">
    <mergeCell ref="B1:U1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C2:AC47"/>
  <sheetViews>
    <sheetView topLeftCell="B1" zoomScale="115" zoomScaleNormal="115" workbookViewId="0">
      <selection activeCell="U11" sqref="U11"/>
    </sheetView>
  </sheetViews>
  <sheetFormatPr defaultColWidth="9" defaultRowHeight="14.4" x14ac:dyDescent="0.25"/>
  <cols>
    <col min="1" max="9" width="3.6640625" style="43" customWidth="1"/>
    <col min="10" max="10" width="4.33203125" style="43" customWidth="1"/>
    <col min="11" max="11" width="3.6640625" style="43" customWidth="1"/>
    <col min="12" max="12" width="4.109375" style="43" customWidth="1"/>
    <col min="13" max="20" width="3.6640625" style="43" customWidth="1"/>
    <col min="21" max="21" width="40.6640625" style="43" customWidth="1"/>
    <col min="22" max="25" width="5.6640625" style="43" customWidth="1"/>
    <col min="26" max="29" width="10.6640625" style="43" customWidth="1"/>
    <col min="30" max="16384" width="9" style="43"/>
  </cols>
  <sheetData>
    <row r="2" spans="3:29" x14ac:dyDescent="0.25">
      <c r="C2" s="510" t="s">
        <v>379</v>
      </c>
      <c r="D2" s="511"/>
      <c r="E2" s="511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  <c r="AB2" s="511"/>
      <c r="AC2" s="512"/>
    </row>
    <row r="3" spans="3:29" ht="22.2" x14ac:dyDescent="0.25">
      <c r="C3" s="498" t="s">
        <v>728</v>
      </c>
      <c r="D3" s="533"/>
      <c r="E3" s="533"/>
      <c r="F3" s="533"/>
      <c r="G3" s="533"/>
      <c r="H3" s="533"/>
      <c r="I3" s="533"/>
      <c r="J3" s="533"/>
      <c r="K3" s="533"/>
      <c r="L3" s="533"/>
      <c r="M3" s="533"/>
      <c r="N3" s="533"/>
      <c r="O3" s="533"/>
      <c r="P3" s="533"/>
      <c r="Q3" s="533"/>
      <c r="R3" s="533"/>
      <c r="S3" s="533"/>
      <c r="T3" s="533"/>
      <c r="U3" s="533"/>
      <c r="V3" s="533"/>
      <c r="W3" s="533"/>
      <c r="X3" s="533"/>
      <c r="Y3" s="533"/>
      <c r="Z3" s="533"/>
      <c r="AA3" s="533"/>
      <c r="AB3" s="533"/>
      <c r="AC3" s="533"/>
    </row>
    <row r="4" spans="3:29" x14ac:dyDescent="0.25">
      <c r="C4" s="435" t="s">
        <v>275</v>
      </c>
      <c r="D4" s="435"/>
      <c r="E4" s="435"/>
      <c r="F4" s="435"/>
      <c r="G4" s="435"/>
      <c r="H4" s="435"/>
      <c r="I4" s="435"/>
      <c r="J4" s="435"/>
      <c r="K4" s="435"/>
      <c r="L4" s="435"/>
      <c r="M4" s="435"/>
      <c r="N4" s="435"/>
      <c r="O4" s="435"/>
      <c r="P4" s="435"/>
      <c r="Q4" s="435"/>
      <c r="R4" s="435"/>
      <c r="S4" s="435"/>
      <c r="T4" s="435"/>
      <c r="U4" s="290" t="s">
        <v>266</v>
      </c>
      <c r="V4" s="435" t="s">
        <v>267</v>
      </c>
      <c r="W4" s="435"/>
      <c r="X4" s="435"/>
      <c r="Y4" s="435"/>
      <c r="Z4" s="435" t="s">
        <v>268</v>
      </c>
      <c r="AA4" s="435"/>
      <c r="AB4" s="435"/>
      <c r="AC4" s="435"/>
    </row>
    <row r="5" spans="3:29" ht="12" customHeight="1" x14ac:dyDescent="0.25">
      <c r="C5" s="86" t="s">
        <v>77</v>
      </c>
      <c r="D5" s="291" t="s">
        <v>78</v>
      </c>
      <c r="E5" s="291" t="s">
        <v>10</v>
      </c>
      <c r="F5" s="291" t="s">
        <v>79</v>
      </c>
      <c r="G5" s="291" t="s">
        <v>80</v>
      </c>
      <c r="H5" s="291" t="s">
        <v>11</v>
      </c>
      <c r="I5" s="436" t="s">
        <v>83</v>
      </c>
      <c r="J5" s="436"/>
      <c r="K5" s="436"/>
      <c r="L5" s="436"/>
      <c r="M5" s="436"/>
      <c r="N5" s="436"/>
      <c r="O5" s="436"/>
      <c r="P5" s="436"/>
      <c r="Q5" s="436"/>
      <c r="R5" s="436"/>
      <c r="S5" s="83" t="s">
        <v>81</v>
      </c>
      <c r="T5" s="83" t="s">
        <v>82</v>
      </c>
      <c r="U5" s="51" t="s">
        <v>276</v>
      </c>
      <c r="V5" s="45"/>
      <c r="W5" s="45"/>
      <c r="X5" s="45"/>
      <c r="Y5" s="45"/>
      <c r="Z5" s="439" t="s">
        <v>6</v>
      </c>
      <c r="AA5" s="439"/>
      <c r="AB5" s="439"/>
      <c r="AC5" s="439"/>
    </row>
    <row r="6" spans="3:29" ht="12" customHeight="1" x14ac:dyDescent="0.25">
      <c r="C6" s="86"/>
      <c r="D6" s="297"/>
      <c r="E6" s="297"/>
      <c r="F6" s="436" t="s">
        <v>747</v>
      </c>
      <c r="G6" s="436"/>
      <c r="H6" s="436"/>
      <c r="I6" s="297" t="s">
        <v>510</v>
      </c>
      <c r="J6" s="297"/>
      <c r="K6" s="436" t="s">
        <v>74</v>
      </c>
      <c r="L6" s="436"/>
      <c r="M6" s="297"/>
      <c r="N6" s="297"/>
      <c r="O6" s="297"/>
      <c r="P6" s="297"/>
      <c r="Q6" s="297"/>
      <c r="R6" s="297"/>
      <c r="S6" s="83"/>
      <c r="T6" s="83"/>
      <c r="U6" s="298"/>
      <c r="V6" s="294" t="s">
        <v>74</v>
      </c>
      <c r="W6" s="294" t="s">
        <v>730</v>
      </c>
      <c r="X6" s="294"/>
      <c r="Y6" s="294"/>
      <c r="Z6" s="298"/>
      <c r="AA6" s="298"/>
      <c r="AB6" s="298"/>
      <c r="AC6" s="298"/>
    </row>
    <row r="7" spans="3:29" ht="35.25" customHeight="1" x14ac:dyDescent="0.25">
      <c r="C7" s="84" t="s">
        <v>0</v>
      </c>
      <c r="D7" s="75" t="s">
        <v>1</v>
      </c>
      <c r="E7" s="75" t="str">
        <f>DEC2HEX( COUNTA(F7:R7),2)</f>
        <v>06</v>
      </c>
      <c r="F7" s="76" t="s">
        <v>404</v>
      </c>
      <c r="G7" s="76" t="s">
        <v>1</v>
      </c>
      <c r="H7" s="76" t="s">
        <v>42</v>
      </c>
      <c r="I7" s="299" t="s">
        <v>4</v>
      </c>
      <c r="J7" s="299"/>
      <c r="K7" s="3" t="str">
        <f>LEFT(RIGHT(DEC2HEX(V7,4),4),2)</f>
        <v>00</v>
      </c>
      <c r="L7" s="3" t="str">
        <f>LEFT(RIGHT(DEC2HEX(V7,4),2),2)</f>
        <v>64</v>
      </c>
      <c r="M7" s="299"/>
      <c r="N7" s="299"/>
      <c r="O7" s="299"/>
      <c r="P7" s="299"/>
      <c r="Q7" s="299"/>
      <c r="R7" s="299"/>
      <c r="S7" s="84" t="str">
        <f>DEC2HEX(MOD(HEX2DEC(D7)+HEX2DEC(E7)+HEX2DEC(F7)+HEX2DEC(G7)+HEX2DEC(H7)+HEX2DEC(I7)+HEX2DEC(J7)+HEX2DEC(K7)+HEX2DEC(L7)+HEX2DEC(M7)+HEX2DEC(N7)+HEX2DEC(O7)+HEX2DEC(P7)+HEX2DEC(Q7)+HEX2DEC(R7),256),2)</f>
        <v>8B</v>
      </c>
      <c r="T7" s="84" t="s">
        <v>5</v>
      </c>
      <c r="U7" s="55" t="str">
        <f>IF(ISBLANK(C7),,C7&amp;" ")&amp;IF(ISBLANK(D7),,D7&amp;" ")&amp;IF(ISBLANK(E7),,E7&amp;" ")&amp;IF(ISBLANK(F7),,F7&amp;" ")&amp;IF(ISBLANK(G7),,G7&amp;" ")&amp;IF(ISBLANK(H7),,H7&amp;" ")&amp;IF(ISBLANK(I7),,I7&amp;" ")&amp;IF(ISBLANK(J7),,J7&amp;" ")&amp;IF(ISBLANK(K7),,K7&amp;" ")&amp;IF(ISBLANK(L7),,L7&amp;" ")&amp;IF(ISBLANK(M7),,M7&amp;" ")&amp;IF(ISBLANK(N7),,N7&amp;" ")&amp;IF(ISBLANK(O7),,O7&amp;" ")&amp;IF(ISBLANK(P7),,P7&amp;" ")&amp;IF(ISBLANK(Q7),,Q7&amp;" ")&amp;IF(ISBLANK(R7),,R7&amp;" ")&amp;IF(ISBLANK(S7),,S7&amp;" ")&amp;IF(ISBLANK(T7),,T7)</f>
        <v>aa 00 06 E0 00 40 01 00 64 8B 55</v>
      </c>
      <c r="V7" s="116">
        <v>100</v>
      </c>
      <c r="W7" s="116"/>
      <c r="X7" s="116"/>
      <c r="Y7" s="116"/>
      <c r="Z7" s="534" t="s">
        <v>746</v>
      </c>
      <c r="AA7" s="438"/>
      <c r="AB7" s="438"/>
      <c r="AC7" s="438"/>
    </row>
    <row r="8" spans="3:29" ht="12" customHeight="1" x14ac:dyDescent="0.25">
      <c r="C8" s="86"/>
      <c r="D8" s="297"/>
      <c r="E8" s="297"/>
      <c r="F8" s="436" t="s">
        <v>748</v>
      </c>
      <c r="G8" s="436"/>
      <c r="H8" s="436"/>
      <c r="I8" s="297"/>
      <c r="J8" s="297"/>
      <c r="K8" s="297"/>
      <c r="L8" s="297"/>
      <c r="M8" s="297"/>
      <c r="N8" s="297"/>
      <c r="O8" s="297"/>
      <c r="P8" s="297"/>
      <c r="Q8" s="297"/>
      <c r="R8" s="297"/>
      <c r="S8" s="83"/>
      <c r="T8" s="83"/>
      <c r="U8" s="298"/>
      <c r="V8" s="294"/>
      <c r="W8" s="294"/>
      <c r="X8" s="294"/>
      <c r="Y8" s="294"/>
      <c r="Z8" s="298"/>
      <c r="AA8" s="298"/>
      <c r="AB8" s="298"/>
      <c r="AC8" s="298"/>
    </row>
    <row r="9" spans="3:29" ht="12" customHeight="1" x14ac:dyDescent="0.25">
      <c r="C9" s="84" t="s">
        <v>0</v>
      </c>
      <c r="D9" s="75" t="s">
        <v>1</v>
      </c>
      <c r="E9" s="75" t="str">
        <f>DEC2HEX( COUNTA(F9:R9),2)</f>
        <v>03</v>
      </c>
      <c r="F9" s="76" t="s">
        <v>404</v>
      </c>
      <c r="G9" s="76" t="s">
        <v>1</v>
      </c>
      <c r="H9" s="76" t="s">
        <v>98</v>
      </c>
      <c r="I9" s="299"/>
      <c r="J9" s="299"/>
      <c r="K9" s="3"/>
      <c r="L9" s="3"/>
      <c r="M9" s="299"/>
      <c r="N9" s="299"/>
      <c r="O9" s="299"/>
      <c r="P9" s="299"/>
      <c r="Q9" s="299"/>
      <c r="R9" s="299"/>
      <c r="S9" s="84" t="str">
        <f>DEC2HEX(MOD(HEX2DEC(D9)+HEX2DEC(E9)+HEX2DEC(F9)+HEX2DEC(G9)+HEX2DEC(H9)+HEX2DEC(I9)+HEX2DEC(J9)+HEX2DEC(K9)+HEX2DEC(L9)+HEX2DEC(M9)+HEX2DEC(N9)+HEX2DEC(O9)+HEX2DEC(P9)+HEX2DEC(Q9)+HEX2DEC(R9),256),2)</f>
        <v>24</v>
      </c>
      <c r="T9" s="84" t="s">
        <v>5</v>
      </c>
      <c r="U9" s="55" t="str">
        <f>IF(ISBLANK(C9),,C9&amp;" ")&amp;IF(ISBLANK(D9),,D9&amp;" ")&amp;IF(ISBLANK(E9),,E9&amp;" ")&amp;IF(ISBLANK(F9),,F9&amp;" ")&amp;IF(ISBLANK(G9),,G9&amp;" ")&amp;IF(ISBLANK(H9),,H9&amp;" ")&amp;IF(ISBLANK(I9),,I9&amp;" ")&amp;IF(ISBLANK(J9),,J9&amp;" ")&amp;IF(ISBLANK(K9),,K9&amp;" ")&amp;IF(ISBLANK(L9),,L9&amp;" ")&amp;IF(ISBLANK(M9),,M9&amp;" ")&amp;IF(ISBLANK(N9),,N9&amp;" ")&amp;IF(ISBLANK(O9),,O9&amp;" ")&amp;IF(ISBLANK(P9),,P9&amp;" ")&amp;IF(ISBLANK(Q9),,Q9&amp;" ")&amp;IF(ISBLANK(R9),,R9&amp;" ")&amp;IF(ISBLANK(S9),,S9&amp;" ")&amp;IF(ISBLANK(T9),,T9)</f>
        <v>aa 00 03 E0 00 41 24 55</v>
      </c>
      <c r="V9" s="116"/>
      <c r="W9" s="116"/>
      <c r="X9" s="116"/>
      <c r="Y9" s="116"/>
      <c r="Z9" s="534" t="s">
        <v>749</v>
      </c>
      <c r="AA9" s="438"/>
      <c r="AB9" s="438"/>
      <c r="AC9" s="438"/>
    </row>
    <row r="10" spans="3:29" ht="12" customHeight="1" x14ac:dyDescent="0.25">
      <c r="C10" s="86"/>
      <c r="D10" s="291"/>
      <c r="E10" s="291"/>
      <c r="F10" s="436" t="s">
        <v>731</v>
      </c>
      <c r="G10" s="436"/>
      <c r="H10" s="436"/>
      <c r="I10" s="291" t="s">
        <v>510</v>
      </c>
      <c r="J10" s="304" t="s">
        <v>730</v>
      </c>
      <c r="K10" s="436" t="s">
        <v>74</v>
      </c>
      <c r="L10" s="436"/>
      <c r="M10" s="291"/>
      <c r="N10" s="291"/>
      <c r="O10" s="291"/>
      <c r="P10" s="291"/>
      <c r="Q10" s="291"/>
      <c r="R10" s="291"/>
      <c r="S10" s="83"/>
      <c r="T10" s="83"/>
      <c r="U10" s="292"/>
      <c r="V10" s="294" t="s">
        <v>732</v>
      </c>
      <c r="W10" s="294" t="s">
        <v>742</v>
      </c>
      <c r="X10" s="294"/>
      <c r="Y10" s="294"/>
      <c r="Z10" s="292"/>
      <c r="AA10" s="292"/>
      <c r="AB10" s="292"/>
      <c r="AC10" s="292"/>
    </row>
    <row r="11" spans="3:29" ht="41.25" customHeight="1" x14ac:dyDescent="0.25">
      <c r="C11" s="84" t="s">
        <v>0</v>
      </c>
      <c r="D11" s="75" t="s">
        <v>1</v>
      </c>
      <c r="E11" s="75" t="str">
        <f>DEC2HEX( COUNTA(F11:R11),2)</f>
        <v>07</v>
      </c>
      <c r="F11" s="76" t="s">
        <v>404</v>
      </c>
      <c r="G11" s="76" t="s">
        <v>1</v>
      </c>
      <c r="H11" s="76" t="s">
        <v>729</v>
      </c>
      <c r="I11" s="293" t="s">
        <v>733</v>
      </c>
      <c r="J11" s="305" t="str">
        <f>DEC2HEX(W11,2)</f>
        <v>0A</v>
      </c>
      <c r="K11" s="3" t="str">
        <f>LEFT(RIGHT(DEC2HEX(V11,4),4),2)</f>
        <v>00</v>
      </c>
      <c r="L11" s="3" t="str">
        <f>LEFT(RIGHT(DEC2HEX(V11,4),2),2)</f>
        <v>64</v>
      </c>
      <c r="M11" s="293"/>
      <c r="N11" s="293"/>
      <c r="O11" s="293"/>
      <c r="P11" s="293"/>
      <c r="Q11" s="293"/>
      <c r="R11" s="293"/>
      <c r="S11" s="84" t="str">
        <f>DEC2HEX(MOD(HEX2DEC(D11)+HEX2DEC(E11)+HEX2DEC(F11)+HEX2DEC(G11)+HEX2DEC(H11)+HEX2DEC(I11)+HEX2DEC(J11)+HEX2DEC(K11)+HEX2DEC(L11)+HEX2DEC(M11)+HEX2DEC(N11)+HEX2DEC(O11)+HEX2DEC(P11)+HEX2DEC(Q11)+HEX2DEC(R11),256),2)</f>
        <v>A6</v>
      </c>
      <c r="T11" s="84" t="s">
        <v>5</v>
      </c>
      <c r="U11" s="55" t="str">
        <f>IF(ISBLANK(C11),,C11&amp;" ")&amp;IF(ISBLANK(D11),,D11&amp;" ")&amp;IF(ISBLANK(E11),,E11&amp;" ")&amp;IF(ISBLANK(F11),,F11&amp;" ")&amp;IF(ISBLANK(G11),,G11&amp;" ")&amp;IF(ISBLANK(H11),,H11&amp;" ")&amp;IF(ISBLANK(I11),,I11&amp;" ")&amp;IF(ISBLANK(J11),,J11&amp;" ")&amp;IF(ISBLANK(K11),,K11&amp;" ")&amp;IF(ISBLANK(L11),,L11&amp;" ")&amp;IF(ISBLANK(M11),,M11&amp;" ")&amp;IF(ISBLANK(N11),,N11&amp;" ")&amp;IF(ISBLANK(O11),,O11&amp;" ")&amp;IF(ISBLANK(P11),,P11&amp;" ")&amp;IF(ISBLANK(Q11),,Q11&amp;" ")&amp;IF(ISBLANK(R11),,R11&amp;" ")&amp;IF(ISBLANK(S11),,S11&amp;" ")&amp;IF(ISBLANK(T11),,T11)</f>
        <v>aa 00 07 E0 00 50 01 0A 00 64 A6 55</v>
      </c>
      <c r="V11" s="116">
        <v>100</v>
      </c>
      <c r="W11" s="116">
        <v>10</v>
      </c>
      <c r="X11" s="116"/>
      <c r="Y11" s="116"/>
      <c r="Z11" s="534" t="s">
        <v>734</v>
      </c>
      <c r="AA11" s="438"/>
      <c r="AB11" s="438"/>
      <c r="AC11" s="438"/>
    </row>
    <row r="12" spans="3:29" x14ac:dyDescent="0.25">
      <c r="C12" s="86"/>
      <c r="D12" s="291"/>
      <c r="E12" s="291"/>
      <c r="F12" s="436" t="s">
        <v>735</v>
      </c>
      <c r="G12" s="436"/>
      <c r="H12" s="436"/>
      <c r="I12" s="291" t="s">
        <v>737</v>
      </c>
      <c r="J12" s="291" t="s">
        <v>730</v>
      </c>
      <c r="K12" s="436" t="s">
        <v>772</v>
      </c>
      <c r="L12" s="436"/>
      <c r="M12" s="291"/>
      <c r="N12" s="291"/>
      <c r="O12" s="291"/>
      <c r="P12" s="291"/>
      <c r="Q12" s="291"/>
      <c r="R12" s="291"/>
      <c r="S12" s="83"/>
      <c r="T12" s="83"/>
      <c r="U12" s="292"/>
      <c r="V12" s="294" t="s">
        <v>771</v>
      </c>
      <c r="W12" s="294" t="s">
        <v>743</v>
      </c>
      <c r="X12" s="294"/>
      <c r="Y12" s="294"/>
      <c r="Z12" s="292"/>
      <c r="AA12" s="292"/>
      <c r="AB12" s="292"/>
      <c r="AC12" s="292"/>
    </row>
    <row r="13" spans="3:29" ht="43.5" customHeight="1" x14ac:dyDescent="0.25">
      <c r="C13" s="84" t="s">
        <v>0</v>
      </c>
      <c r="D13" s="75" t="s">
        <v>1</v>
      </c>
      <c r="E13" s="75" t="str">
        <f>DEC2HEX( COUNTA(F13:R13),2)</f>
        <v>07</v>
      </c>
      <c r="F13" s="76" t="s">
        <v>404</v>
      </c>
      <c r="G13" s="76" t="s">
        <v>1</v>
      </c>
      <c r="H13" s="76" t="s">
        <v>736</v>
      </c>
      <c r="I13" s="295" t="s">
        <v>9</v>
      </c>
      <c r="J13" s="3" t="str">
        <f>LEFT(RIGHT(DEC2HEX(W13,4),2),2)</f>
        <v>14</v>
      </c>
      <c r="K13" s="3" t="str">
        <f>LEFT(RIGHT(DEC2HEX(V13,4),4),2)</f>
        <v>00</v>
      </c>
      <c r="L13" s="3" t="str">
        <f>LEFT(RIGHT(DEC2HEX(V13,4),2),2)</f>
        <v>64</v>
      </c>
      <c r="M13" s="293"/>
      <c r="N13" s="293"/>
      <c r="O13" s="293"/>
      <c r="P13" s="293"/>
      <c r="Q13" s="293"/>
      <c r="R13" s="293"/>
      <c r="S13" s="84" t="str">
        <f>DEC2HEX(MOD(HEX2DEC(D13)+HEX2DEC(E13)+HEX2DEC(F13)+HEX2DEC(G13)+HEX2DEC(H13)+HEX2DEC(I13)+HEX2DEC(J13)+HEX2DEC(K13)+HEX2DEC(L13)+HEX2DEC(M13)+HEX2DEC(N13)+HEX2DEC(O13)+HEX2DEC(P13)+HEX2DEC(Q13)+HEX2DEC(R13),256),2)</f>
        <v>B5</v>
      </c>
      <c r="T13" s="84" t="s">
        <v>5</v>
      </c>
      <c r="U13" s="55" t="str">
        <f>IF(ISBLANK(C13),,C13&amp;" ")&amp;IF(ISBLANK(D13),,D13&amp;" ")&amp;IF(ISBLANK(E13),,E13&amp;" ")&amp;IF(ISBLANK(F13),,F13&amp;" ")&amp;IF(ISBLANK(G13),,G13&amp;" ")&amp;IF(ISBLANK(H13),,H13&amp;" ")&amp;IF(ISBLANK(I13),,I13&amp;" ")&amp;IF(ISBLANK(J13),,J13&amp;" ")&amp;IF(ISBLANK(K13),,K13&amp;" ")&amp;IF(ISBLANK(L13),,L13&amp;" ")&amp;IF(ISBLANK(M13),,M13&amp;" ")&amp;IF(ISBLANK(N13),,N13&amp;" ")&amp;IF(ISBLANK(O13),,O13&amp;" ")&amp;IF(ISBLANK(P13),,P13&amp;" ")&amp;IF(ISBLANK(Q13),,Q13&amp;" ")&amp;IF(ISBLANK(R13),,R13&amp;" ")&amp;IF(ISBLANK(S13),,S13&amp;" ")&amp;IF(ISBLANK(T13),,T13)</f>
        <v>aa 00 07 E0 00 51 05 14 00 64 B5 55</v>
      </c>
      <c r="V13" s="116">
        <v>100</v>
      </c>
      <c r="W13" s="116">
        <v>20</v>
      </c>
      <c r="X13" s="116"/>
      <c r="Y13" s="116"/>
      <c r="Z13" s="534" t="s">
        <v>738</v>
      </c>
      <c r="AA13" s="438"/>
      <c r="AB13" s="438"/>
      <c r="AC13" s="438"/>
    </row>
    <row r="14" spans="3:29" x14ac:dyDescent="0.25">
      <c r="C14" s="86"/>
      <c r="D14" s="291"/>
      <c r="E14" s="291"/>
      <c r="F14" s="436" t="s">
        <v>740</v>
      </c>
      <c r="G14" s="436"/>
      <c r="H14" s="436"/>
      <c r="I14" s="291"/>
      <c r="J14" s="291"/>
      <c r="K14" s="436"/>
      <c r="L14" s="436"/>
      <c r="M14" s="291"/>
      <c r="N14" s="291"/>
      <c r="O14" s="291"/>
      <c r="P14" s="291"/>
      <c r="Q14" s="291"/>
      <c r="R14" s="291"/>
      <c r="S14" s="83"/>
      <c r="T14" s="83"/>
      <c r="U14" s="292"/>
      <c r="V14" s="294"/>
      <c r="W14" s="294"/>
      <c r="X14" s="294"/>
      <c r="Y14" s="294"/>
      <c r="Z14" s="292"/>
      <c r="AA14" s="292"/>
      <c r="AB14" s="292"/>
      <c r="AC14" s="292"/>
    </row>
    <row r="15" spans="3:29" ht="13.5" customHeight="1" x14ac:dyDescent="0.25">
      <c r="C15" s="84" t="s">
        <v>0</v>
      </c>
      <c r="D15" s="75" t="s">
        <v>1</v>
      </c>
      <c r="E15" s="75" t="str">
        <f>DEC2HEX( COUNTA(F15:R15),2)</f>
        <v>03</v>
      </c>
      <c r="F15" s="76" t="s">
        <v>404</v>
      </c>
      <c r="G15" s="76" t="s">
        <v>1</v>
      </c>
      <c r="H15" s="76" t="s">
        <v>741</v>
      </c>
      <c r="I15" s="293"/>
      <c r="J15" s="293"/>
      <c r="K15" s="3"/>
      <c r="L15" s="3"/>
      <c r="M15" s="293"/>
      <c r="N15" s="293"/>
      <c r="O15" s="293"/>
      <c r="P15" s="293"/>
      <c r="Q15" s="293"/>
      <c r="R15" s="293"/>
      <c r="S15" s="84" t="str">
        <f>DEC2HEX(MOD(HEX2DEC(D15)+HEX2DEC(E15)+HEX2DEC(F15)+HEX2DEC(G15)+HEX2DEC(H15)+HEX2DEC(I15)+HEX2DEC(J15)+HEX2DEC(K15)+HEX2DEC(L15)+HEX2DEC(M15)+HEX2DEC(N15)+HEX2DEC(O15)+HEX2DEC(P15)+HEX2DEC(Q15)+HEX2DEC(R15),256),2)</f>
        <v>35</v>
      </c>
      <c r="T15" s="84" t="s">
        <v>5</v>
      </c>
      <c r="U15" s="55" t="str">
        <f>IF(ISBLANK(C15),,C15&amp;" ")&amp;IF(ISBLANK(D15),,D15&amp;" ")&amp;IF(ISBLANK(E15),,E15&amp;" ")&amp;IF(ISBLANK(F15),,F15&amp;" ")&amp;IF(ISBLANK(G15),,G15&amp;" ")&amp;IF(ISBLANK(H15),,H15&amp;" ")&amp;IF(ISBLANK(I15),,I15&amp;" ")&amp;IF(ISBLANK(J15),,J15&amp;" ")&amp;IF(ISBLANK(K15),,K15&amp;" ")&amp;IF(ISBLANK(L15),,L15&amp;" ")&amp;IF(ISBLANK(M15),,M15&amp;" ")&amp;IF(ISBLANK(N15),,N15&amp;" ")&amp;IF(ISBLANK(O15),,O15&amp;" ")&amp;IF(ISBLANK(P15),,P15&amp;" ")&amp;IF(ISBLANK(Q15),,Q15&amp;" ")&amp;IF(ISBLANK(R15),,R15&amp;" ")&amp;IF(ISBLANK(S15),,S15&amp;" ")&amp;IF(ISBLANK(T15),,T15)</f>
        <v>aa 00 03 E0 00 52 35 55</v>
      </c>
      <c r="V15" s="116"/>
      <c r="W15" s="116"/>
      <c r="X15" s="116"/>
      <c r="Y15" s="116"/>
      <c r="Z15" s="534" t="s">
        <v>739</v>
      </c>
      <c r="AA15" s="438"/>
      <c r="AB15" s="438"/>
      <c r="AC15" s="438"/>
    </row>
    <row r="29" ht="13.5" customHeight="1" x14ac:dyDescent="0.25"/>
    <row r="47" ht="72.75" customHeight="1" x14ac:dyDescent="0.25"/>
  </sheetData>
  <sheetProtection selectLockedCells="1"/>
  <mergeCells count="21">
    <mergeCell ref="F6:H6"/>
    <mergeCell ref="K6:L6"/>
    <mergeCell ref="Z7:AC7"/>
    <mergeCell ref="Z9:AC9"/>
    <mergeCell ref="F8:H8"/>
    <mergeCell ref="K14:L14"/>
    <mergeCell ref="Z15:AC15"/>
    <mergeCell ref="K10:L10"/>
    <mergeCell ref="F10:H10"/>
    <mergeCell ref="F12:H12"/>
    <mergeCell ref="K12:L12"/>
    <mergeCell ref="Z13:AC13"/>
    <mergeCell ref="F14:H14"/>
    <mergeCell ref="Z11:AC11"/>
    <mergeCell ref="I5:R5"/>
    <mergeCell ref="Z5:AC5"/>
    <mergeCell ref="C2:AC2"/>
    <mergeCell ref="C3:AC3"/>
    <mergeCell ref="C4:T4"/>
    <mergeCell ref="V4:Y4"/>
    <mergeCell ref="Z4:AC4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B1:AB9"/>
  <sheetViews>
    <sheetView topLeftCell="A7" workbookViewId="0">
      <selection activeCell="P39" sqref="P39"/>
    </sheetView>
  </sheetViews>
  <sheetFormatPr defaultRowHeight="14.4" x14ac:dyDescent="0.25"/>
  <cols>
    <col min="2" max="7" width="4.6640625" customWidth="1"/>
    <col min="8" max="17" width="2.6640625" customWidth="1"/>
    <col min="18" max="19" width="4.6640625" customWidth="1"/>
    <col min="20" max="20" width="30.6640625" customWidth="1"/>
    <col min="21" max="28" width="7.33203125" customWidth="1"/>
  </cols>
  <sheetData>
    <row r="1" spans="2:28" ht="22.2" x14ac:dyDescent="0.25">
      <c r="B1" s="536" t="s">
        <v>107</v>
      </c>
      <c r="C1" s="536"/>
      <c r="D1" s="536"/>
      <c r="E1" s="536"/>
      <c r="F1" s="536"/>
      <c r="G1" s="536"/>
      <c r="H1" s="536"/>
      <c r="I1" s="536"/>
      <c r="J1" s="536"/>
      <c r="K1" s="536"/>
      <c r="L1" s="536"/>
      <c r="M1" s="536"/>
      <c r="N1" s="536"/>
      <c r="O1" s="536"/>
      <c r="P1" s="536"/>
      <c r="Q1" s="536"/>
      <c r="R1" s="536"/>
      <c r="S1" s="536"/>
      <c r="T1" s="536"/>
      <c r="U1" s="536"/>
      <c r="V1" s="536"/>
      <c r="W1" s="536"/>
      <c r="X1" s="536"/>
      <c r="Y1" s="536"/>
      <c r="Z1" s="536"/>
      <c r="AA1" s="536"/>
      <c r="AB1" s="536"/>
    </row>
    <row r="2" spans="2:28" x14ac:dyDescent="0.25">
      <c r="B2" s="220" t="s">
        <v>77</v>
      </c>
      <c r="C2" s="221" t="s">
        <v>78</v>
      </c>
      <c r="D2" s="221" t="s">
        <v>10</v>
      </c>
      <c r="E2" s="221" t="s">
        <v>79</v>
      </c>
      <c r="F2" s="221" t="s">
        <v>80</v>
      </c>
      <c r="G2" s="221" t="s">
        <v>11</v>
      </c>
      <c r="H2" s="441" t="s">
        <v>108</v>
      </c>
      <c r="I2" s="441"/>
      <c r="J2" s="441"/>
      <c r="K2" s="441"/>
      <c r="L2" s="441"/>
      <c r="M2" s="441"/>
      <c r="N2" s="441"/>
      <c r="O2" s="441"/>
      <c r="P2" s="441"/>
      <c r="Q2" s="441"/>
      <c r="R2" s="221" t="s">
        <v>81</v>
      </c>
      <c r="S2" s="221" t="s">
        <v>82</v>
      </c>
      <c r="T2" s="15" t="s">
        <v>84</v>
      </c>
      <c r="U2" s="535" t="s">
        <v>6</v>
      </c>
      <c r="V2" s="535"/>
      <c r="W2" s="535"/>
      <c r="X2" s="535"/>
      <c r="Y2" s="535"/>
      <c r="Z2" s="535"/>
      <c r="AA2" s="535"/>
      <c r="AB2" s="535"/>
    </row>
    <row r="3" spans="2:28" x14ac:dyDescent="0.25">
      <c r="B3" s="13" t="s">
        <v>0</v>
      </c>
      <c r="C3" s="13" t="s">
        <v>1</v>
      </c>
      <c r="D3" s="75" t="str">
        <f>DEC2HEX( COUNTA(E3:Q3),2)</f>
        <v>03</v>
      </c>
      <c r="E3" s="222" t="s">
        <v>12</v>
      </c>
      <c r="F3" s="222" t="s">
        <v>1</v>
      </c>
      <c r="G3" s="222" t="s">
        <v>1</v>
      </c>
      <c r="H3" s="71"/>
      <c r="I3" s="71"/>
      <c r="J3" s="71"/>
      <c r="K3" s="71"/>
      <c r="L3" s="71"/>
      <c r="M3" s="71"/>
      <c r="N3" s="71"/>
      <c r="O3" s="71"/>
      <c r="P3" s="71"/>
      <c r="Q3" s="71"/>
      <c r="R3" s="84" t="str">
        <f>DEC2HEX(MOD(HEX2DEC(C3)+HEX2DEC(D3)+HEX2DEC(E3)+HEX2DEC(F3)+HEX2DEC(G3)+HEX2DEC(H3)+HEX2DEC(I3)+HEX2DEC(J3)+HEX2DEC(K3)+HEX2DEC(L3)+HEX2DEC(M3)+HEX2DEC(N3)+HEX2DEC(O3)+HEX2DEC(P3)+HEX2DEC(Q3),256),2)</f>
        <v>E4</v>
      </c>
      <c r="S3" s="13" t="s">
        <v>5</v>
      </c>
      <c r="T3" s="55" t="str">
        <f>IF(ISBLANK(B3),,B3&amp;" ")&amp;IF(ISBLANK(C3),,C3&amp;" ")&amp;IF(ISBLANK(D3),,D3&amp;" ")&amp;IF(ISBLANK(E3),,E3&amp;" ")&amp;IF(ISBLANK(F3),,F3&amp;" ")&amp;IF(ISBLANK(G3),,G3&amp;" ")&amp;IF(ISBLANK(H3),,H3&amp;" ")&amp;IF(ISBLANK(I3),,I3&amp;" ")&amp;IF(ISBLANK(J3),,J3&amp;" ")&amp;IF(ISBLANK(K3),,K3&amp;" ")&amp;IF(ISBLANK(L3),,L3&amp;" ")&amp;IF(ISBLANK(M3),,M3&amp;" ")&amp;IF(ISBLANK(N3),,N3&amp;" ")&amp;IF(ISBLANK(O3),,O3&amp;" ")&amp;IF(ISBLANK(P3),,P3&amp;" ")&amp;IF(ISBLANK(Q3),,Q3&amp;" ")&amp;IF(ISBLANK(R3),,R3&amp;" ")&amp;IF(ISBLANK(S3),,S3)</f>
        <v>aa 00 03 E1 00 00 E4 55</v>
      </c>
      <c r="U3" s="535" t="s">
        <v>659</v>
      </c>
      <c r="V3" s="535"/>
      <c r="W3" s="535"/>
      <c r="X3" s="535"/>
      <c r="Y3" s="535"/>
      <c r="Z3" s="535"/>
      <c r="AA3" s="535"/>
      <c r="AB3" s="535"/>
    </row>
    <row r="4" spans="2:28" x14ac:dyDescent="0.25">
      <c r="B4" s="13" t="s">
        <v>0</v>
      </c>
      <c r="C4" s="13" t="s">
        <v>1</v>
      </c>
      <c r="D4" s="75" t="str">
        <f t="shared" ref="D4:D5" si="0">DEC2HEX( COUNTA(E4:Q4),2)</f>
        <v>03</v>
      </c>
      <c r="E4" s="222" t="s">
        <v>12</v>
      </c>
      <c r="F4" s="222" t="s">
        <v>4</v>
      </c>
      <c r="G4" s="222" t="s">
        <v>1</v>
      </c>
      <c r="H4" s="71"/>
      <c r="I4" s="71"/>
      <c r="J4" s="71"/>
      <c r="K4" s="71"/>
      <c r="L4" s="71"/>
      <c r="M4" s="71"/>
      <c r="N4" s="71"/>
      <c r="O4" s="71"/>
      <c r="P4" s="71"/>
      <c r="Q4" s="71"/>
      <c r="R4" s="84" t="str">
        <f t="shared" ref="R4:R5" si="1">DEC2HEX(MOD(HEX2DEC(C4)+HEX2DEC(D4)+HEX2DEC(E4)+HEX2DEC(F4)+HEX2DEC(G4)+HEX2DEC(H4)+HEX2DEC(I4)+HEX2DEC(J4)+HEX2DEC(K4)+HEX2DEC(L4)+HEX2DEC(M4)+HEX2DEC(N4)+HEX2DEC(O4)+HEX2DEC(P4)+HEX2DEC(Q4),256),2)</f>
        <v>E5</v>
      </c>
      <c r="S4" s="13" t="s">
        <v>5</v>
      </c>
      <c r="T4" s="55" t="str">
        <f t="shared" ref="T4:T5" si="2">IF(ISBLANK(B4),,B4&amp;" ")&amp;IF(ISBLANK(C4),,C4&amp;" ")&amp;IF(ISBLANK(D4),,D4&amp;" ")&amp;IF(ISBLANK(E4),,E4&amp;" ")&amp;IF(ISBLANK(F4),,F4&amp;" ")&amp;IF(ISBLANK(G4),,G4&amp;" ")&amp;IF(ISBLANK(H4),,H4&amp;" ")&amp;IF(ISBLANK(I4),,I4&amp;" ")&amp;IF(ISBLANK(J4),,J4&amp;" ")&amp;IF(ISBLANK(K4),,K4&amp;" ")&amp;IF(ISBLANK(L4),,L4&amp;" ")&amp;IF(ISBLANK(M4),,M4&amp;" ")&amp;IF(ISBLANK(N4),,N4&amp;" ")&amp;IF(ISBLANK(O4),,O4&amp;" ")&amp;IF(ISBLANK(P4),,P4&amp;" ")&amp;IF(ISBLANK(Q4),,Q4&amp;" ")&amp;IF(ISBLANK(R4),,R4&amp;" ")&amp;IF(ISBLANK(S4),,S4)</f>
        <v>aa 00 03 E1 01 00 E5 55</v>
      </c>
      <c r="U4" s="535" t="s">
        <v>109</v>
      </c>
      <c r="V4" s="535"/>
      <c r="W4" s="535"/>
      <c r="X4" s="535"/>
      <c r="Y4" s="535"/>
      <c r="Z4" s="535"/>
      <c r="AA4" s="535"/>
      <c r="AB4" s="535"/>
    </row>
    <row r="5" spans="2:28" x14ac:dyDescent="0.25">
      <c r="B5" s="13" t="s">
        <v>0</v>
      </c>
      <c r="C5" s="13" t="s">
        <v>1</v>
      </c>
      <c r="D5" s="75" t="str">
        <f t="shared" si="0"/>
        <v>03</v>
      </c>
      <c r="E5" s="222" t="s">
        <v>12</v>
      </c>
      <c r="F5" s="222" t="s">
        <v>7</v>
      </c>
      <c r="G5" s="222" t="s">
        <v>1</v>
      </c>
      <c r="H5" s="71"/>
      <c r="I5" s="71"/>
      <c r="J5" s="71"/>
      <c r="K5" s="71"/>
      <c r="L5" s="71"/>
      <c r="M5" s="71"/>
      <c r="N5" s="71"/>
      <c r="O5" s="71"/>
      <c r="P5" s="71"/>
      <c r="Q5" s="71"/>
      <c r="R5" s="84" t="str">
        <f t="shared" si="1"/>
        <v>E6</v>
      </c>
      <c r="S5" s="13" t="s">
        <v>5</v>
      </c>
      <c r="T5" s="55" t="str">
        <f t="shared" si="2"/>
        <v>aa 00 03 E1 02 00 E6 55</v>
      </c>
      <c r="U5" s="535" t="s">
        <v>110</v>
      </c>
      <c r="V5" s="535"/>
      <c r="W5" s="535"/>
      <c r="X5" s="535"/>
      <c r="Y5" s="535"/>
      <c r="Z5" s="535"/>
      <c r="AA5" s="535"/>
      <c r="AB5" s="535"/>
    </row>
    <row r="8" spans="2:28" x14ac:dyDescent="0.25">
      <c r="B8" s="156"/>
      <c r="C8" s="157"/>
      <c r="D8" s="157"/>
      <c r="E8" s="157"/>
      <c r="F8" s="157"/>
      <c r="G8" s="157"/>
      <c r="H8" s="223"/>
      <c r="I8" s="223"/>
      <c r="J8" s="223"/>
      <c r="K8" s="223"/>
      <c r="L8" s="223"/>
      <c r="M8" s="223"/>
      <c r="N8" s="223"/>
      <c r="O8" s="223"/>
      <c r="P8" s="223"/>
      <c r="Q8" s="223"/>
      <c r="R8" s="158"/>
      <c r="S8" s="158"/>
    </row>
    <row r="9" spans="2:28" x14ac:dyDescent="0.25">
      <c r="B9" s="161"/>
      <c r="C9" s="162"/>
      <c r="D9" s="162"/>
      <c r="E9" s="163"/>
      <c r="F9" s="163"/>
      <c r="G9" s="163"/>
      <c r="H9" s="65"/>
      <c r="I9" s="65"/>
      <c r="J9" s="65"/>
      <c r="K9" s="65"/>
      <c r="L9" s="65"/>
      <c r="M9" s="65"/>
      <c r="N9" s="65"/>
      <c r="O9" s="65"/>
      <c r="P9" s="65"/>
      <c r="Q9" s="65"/>
      <c r="R9" s="161"/>
      <c r="S9" s="161"/>
    </row>
  </sheetData>
  <mergeCells count="6">
    <mergeCell ref="U3:AB3"/>
    <mergeCell ref="U4:AB4"/>
    <mergeCell ref="U5:AB5"/>
    <mergeCell ref="B1:AB1"/>
    <mergeCell ref="H2:Q2"/>
    <mergeCell ref="U2:AB2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B2:AD29"/>
  <sheetViews>
    <sheetView zoomScale="115" zoomScaleNormal="115" workbookViewId="0">
      <selection activeCell="W9" sqref="W9:AD9"/>
    </sheetView>
  </sheetViews>
  <sheetFormatPr defaultRowHeight="14.4" x14ac:dyDescent="0.25"/>
  <cols>
    <col min="1" max="1" width="2.109375" customWidth="1"/>
    <col min="2" max="21" width="3.109375" customWidth="1"/>
    <col min="22" max="22" width="43.6640625" style="97" customWidth="1"/>
    <col min="23" max="23" width="5.6640625" customWidth="1"/>
    <col min="24" max="29" width="7.88671875" customWidth="1"/>
    <col min="30" max="30" width="4.6640625" customWidth="1"/>
  </cols>
  <sheetData>
    <row r="2" spans="2:30" ht="22.2" x14ac:dyDescent="0.25">
      <c r="B2" s="546" t="s">
        <v>111</v>
      </c>
      <c r="C2" s="546"/>
      <c r="D2" s="546"/>
      <c r="E2" s="546"/>
      <c r="F2" s="546"/>
      <c r="G2" s="546"/>
      <c r="H2" s="546"/>
      <c r="I2" s="546"/>
      <c r="J2" s="546"/>
      <c r="K2" s="546"/>
      <c r="L2" s="546"/>
      <c r="M2" s="546"/>
      <c r="N2" s="546"/>
      <c r="O2" s="546"/>
      <c r="P2" s="546"/>
      <c r="Q2" s="546"/>
      <c r="R2" s="546"/>
      <c r="S2" s="546"/>
      <c r="T2" s="546"/>
      <c r="U2" s="546"/>
      <c r="V2" s="546"/>
      <c r="W2" s="546"/>
      <c r="X2" s="546"/>
      <c r="Y2" s="546"/>
      <c r="Z2" s="546"/>
      <c r="AA2" s="546"/>
      <c r="AB2" s="546"/>
      <c r="AC2" s="546"/>
      <c r="AD2" s="546"/>
    </row>
    <row r="3" spans="2:30" x14ac:dyDescent="0.25">
      <c r="B3" s="547"/>
      <c r="C3" s="548"/>
      <c r="D3" s="548"/>
      <c r="E3" s="548"/>
      <c r="F3" s="548"/>
      <c r="G3" s="548"/>
      <c r="H3" s="548"/>
      <c r="I3" s="548"/>
      <c r="J3" s="548"/>
      <c r="K3" s="548"/>
      <c r="L3" s="548"/>
      <c r="M3" s="548"/>
      <c r="N3" s="548"/>
      <c r="O3" s="548"/>
      <c r="P3" s="548"/>
      <c r="Q3" s="548"/>
      <c r="R3" s="548"/>
      <c r="S3" s="548"/>
      <c r="T3" s="548"/>
      <c r="U3" s="548"/>
      <c r="V3" s="548"/>
      <c r="W3" s="548"/>
      <c r="X3" s="548"/>
      <c r="Y3" s="548"/>
      <c r="Z3" s="548"/>
      <c r="AA3" s="548"/>
      <c r="AB3" s="548"/>
      <c r="AC3" s="548"/>
      <c r="AD3" s="549"/>
    </row>
    <row r="4" spans="2:30" x14ac:dyDescent="0.25">
      <c r="B4" s="123" t="s">
        <v>77</v>
      </c>
      <c r="C4" s="296" t="s">
        <v>78</v>
      </c>
      <c r="D4" s="296" t="s">
        <v>10</v>
      </c>
      <c r="E4" s="296" t="s">
        <v>79</v>
      </c>
      <c r="F4" s="296" t="s">
        <v>80</v>
      </c>
      <c r="G4" s="296" t="s">
        <v>11</v>
      </c>
      <c r="H4" s="550" t="s">
        <v>115</v>
      </c>
      <c r="I4" s="550"/>
      <c r="J4" s="550"/>
      <c r="K4" s="550"/>
      <c r="L4" s="550"/>
      <c r="M4" s="550"/>
      <c r="N4" s="550"/>
      <c r="O4" s="550"/>
      <c r="P4" s="550"/>
      <c r="Q4" s="550"/>
      <c r="R4" s="550"/>
      <c r="S4" s="550"/>
      <c r="T4" s="296" t="s">
        <v>81</v>
      </c>
      <c r="U4" s="296" t="s">
        <v>82</v>
      </c>
      <c r="V4" s="124" t="s">
        <v>84</v>
      </c>
      <c r="W4" s="551" t="s">
        <v>6</v>
      </c>
      <c r="X4" s="551"/>
      <c r="Y4" s="551"/>
      <c r="Z4" s="551"/>
      <c r="AA4" s="551"/>
      <c r="AB4" s="551"/>
      <c r="AC4" s="551"/>
      <c r="AD4" s="551"/>
    </row>
    <row r="5" spans="2:30" x14ac:dyDescent="0.25">
      <c r="B5" s="552" t="s">
        <v>298</v>
      </c>
      <c r="C5" s="553"/>
      <c r="D5" s="553"/>
      <c r="E5" s="553"/>
      <c r="F5" s="553"/>
      <c r="G5" s="553"/>
      <c r="H5" s="553"/>
      <c r="I5" s="553"/>
      <c r="J5" s="553"/>
      <c r="K5" s="553"/>
      <c r="L5" s="553"/>
      <c r="M5" s="553"/>
      <c r="N5" s="553"/>
      <c r="O5" s="553"/>
      <c r="P5" s="553"/>
      <c r="Q5" s="553"/>
      <c r="R5" s="553"/>
      <c r="S5" s="553"/>
      <c r="T5" s="553"/>
      <c r="U5" s="553"/>
      <c r="V5" s="172"/>
      <c r="W5" s="81"/>
      <c r="X5" s="81"/>
      <c r="Y5" s="81"/>
      <c r="Z5" s="81"/>
      <c r="AA5" s="81"/>
      <c r="AB5" s="81"/>
      <c r="AC5" s="81"/>
      <c r="AD5" s="82"/>
    </row>
    <row r="6" spans="2:30" x14ac:dyDescent="0.25">
      <c r="B6" s="16"/>
      <c r="C6" s="29"/>
      <c r="D6" s="29"/>
      <c r="E6" s="29"/>
      <c r="F6" s="29"/>
      <c r="G6" s="29"/>
      <c r="H6" s="543" t="s">
        <v>113</v>
      </c>
      <c r="I6" s="544"/>
      <c r="J6" s="544"/>
      <c r="K6" s="544"/>
      <c r="L6" s="544"/>
      <c r="M6" s="544"/>
      <c r="N6" s="544"/>
      <c r="O6" s="544"/>
      <c r="P6" s="544"/>
      <c r="Q6" s="544"/>
      <c r="R6" s="544"/>
      <c r="S6" s="545"/>
      <c r="T6" s="29"/>
      <c r="U6" s="29"/>
      <c r="V6" s="15"/>
      <c r="W6" s="537"/>
      <c r="X6" s="538"/>
      <c r="Y6" s="538"/>
      <c r="Z6" s="538"/>
      <c r="AA6" s="538"/>
      <c r="AB6" s="538"/>
      <c r="AC6" s="538"/>
      <c r="AD6" s="539"/>
    </row>
    <row r="7" spans="2:30" ht="26.25" customHeight="1" thickBot="1" x14ac:dyDescent="0.3">
      <c r="B7" s="18" t="s">
        <v>0</v>
      </c>
      <c r="C7" s="18" t="s">
        <v>1</v>
      </c>
      <c r="D7" s="46" t="str">
        <f>DEC2HEX( COUNTA(E7:S7),2)</f>
        <v>04</v>
      </c>
      <c r="E7" s="19" t="s">
        <v>112</v>
      </c>
      <c r="F7" s="19" t="s">
        <v>1</v>
      </c>
      <c r="G7" s="19" t="s">
        <v>1</v>
      </c>
      <c r="H7" s="489" t="s">
        <v>1</v>
      </c>
      <c r="I7" s="490"/>
      <c r="J7" s="490"/>
      <c r="K7" s="490"/>
      <c r="L7" s="490"/>
      <c r="M7" s="490"/>
      <c r="N7" s="490"/>
      <c r="O7" s="490"/>
      <c r="P7" s="490"/>
      <c r="Q7" s="490"/>
      <c r="R7" s="490"/>
      <c r="S7" s="491"/>
      <c r="T7" s="85" t="str">
        <f>DEC2HEX(MOD(HEX2DEC(C7)+HEX2DEC(D7)+HEX2DEC(E7)+HEX2DEC(F7)+HEX2DEC(G7)+HEX2DEC(H7)+HEX2DEC(I7)+HEX2DEC(J7)+HEX2DEC(K7)+HEX2DEC(L7)+HEX2DEC(M7)+HEX2DEC(N7)+HEX2DEC(O7)+HEX2DEC(R7)+HEX2DEC(S7),256),2)</f>
        <v>66</v>
      </c>
      <c r="U7" s="18" t="s">
        <v>5</v>
      </c>
      <c r="V7" s="49" t="str">
        <f>IF(ISBLANK(B7),,B7&amp;" ")&amp;IF(ISBLANK(C7),,C7&amp;" ")&amp;IF(ISBLANK(D7),,D7&amp;" ")&amp;IF(ISBLANK(E7),,E7&amp;" ")&amp;IF(ISBLANK(F7),,F7&amp;" ")&amp;IF(ISBLANK(G7),,G7&amp;" ")&amp;IF(ISBLANK(H7),,H7&amp;" ")&amp;IF(ISBLANK(I7),,I7&amp;" ")&amp;IF(ISBLANK(J7),,J7&amp;" ")&amp;IF(ISBLANK(K7),,K7&amp;" ")&amp;IF(ISBLANK(L7),,L7&amp;" ")&amp;IF(ISBLANK(M7),,M7&amp;" ")&amp;IF(ISBLANK(N7),,N7&amp;" ")&amp;IF(ISBLANK(O7),,O7&amp;" ")&amp;IF(ISBLANK(R7),,R7&amp;" ")&amp;IF(ISBLANK(S7),,S7&amp;" ")&amp;IF(ISBLANK(T7),,T7&amp;" ")&amp;IF(ISBLANK(U7),,U7)</f>
        <v>aa 00 04 62 00 00 00 66 55</v>
      </c>
      <c r="W7" s="540" t="s">
        <v>745</v>
      </c>
      <c r="X7" s="541"/>
      <c r="Y7" s="541"/>
      <c r="Z7" s="541"/>
      <c r="AA7" s="541"/>
      <c r="AB7" s="541"/>
      <c r="AC7" s="541"/>
      <c r="AD7" s="542"/>
    </row>
    <row r="8" spans="2:30" x14ac:dyDescent="0.25">
      <c r="B8" s="492" t="s">
        <v>297</v>
      </c>
      <c r="C8" s="493"/>
      <c r="D8" s="493"/>
      <c r="E8" s="493"/>
      <c r="F8" s="493"/>
      <c r="G8" s="493"/>
      <c r="H8" s="493"/>
      <c r="I8" s="493"/>
      <c r="J8" s="493"/>
      <c r="K8" s="493"/>
      <c r="L8" s="493"/>
      <c r="M8" s="493"/>
      <c r="N8" s="493"/>
      <c r="O8" s="493"/>
      <c r="P8" s="493"/>
      <c r="Q8" s="493"/>
      <c r="R8" s="493"/>
      <c r="S8" s="493"/>
      <c r="T8" s="493"/>
      <c r="U8" s="494"/>
      <c r="V8" s="35"/>
      <c r="W8" s="36"/>
      <c r="X8" s="37"/>
      <c r="Y8" s="37"/>
      <c r="Z8" s="37"/>
      <c r="AA8" s="37"/>
      <c r="AB8" s="37"/>
      <c r="AC8" s="37"/>
      <c r="AD8" s="38"/>
    </row>
    <row r="9" spans="2:30" ht="15" thickBot="1" x14ac:dyDescent="0.3">
      <c r="B9" s="18" t="s">
        <v>0</v>
      </c>
      <c r="C9" s="18" t="s">
        <v>1</v>
      </c>
      <c r="D9" s="46" t="str">
        <f>DEC2HEX( COUNTA(E9:S9),2)</f>
        <v>04</v>
      </c>
      <c r="E9" s="19" t="s">
        <v>112</v>
      </c>
      <c r="F9" s="19" t="s">
        <v>4</v>
      </c>
      <c r="G9" s="19" t="s">
        <v>4</v>
      </c>
      <c r="H9" s="489" t="s">
        <v>383</v>
      </c>
      <c r="I9" s="490"/>
      <c r="J9" s="490"/>
      <c r="K9" s="490"/>
      <c r="L9" s="490"/>
      <c r="M9" s="490"/>
      <c r="N9" s="490"/>
      <c r="O9" s="490"/>
      <c r="P9" s="490"/>
      <c r="Q9" s="490"/>
      <c r="R9" s="490"/>
      <c r="S9" s="491"/>
      <c r="T9" s="85" t="str">
        <f>DEC2HEX(MOD(HEX2DEC(C9)+HEX2DEC(D9)+HEX2DEC(E9)+HEX2DEC(F9)+HEX2DEC(G9)+HEX2DEC(H9)+HEX2DEC(I9)+HEX2DEC(J9)+HEX2DEC(K9)+HEX2DEC(L9)+HEX2DEC(M9)+HEX2DEC(N9)+HEX2DEC(O9)+HEX2DEC(R9)+HEX2DEC(S9),256),2)</f>
        <v>68</v>
      </c>
      <c r="U9" s="18" t="s">
        <v>384</v>
      </c>
      <c r="V9" s="49" t="str">
        <f>IF(ISBLANK(B9),,B9&amp;" ")&amp;IF(ISBLANK(C9),,C9&amp;" ")&amp;IF(ISBLANK(D9),,D9&amp;" ")&amp;IF(ISBLANK(E9),,E9&amp;" ")&amp;IF(ISBLANK(F9),,F9&amp;" ")&amp;IF(ISBLANK(G9),,G9&amp;" ")&amp;IF(ISBLANK(H9),,H9&amp;" ")&amp;IF(ISBLANK(I9),,I9&amp;" ")&amp;IF(ISBLANK(J9),,J9&amp;" ")&amp;IF(ISBLANK(K9),,K9&amp;" ")&amp;IF(ISBLANK(L9),,L9&amp;" ")&amp;IF(ISBLANK(M9),,M9&amp;" ")&amp;IF(ISBLANK(N9),,N9&amp;" ")&amp;IF(ISBLANK(O9),,O9&amp;" ")&amp;IF(ISBLANK(R9),,R9&amp;" ")&amp;IF(ISBLANK(S9),,S9&amp;" ")&amp;IF(ISBLANK(T9),,T9&amp;" ")&amp;IF(ISBLANK(U9),,U9)</f>
        <v>aa 00 04 62 01 01 00 68 55</v>
      </c>
      <c r="W9" s="537" t="s">
        <v>967</v>
      </c>
      <c r="X9" s="538"/>
      <c r="Y9" s="538"/>
      <c r="Z9" s="538"/>
      <c r="AA9" s="538"/>
      <c r="AB9" s="538"/>
      <c r="AC9" s="538"/>
      <c r="AD9" s="539"/>
    </row>
    <row r="10" spans="2:30" ht="15" thickBot="1" x14ac:dyDescent="0.3">
      <c r="B10" s="18" t="s">
        <v>0</v>
      </c>
      <c r="C10" s="18" t="s">
        <v>1</v>
      </c>
      <c r="D10" s="46" t="str">
        <f>DEC2HEX( COUNTA(E10:S10),2)</f>
        <v>04</v>
      </c>
      <c r="E10" s="19" t="s">
        <v>112</v>
      </c>
      <c r="F10" s="19" t="s">
        <v>4</v>
      </c>
      <c r="G10" s="19" t="s">
        <v>4</v>
      </c>
      <c r="H10" s="489" t="s">
        <v>4</v>
      </c>
      <c r="I10" s="490"/>
      <c r="J10" s="490"/>
      <c r="K10" s="490"/>
      <c r="L10" s="490"/>
      <c r="M10" s="490"/>
      <c r="N10" s="490"/>
      <c r="O10" s="490"/>
      <c r="P10" s="490"/>
      <c r="Q10" s="490"/>
      <c r="R10" s="490"/>
      <c r="S10" s="491"/>
      <c r="T10" s="85" t="str">
        <f>DEC2HEX(MOD(HEX2DEC(C10)+HEX2DEC(D10)+HEX2DEC(E10)+HEX2DEC(F10)+HEX2DEC(G10)+HEX2DEC(H10)+HEX2DEC(I10)+HEX2DEC(J10)+HEX2DEC(K10)+HEX2DEC(L10)+HEX2DEC(M10)+HEX2DEC(N10)+HEX2DEC(O10)+HEX2DEC(R10)+HEX2DEC(S10),256),2)</f>
        <v>69</v>
      </c>
      <c r="U10" s="18" t="s">
        <v>5</v>
      </c>
      <c r="V10" s="49" t="str">
        <f>IF(ISBLANK(B10),,B10&amp;" ")&amp;IF(ISBLANK(C10),,C10&amp;" ")&amp;IF(ISBLANK(D10),,D10&amp;" ")&amp;IF(ISBLANK(E10),,E10&amp;" ")&amp;IF(ISBLANK(F10),,F10&amp;" ")&amp;IF(ISBLANK(G10),,G10&amp;" ")&amp;IF(ISBLANK(H10),,H10&amp;" ")&amp;IF(ISBLANK(I10),,I10&amp;" ")&amp;IF(ISBLANK(J10),,J10&amp;" ")&amp;IF(ISBLANK(K10),,K10&amp;" ")&amp;IF(ISBLANK(L10),,L10&amp;" ")&amp;IF(ISBLANK(M10),,M10&amp;" ")&amp;IF(ISBLANK(N10),,N10&amp;" ")&amp;IF(ISBLANK(O10),,O10&amp;" ")&amp;IF(ISBLANK(R10),,R10&amp;" ")&amp;IF(ISBLANK(S10),,S10&amp;" ")&amp;IF(ISBLANK(T10),,T10&amp;" ")&amp;IF(ISBLANK(U10),,U10)</f>
        <v>aa 00 04 62 01 01 01 69 55</v>
      </c>
      <c r="W10" s="537" t="s">
        <v>114</v>
      </c>
      <c r="X10" s="538"/>
      <c r="Y10" s="538"/>
      <c r="Z10" s="538"/>
      <c r="AA10" s="538"/>
      <c r="AB10" s="538"/>
      <c r="AC10" s="538"/>
      <c r="AD10" s="539"/>
    </row>
    <row r="11" spans="2:30" x14ac:dyDescent="0.25">
      <c r="B11" s="78"/>
      <c r="C11" s="78"/>
      <c r="D11" s="78"/>
      <c r="E11" s="79"/>
      <c r="F11" s="79"/>
      <c r="G11" s="79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78"/>
      <c r="U11" s="78"/>
      <c r="V11" s="80"/>
      <c r="W11" s="37"/>
      <c r="X11" s="37"/>
      <c r="Y11" s="37"/>
      <c r="Z11" s="37"/>
      <c r="AA11" s="37"/>
      <c r="AB11" s="37"/>
      <c r="AC11" s="37"/>
      <c r="AD11" s="37"/>
    </row>
    <row r="12" spans="2:30" x14ac:dyDescent="0.25">
      <c r="C12" s="178"/>
      <c r="D12" s="178"/>
      <c r="E12" s="178"/>
      <c r="F12" s="178"/>
      <c r="G12" s="178"/>
      <c r="H12" s="178"/>
      <c r="I12" s="178"/>
      <c r="J12" s="178"/>
      <c r="K12" s="178"/>
      <c r="L12" s="178"/>
      <c r="M12" s="178"/>
      <c r="N12" s="178"/>
      <c r="O12" s="178"/>
      <c r="P12" s="178"/>
      <c r="Q12" s="178"/>
      <c r="R12" s="178"/>
      <c r="S12" s="178"/>
      <c r="T12" s="178"/>
      <c r="U12" s="178"/>
      <c r="V12" s="180" t="s">
        <v>299</v>
      </c>
      <c r="W12" s="178"/>
      <c r="X12" s="178"/>
      <c r="Y12" s="178"/>
      <c r="Z12" s="178"/>
      <c r="AA12" s="178"/>
      <c r="AB12" s="178"/>
      <c r="AC12" s="178"/>
      <c r="AD12" s="179"/>
    </row>
    <row r="13" spans="2:30" ht="15" thickBot="1" x14ac:dyDescent="0.3">
      <c r="B13" s="18" t="s">
        <v>0</v>
      </c>
      <c r="C13" s="18" t="s">
        <v>1</v>
      </c>
      <c r="D13" s="46" t="str">
        <f t="shared" ref="D13:D17" si="0">DEC2HEX( COUNTA(E13:S13),2)</f>
        <v>03</v>
      </c>
      <c r="E13" s="19" t="s">
        <v>112</v>
      </c>
      <c r="F13" s="19" t="s">
        <v>1</v>
      </c>
      <c r="G13" s="19" t="s">
        <v>70</v>
      </c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85" t="str">
        <f>DEC2HEX(MOD(HEX2DEC(C13)+HEX2DEC(D13)+HEX2DEC(E13)+HEX2DEC(F13)+HEX2DEC(G13)+HEX2DEC(H13)+HEX2DEC(I13)+HEX2DEC(J13)+HEX2DEC(K13)+HEX2DEC(L13)+HEX2DEC(M13)+HEX2DEC(N13)+HEX2DEC(O13)+HEX2DEC(R13)+HEX2DEC(S13),256),2)</f>
        <v>75</v>
      </c>
      <c r="U13" s="18" t="s">
        <v>5</v>
      </c>
      <c r="V13" s="49" t="str">
        <f>IF(ISBLANK(B13),,B13&amp;" ")&amp;IF(ISBLANK(C13),,C13&amp;" ")&amp;IF(ISBLANK(D13),,D13&amp;" ")&amp;IF(ISBLANK(E13),,E13&amp;" ")&amp;IF(ISBLANK(F13),,F13&amp;" ")&amp;IF(ISBLANK(G13),,G13&amp;" ")&amp;IF(ISBLANK(H13),,H13&amp;" ")&amp;IF(ISBLANK(I13),,I13&amp;" ")&amp;IF(ISBLANK(J13),,J13&amp;" ")&amp;IF(ISBLANK(K13),,K13&amp;" ")&amp;IF(ISBLANK(L13),,L13&amp;" ")&amp;IF(ISBLANK(M13),,M13&amp;" ")&amp;IF(ISBLANK(N13),,N13&amp;" ")&amp;IF(ISBLANK(O13),,O13&amp;" ")&amp;IF(ISBLANK(R13),,R13&amp;" ")&amp;IF(ISBLANK(S13),,S13&amp;" ")&amp;IF(ISBLANK(T13),,T13&amp;" ")&amp;IF(ISBLANK(U13),,U13)</f>
        <v>aa 00 03 62 00 10 75 55</v>
      </c>
      <c r="W13" s="537" t="s">
        <v>246</v>
      </c>
      <c r="X13" s="538"/>
      <c r="Y13" s="538"/>
      <c r="Z13" s="538"/>
      <c r="AA13" s="538"/>
      <c r="AB13" s="538"/>
      <c r="AC13" s="538"/>
      <c r="AD13" s="539"/>
    </row>
    <row r="14" spans="2:30" ht="15" thickBot="1" x14ac:dyDescent="0.3">
      <c r="B14" s="18" t="s">
        <v>0</v>
      </c>
      <c r="C14" s="18" t="s">
        <v>1</v>
      </c>
      <c r="D14" s="46" t="str">
        <f t="shared" si="0"/>
        <v>03</v>
      </c>
      <c r="E14" s="19" t="s">
        <v>112</v>
      </c>
      <c r="F14" s="19" t="s">
        <v>14</v>
      </c>
      <c r="G14" s="19" t="s">
        <v>70</v>
      </c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85" t="str">
        <f>DEC2HEX(MOD(HEX2DEC(C14)+HEX2DEC(D14)+HEX2DEC(E14)+HEX2DEC(F14)+HEX2DEC(G14)+HEX2DEC(H14)+HEX2DEC(I14)+HEX2DEC(J14)+HEX2DEC(K14)+HEX2DEC(L14)+HEX2DEC(M14)+HEX2DEC(N14)+HEX2DEC(O14)+HEX2DEC(R14)+HEX2DEC(S14),256),2)</f>
        <v>76</v>
      </c>
      <c r="U14" s="18" t="s">
        <v>5</v>
      </c>
      <c r="V14" s="49" t="str">
        <f t="shared" ref="V14:V27" si="1">IF(ISBLANK(B14),,B14&amp;" ")&amp;IF(ISBLANK(C14),,C14&amp;" ")&amp;IF(ISBLANK(D14),,D14&amp;" ")&amp;IF(ISBLANK(E14),,E14&amp;" ")&amp;IF(ISBLANK(F14),,F14&amp;" ")&amp;IF(ISBLANK(G14),,G14&amp;" ")&amp;IF(ISBLANK(H14),,H14&amp;" ")&amp;IF(ISBLANK(I14),,I14&amp;" ")&amp;IF(ISBLANK(J14),,J14&amp;" ")&amp;IF(ISBLANK(K14),,K14&amp;" ")&amp;IF(ISBLANK(L14),,L14&amp;" ")&amp;IF(ISBLANK(M14),,M14&amp;" ")&amp;IF(ISBLANK(N14),,N14&amp;" ")&amp;IF(ISBLANK(O14),,O14&amp;" ")&amp;IF(ISBLANK(R14),,R14&amp;" ")&amp;IF(ISBLANK(S14),,S14&amp;" ")&amp;IF(ISBLANK(T14),,T14&amp;" ")&amp;IF(ISBLANK(U14),,U14)</f>
        <v>aa 00 03 62 01 10 76 55</v>
      </c>
      <c r="W14" s="537" t="s">
        <v>247</v>
      </c>
      <c r="X14" s="538"/>
      <c r="Y14" s="538"/>
      <c r="Z14" s="538"/>
      <c r="AA14" s="538"/>
      <c r="AB14" s="538"/>
      <c r="AC14" s="538"/>
      <c r="AD14" s="539"/>
    </row>
    <row r="15" spans="2:30" ht="15" thickBot="1" x14ac:dyDescent="0.3">
      <c r="B15" s="18" t="s">
        <v>0</v>
      </c>
      <c r="C15" s="18" t="s">
        <v>1</v>
      </c>
      <c r="D15" s="46" t="str">
        <f t="shared" si="0"/>
        <v>03</v>
      </c>
      <c r="E15" s="19" t="s">
        <v>112</v>
      </c>
      <c r="F15" s="19" t="s">
        <v>15</v>
      </c>
      <c r="G15" s="19" t="s">
        <v>70</v>
      </c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85" t="str">
        <f>DEC2HEX(MOD(HEX2DEC(C15)+HEX2DEC(D15)+HEX2DEC(E15)+HEX2DEC(F15)+HEX2DEC(G15)+HEX2DEC(H15)+HEX2DEC(I15)+HEX2DEC(J15)+HEX2DEC(K15)+HEX2DEC(L15)+HEX2DEC(M15)+HEX2DEC(N15)+HEX2DEC(O15)+HEX2DEC(R15)+HEX2DEC(S15),256),2)</f>
        <v>77</v>
      </c>
      <c r="U15" s="18" t="s">
        <v>5</v>
      </c>
      <c r="V15" s="49" t="str">
        <f t="shared" si="1"/>
        <v>aa 00 03 62 02 10 77 55</v>
      </c>
      <c r="W15" s="537" t="s">
        <v>248</v>
      </c>
      <c r="X15" s="538"/>
      <c r="Y15" s="538"/>
      <c r="Z15" s="538"/>
      <c r="AA15" s="538"/>
      <c r="AB15" s="538"/>
      <c r="AC15" s="538"/>
      <c r="AD15" s="539"/>
    </row>
    <row r="16" spans="2:30" ht="15" thickBot="1" x14ac:dyDescent="0.3">
      <c r="B16" s="18" t="s">
        <v>254</v>
      </c>
      <c r="C16" s="18" t="s">
        <v>1</v>
      </c>
      <c r="D16" s="46" t="str">
        <f t="shared" si="0"/>
        <v>03</v>
      </c>
      <c r="E16" s="19" t="s">
        <v>112</v>
      </c>
      <c r="F16" s="19" t="s">
        <v>13</v>
      </c>
      <c r="G16" s="19" t="s">
        <v>70</v>
      </c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85" t="str">
        <f>DEC2HEX(MOD(HEX2DEC(C16)+HEX2DEC(D16)+HEX2DEC(E16)+HEX2DEC(F16)+HEX2DEC(G16)+HEX2DEC(H16)+HEX2DEC(I16)+HEX2DEC(J16)+HEX2DEC(K16)+HEX2DEC(L16)+HEX2DEC(M16)+HEX2DEC(N16)+HEX2DEC(O16)+HEX2DEC(R16)+HEX2DEC(S16),256),2)</f>
        <v>78</v>
      </c>
      <c r="U16" s="18" t="s">
        <v>5</v>
      </c>
      <c r="V16" s="49" t="str">
        <f t="shared" si="1"/>
        <v>aa 00 03 62 03 10 78 55</v>
      </c>
      <c r="W16" s="537" t="s">
        <v>249</v>
      </c>
      <c r="X16" s="538"/>
      <c r="Y16" s="538"/>
      <c r="Z16" s="538"/>
      <c r="AA16" s="538"/>
      <c r="AB16" s="538"/>
      <c r="AC16" s="538"/>
      <c r="AD16" s="539"/>
    </row>
    <row r="17" spans="2:30" ht="15" thickBot="1" x14ac:dyDescent="0.3">
      <c r="B17" s="18" t="s">
        <v>0</v>
      </c>
      <c r="C17" s="18" t="s">
        <v>1</v>
      </c>
      <c r="D17" s="46" t="str">
        <f t="shared" si="0"/>
        <v>03</v>
      </c>
      <c r="E17" s="19" t="s">
        <v>112</v>
      </c>
      <c r="F17" s="19" t="s">
        <v>18</v>
      </c>
      <c r="G17" s="19" t="s">
        <v>70</v>
      </c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85" t="str">
        <f>DEC2HEX(MOD(HEX2DEC(C17)+HEX2DEC(D17)+HEX2DEC(E17)+HEX2DEC(F17)+HEX2DEC(G17)+HEX2DEC(H17)+HEX2DEC(I17)+HEX2DEC(J17)+HEX2DEC(K17)+HEX2DEC(L17)+HEX2DEC(M17)+HEX2DEC(N17)+HEX2DEC(O17)+HEX2DEC(R17)+HEX2DEC(S17),256),2)</f>
        <v>79</v>
      </c>
      <c r="U17" s="18" t="s">
        <v>5</v>
      </c>
      <c r="V17" s="49" t="str">
        <f t="shared" si="1"/>
        <v>aa 00 03 62 04 10 79 55</v>
      </c>
      <c r="W17" s="537" t="s">
        <v>250</v>
      </c>
      <c r="X17" s="538"/>
      <c r="Y17" s="538"/>
      <c r="Z17" s="538"/>
      <c r="AA17" s="538"/>
      <c r="AB17" s="538"/>
      <c r="AC17" s="538"/>
      <c r="AD17" s="539"/>
    </row>
    <row r="18" spans="2:30" x14ac:dyDescent="0.25">
      <c r="B18" s="492" t="s">
        <v>300</v>
      </c>
      <c r="C18" s="493"/>
      <c r="D18" s="493"/>
      <c r="E18" s="493"/>
      <c r="F18" s="493"/>
      <c r="G18" s="493"/>
      <c r="H18" s="493"/>
      <c r="I18" s="493"/>
      <c r="J18" s="493"/>
      <c r="K18" s="493"/>
      <c r="L18" s="493"/>
      <c r="M18" s="493"/>
      <c r="N18" s="493"/>
      <c r="O18" s="493"/>
      <c r="P18" s="493"/>
      <c r="Q18" s="493"/>
      <c r="R18" s="493"/>
      <c r="S18" s="493"/>
      <c r="T18" s="493"/>
      <c r="U18" s="493"/>
      <c r="V18" s="493"/>
      <c r="W18" s="493"/>
      <c r="X18" s="493"/>
      <c r="Y18" s="493"/>
      <c r="Z18" s="493"/>
      <c r="AA18" s="493"/>
      <c r="AB18" s="493"/>
      <c r="AC18" s="493"/>
      <c r="AD18" s="494"/>
    </row>
    <row r="19" spans="2:30" s="39" customFormat="1" ht="15" thickBot="1" x14ac:dyDescent="0.3">
      <c r="B19" s="18" t="s">
        <v>0</v>
      </c>
      <c r="C19" s="18" t="s">
        <v>1</v>
      </c>
      <c r="D19" s="46" t="str">
        <f>DEC2HEX( COUNTA(E19:S19),2)</f>
        <v>03</v>
      </c>
      <c r="E19" s="19" t="s">
        <v>112</v>
      </c>
      <c r="F19" s="19" t="s">
        <v>1</v>
      </c>
      <c r="G19" s="19" t="s">
        <v>28</v>
      </c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85" t="str">
        <f>DEC2HEX(MOD(HEX2DEC(C19)+HEX2DEC(D19)+HEX2DEC(E19)+HEX2DEC(F19)+HEX2DEC(G19)+HEX2DEC(H19)+HEX2DEC(I19)+HEX2DEC(J19)+HEX2DEC(K19)+HEX2DEC(L19)+HEX2DEC(M19)+HEX2DEC(N19)+HEX2DEC(O19)+HEX2DEC(R19)+HEX2DEC(S19),256),2)</f>
        <v>76</v>
      </c>
      <c r="U19" s="18" t="s">
        <v>5</v>
      </c>
      <c r="V19" s="49" t="str">
        <f t="shared" si="1"/>
        <v>aa 00 03 62 00 11 76 55</v>
      </c>
      <c r="W19" s="537" t="s">
        <v>116</v>
      </c>
      <c r="X19" s="538"/>
      <c r="Y19" s="538"/>
      <c r="Z19" s="538"/>
      <c r="AA19" s="538"/>
      <c r="AB19" s="538"/>
      <c r="AC19" s="538"/>
      <c r="AD19" s="539"/>
    </row>
    <row r="20" spans="2:30" x14ac:dyDescent="0.25">
      <c r="C20" s="176"/>
      <c r="D20" s="176"/>
      <c r="E20" s="176"/>
      <c r="F20" s="176"/>
      <c r="G20" s="176"/>
      <c r="H20" s="176"/>
      <c r="I20" s="176"/>
      <c r="J20" s="176"/>
      <c r="K20" s="176"/>
      <c r="L20" s="176"/>
      <c r="M20" s="176"/>
      <c r="N20" s="176"/>
      <c r="O20" s="176"/>
      <c r="P20" s="176"/>
      <c r="Q20" s="176"/>
      <c r="R20" s="176"/>
      <c r="S20" s="176"/>
      <c r="T20" s="176"/>
      <c r="U20" s="176"/>
      <c r="V20" s="173" t="s">
        <v>513</v>
      </c>
      <c r="W20" s="174" t="s">
        <v>515</v>
      </c>
      <c r="X20" s="176"/>
      <c r="Y20" s="176"/>
      <c r="Z20" s="176"/>
      <c r="AA20" s="176"/>
      <c r="AB20" s="176"/>
      <c r="AC20" s="176"/>
      <c r="AD20" s="177"/>
    </row>
    <row r="21" spans="2:30" ht="15" thickBot="1" x14ac:dyDescent="0.3">
      <c r="B21" s="18" t="s">
        <v>0</v>
      </c>
      <c r="C21" s="18" t="s">
        <v>1</v>
      </c>
      <c r="D21" s="46" t="str">
        <f t="shared" ref="D21:D27" si="2">DEC2HEX( COUNTA(E21:S21),2)</f>
        <v>05</v>
      </c>
      <c r="E21" s="19" t="s">
        <v>112</v>
      </c>
      <c r="F21" s="19" t="s">
        <v>1</v>
      </c>
      <c r="G21" s="19" t="s">
        <v>53</v>
      </c>
      <c r="H21" s="3" t="str">
        <f>LEFT(RIGHT(DEC2HEX(W21,4),4),2)</f>
        <v>11</v>
      </c>
      <c r="I21" s="3" t="str">
        <f>LEFT(RIGHT(DEC2HEX(W21,4),2),2)</f>
        <v>94</v>
      </c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85" t="str">
        <f>DEC2HEX(MOD(HEX2DEC(C21)+HEX2DEC(D21)+HEX2DEC(E21)+HEX2DEC(F21)+HEX2DEC(G21)+HEX2DEC(H21)+HEX2DEC(I21)+HEX2DEC(J21)+HEX2DEC(K21)+HEX2DEC(L21)+HEX2DEC(M21)+HEX2DEC(N21)+HEX2DEC(O21)+HEX2DEC(R21)+HEX2DEC(S21),256),2)</f>
        <v>2C</v>
      </c>
      <c r="U21" s="18" t="s">
        <v>5</v>
      </c>
      <c r="V21" s="49" t="str">
        <f t="shared" si="1"/>
        <v>aa 00 05 62 00 20 11 94 2C 55</v>
      </c>
      <c r="W21" s="175">
        <v>4500</v>
      </c>
      <c r="X21" s="537" t="s">
        <v>514</v>
      </c>
      <c r="Y21" s="538"/>
      <c r="Z21" s="538"/>
      <c r="AA21" s="538"/>
      <c r="AB21" s="538"/>
      <c r="AC21" s="538"/>
      <c r="AD21" s="539"/>
    </row>
    <row r="22" spans="2:30" s="22" customFormat="1" ht="15" thickBot="1" x14ac:dyDescent="0.3">
      <c r="B22" s="18" t="s">
        <v>0</v>
      </c>
      <c r="C22" s="18" t="s">
        <v>1</v>
      </c>
      <c r="D22" s="46" t="str">
        <f t="shared" si="2"/>
        <v>05</v>
      </c>
      <c r="E22" s="19" t="s">
        <v>112</v>
      </c>
      <c r="F22" s="19" t="s">
        <v>14</v>
      </c>
      <c r="G22" s="19" t="s">
        <v>53</v>
      </c>
      <c r="H22" s="3" t="str">
        <f t="shared" ref="H22:H27" si="3">LEFT(RIGHT(DEC2HEX(W22,4),4),2)</f>
        <v>05</v>
      </c>
      <c r="I22" s="3" t="str">
        <f t="shared" ref="I22:I27" si="4">LEFT(RIGHT(DEC2HEX(W22,4),2),2)</f>
        <v>DC</v>
      </c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85" t="str">
        <f t="shared" ref="T22:T27" si="5">DEC2HEX(MOD(HEX2DEC(C22)+HEX2DEC(D22)+HEX2DEC(E22)+HEX2DEC(F22)+HEX2DEC(G22)+HEX2DEC(H22)+HEX2DEC(I22)+HEX2DEC(J22)+HEX2DEC(K22)+HEX2DEC(L22)+HEX2DEC(M22)+HEX2DEC(N22)+HEX2DEC(O22)+HEX2DEC(R22)+HEX2DEC(S22),256),2)</f>
        <v>69</v>
      </c>
      <c r="U22" s="18" t="s">
        <v>5</v>
      </c>
      <c r="V22" s="49" t="str">
        <f t="shared" si="1"/>
        <v>aa 00 05 62 01 20 05 DC 69 55</v>
      </c>
      <c r="W22" s="175">
        <v>1500</v>
      </c>
      <c r="X22" s="537" t="s">
        <v>514</v>
      </c>
      <c r="Y22" s="538"/>
      <c r="Z22" s="538"/>
      <c r="AA22" s="538"/>
      <c r="AB22" s="538"/>
      <c r="AC22" s="538"/>
      <c r="AD22" s="539"/>
    </row>
    <row r="23" spans="2:30" ht="15" thickBot="1" x14ac:dyDescent="0.3">
      <c r="B23" s="18" t="s">
        <v>0</v>
      </c>
      <c r="C23" s="18" t="s">
        <v>1</v>
      </c>
      <c r="D23" s="46" t="str">
        <f t="shared" si="2"/>
        <v>05</v>
      </c>
      <c r="E23" s="19" t="s">
        <v>112</v>
      </c>
      <c r="F23" s="19" t="s">
        <v>15</v>
      </c>
      <c r="G23" s="19" t="s">
        <v>53</v>
      </c>
      <c r="H23" s="3" t="str">
        <f t="shared" si="3"/>
        <v>07</v>
      </c>
      <c r="I23" s="3" t="str">
        <f t="shared" si="4"/>
        <v>D0</v>
      </c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85" t="str">
        <f t="shared" si="5"/>
        <v>60</v>
      </c>
      <c r="U23" s="18" t="s">
        <v>5</v>
      </c>
      <c r="V23" s="49" t="str">
        <f t="shared" si="1"/>
        <v>aa 00 05 62 02 20 07 D0 60 55</v>
      </c>
      <c r="W23" s="175">
        <v>2000</v>
      </c>
      <c r="X23" s="537" t="s">
        <v>514</v>
      </c>
      <c r="Y23" s="538"/>
      <c r="Z23" s="538"/>
      <c r="AA23" s="538"/>
      <c r="AB23" s="538"/>
      <c r="AC23" s="538"/>
      <c r="AD23" s="539"/>
    </row>
    <row r="24" spans="2:30" ht="15" thickBot="1" x14ac:dyDescent="0.3">
      <c r="B24" s="18" t="s">
        <v>0</v>
      </c>
      <c r="C24" s="18" t="s">
        <v>1</v>
      </c>
      <c r="D24" s="46" t="str">
        <f t="shared" si="2"/>
        <v>05</v>
      </c>
      <c r="E24" s="19" t="s">
        <v>112</v>
      </c>
      <c r="F24" s="19" t="s">
        <v>13</v>
      </c>
      <c r="G24" s="19" t="s">
        <v>53</v>
      </c>
      <c r="H24" s="3" t="str">
        <f t="shared" si="3"/>
        <v>07</v>
      </c>
      <c r="I24" s="3" t="str">
        <f t="shared" si="4"/>
        <v>D0</v>
      </c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85" t="str">
        <f t="shared" si="5"/>
        <v>61</v>
      </c>
      <c r="U24" s="18" t="s">
        <v>5</v>
      </c>
      <c r="V24" s="49" t="str">
        <f t="shared" si="1"/>
        <v>aa 00 05 62 03 20 07 D0 61 55</v>
      </c>
      <c r="W24" s="175">
        <v>2000</v>
      </c>
      <c r="X24" s="537" t="s">
        <v>514</v>
      </c>
      <c r="Y24" s="538"/>
      <c r="Z24" s="538"/>
      <c r="AA24" s="538"/>
      <c r="AB24" s="538"/>
      <c r="AC24" s="538"/>
      <c r="AD24" s="539"/>
    </row>
    <row r="25" spans="2:30" ht="15" thickBot="1" x14ac:dyDescent="0.3">
      <c r="B25" s="18" t="s">
        <v>0</v>
      </c>
      <c r="C25" s="18" t="s">
        <v>1</v>
      </c>
      <c r="D25" s="46" t="str">
        <f t="shared" si="2"/>
        <v>05</v>
      </c>
      <c r="E25" s="19" t="s">
        <v>112</v>
      </c>
      <c r="F25" s="19" t="s">
        <v>18</v>
      </c>
      <c r="G25" s="19" t="s">
        <v>53</v>
      </c>
      <c r="H25" s="3" t="str">
        <f t="shared" si="3"/>
        <v>07</v>
      </c>
      <c r="I25" s="3" t="str">
        <f t="shared" si="4"/>
        <v>D0</v>
      </c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85" t="str">
        <f t="shared" si="5"/>
        <v>62</v>
      </c>
      <c r="U25" s="18" t="s">
        <v>5</v>
      </c>
      <c r="V25" s="49" t="str">
        <f t="shared" si="1"/>
        <v>aa 00 05 62 04 20 07 D0 62 55</v>
      </c>
      <c r="W25" s="175">
        <v>2000</v>
      </c>
      <c r="X25" s="537" t="s">
        <v>514</v>
      </c>
      <c r="Y25" s="538"/>
      <c r="Z25" s="538"/>
      <c r="AA25" s="538"/>
      <c r="AB25" s="538"/>
      <c r="AC25" s="538"/>
      <c r="AD25" s="539"/>
    </row>
    <row r="26" spans="2:30" ht="15" thickBot="1" x14ac:dyDescent="0.3">
      <c r="B26" s="18" t="s">
        <v>0</v>
      </c>
      <c r="C26" s="18" t="s">
        <v>1</v>
      </c>
      <c r="D26" s="46" t="str">
        <f t="shared" si="2"/>
        <v>05</v>
      </c>
      <c r="E26" s="19" t="s">
        <v>112</v>
      </c>
      <c r="F26" s="19" t="s">
        <v>122</v>
      </c>
      <c r="G26" s="19" t="s">
        <v>53</v>
      </c>
      <c r="H26" s="3" t="str">
        <f t="shared" si="3"/>
        <v>07</v>
      </c>
      <c r="I26" s="3" t="str">
        <f t="shared" si="4"/>
        <v>D0</v>
      </c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85" t="str">
        <f t="shared" si="5"/>
        <v>63</v>
      </c>
      <c r="U26" s="18" t="s">
        <v>5</v>
      </c>
      <c r="V26" s="49" t="str">
        <f t="shared" si="1"/>
        <v>aa 00 05 62 05 20 07 D0 63 55</v>
      </c>
      <c r="W26" s="175">
        <v>2000</v>
      </c>
      <c r="X26" s="537" t="s">
        <v>514</v>
      </c>
      <c r="Y26" s="538"/>
      <c r="Z26" s="538"/>
      <c r="AA26" s="538"/>
      <c r="AB26" s="538"/>
      <c r="AC26" s="538"/>
      <c r="AD26" s="539"/>
    </row>
    <row r="27" spans="2:30" x14ac:dyDescent="0.25">
      <c r="B27" s="281" t="s">
        <v>0</v>
      </c>
      <c r="C27" s="281" t="s">
        <v>1</v>
      </c>
      <c r="D27" s="242" t="str">
        <f t="shared" si="2"/>
        <v>05</v>
      </c>
      <c r="E27" s="282" t="s">
        <v>112</v>
      </c>
      <c r="F27" s="282" t="s">
        <v>123</v>
      </c>
      <c r="G27" s="282" t="s">
        <v>53</v>
      </c>
      <c r="H27" s="252" t="str">
        <f t="shared" si="3"/>
        <v>07</v>
      </c>
      <c r="I27" s="252" t="str">
        <f t="shared" si="4"/>
        <v>D0</v>
      </c>
      <c r="J27" s="283"/>
      <c r="K27" s="283"/>
      <c r="L27" s="283"/>
      <c r="M27" s="283"/>
      <c r="N27" s="283"/>
      <c r="O27" s="283"/>
      <c r="P27" s="283"/>
      <c r="Q27" s="283"/>
      <c r="R27" s="283"/>
      <c r="S27" s="283"/>
      <c r="T27" s="241" t="str">
        <f t="shared" si="5"/>
        <v>64</v>
      </c>
      <c r="U27" s="281" t="s">
        <v>5</v>
      </c>
      <c r="V27" s="243" t="str">
        <f t="shared" si="1"/>
        <v>aa 00 05 62 06 20 07 D0 64 55</v>
      </c>
      <c r="W27" s="284">
        <v>2000</v>
      </c>
      <c r="X27" s="554" t="s">
        <v>514</v>
      </c>
      <c r="Y27" s="555"/>
      <c r="Z27" s="555"/>
      <c r="AA27" s="555"/>
      <c r="AB27" s="555"/>
      <c r="AC27" s="555"/>
      <c r="AD27" s="556"/>
    </row>
    <row r="28" spans="2:30" s="27" customFormat="1" x14ac:dyDescent="0.25">
      <c r="B28" s="280"/>
      <c r="C28" s="280"/>
      <c r="D28" s="280"/>
      <c r="E28" s="280"/>
      <c r="F28" s="280"/>
      <c r="G28" s="280"/>
      <c r="H28" s="280"/>
      <c r="I28" s="280"/>
      <c r="J28" s="280"/>
      <c r="K28" s="280"/>
      <c r="L28" s="280"/>
      <c r="M28" s="280"/>
      <c r="N28" s="280"/>
      <c r="O28" s="280"/>
      <c r="P28" s="280"/>
      <c r="Q28" s="280"/>
      <c r="R28" s="280"/>
      <c r="S28" s="280"/>
      <c r="T28" s="280"/>
      <c r="U28" s="280"/>
      <c r="V28" s="279"/>
      <c r="W28" s="279" t="s">
        <v>693</v>
      </c>
      <c r="X28" s="279" t="s">
        <v>691</v>
      </c>
      <c r="Y28" s="279" t="s">
        <v>692</v>
      </c>
      <c r="Z28" s="280"/>
      <c r="AA28" s="280"/>
      <c r="AB28" s="280"/>
      <c r="AC28" s="280"/>
      <c r="AD28" s="280"/>
    </row>
    <row r="29" spans="2:30" ht="18" customHeight="1" x14ac:dyDescent="0.25">
      <c r="B29" s="18" t="s">
        <v>0</v>
      </c>
      <c r="C29" s="18" t="s">
        <v>1</v>
      </c>
      <c r="D29" s="75" t="str">
        <f>DEC2HEX(COUNTA(E29:S29),2)</f>
        <v>0F</v>
      </c>
      <c r="E29" s="19" t="s">
        <v>112</v>
      </c>
      <c r="F29" s="19" t="s">
        <v>694</v>
      </c>
      <c r="G29" s="19" t="s">
        <v>42</v>
      </c>
      <c r="H29" s="3" t="str">
        <f>LEFT(RIGHT(DEC2HEX(W29*10000,8),8),2)</f>
        <v>01</v>
      </c>
      <c r="I29" s="3" t="str">
        <f>LEFT(RIGHT(DEC2HEX(W29*10000,8),6),2)</f>
        <v>31</v>
      </c>
      <c r="J29" s="3" t="str">
        <f>LEFT(RIGHT(DEC2HEX(W29*10000,8),4),2)</f>
        <v>2D</v>
      </c>
      <c r="K29" s="3" t="str">
        <f>RIGHT(DEC2HEX(W29*10000,8),2)</f>
        <v>00</v>
      </c>
      <c r="L29" s="3" t="str">
        <f>LEFT(RIGHT(DEC2HEX(X29*10000,8),8),2)</f>
        <v>01</v>
      </c>
      <c r="M29" s="3" t="str">
        <f>LEFT(RIGHT(DEC2HEX(X29*10000,8),6),2)</f>
        <v>31</v>
      </c>
      <c r="N29" s="3" t="str">
        <f>LEFT(RIGHT(DEC2HEX(X29*10000,8),4),2)</f>
        <v>2D</v>
      </c>
      <c r="O29" s="3" t="str">
        <f>RIGHT(DEC2HEX(X29*10000,8),2)</f>
        <v>00</v>
      </c>
      <c r="P29" s="3" t="str">
        <f>LEFT(RIGHT(DEC2HEX(Y29*10000,8),8),2)</f>
        <v>01</v>
      </c>
      <c r="Q29" s="3" t="str">
        <f>LEFT(RIGHT(DEC2HEX(Y29*10000,8),6),2)</f>
        <v>31</v>
      </c>
      <c r="R29" s="3" t="str">
        <f>LEFT(RIGHT(DEC2HEX(Y29*10000,8),4),2)</f>
        <v>2D</v>
      </c>
      <c r="S29" s="3" t="str">
        <f>RIGHT(DEC2HEX(Y29*10000,8),2)</f>
        <v>00</v>
      </c>
      <c r="T29" s="84" t="str">
        <f>DEC2HEX(MOD(HEX2DEC(C29)+HEX2DEC(D29)+HEX2DEC(E29)+HEX2DEC(F29)+HEX2DEC(G29)+HEX2DEC(H29)+HEX2DEC(I29)+HEX2DEC(J29)+HEX2DEC(K29)+HEX2DEC(L29)+HEX2DEC(M29)+HEX2DEC(N29)+HEX2DEC(O29)+HEX2DEC(P29)+HEX2DEC(Q29)+HEX2DEC(R29)+HEX2DEC(S29),256),2)</f>
        <v>CE</v>
      </c>
      <c r="U29" s="18" t="s">
        <v>5</v>
      </c>
      <c r="V29" s="55" t="str">
        <f>IF(ISBLANK(B29),,B29&amp;" ")&amp;IF(ISBLANK(C29),,C29&amp;" ")&amp;IF(ISBLANK(D29),,D29&amp;" ")&amp;IF(ISBLANK(E29),,E29&amp;" ")&amp;IF(ISBLANK(F29),,F29&amp;" ")&amp;IF(ISBLANK(G29),,G29&amp;" ")&amp;IF(ISBLANK(H29),,H29&amp;" ")&amp;IF(ISBLANK(I29),,I29&amp;" ")&amp;IF(ISBLANK(J29),,J29&amp;" ")&amp;IF(ISBLANK(K29),,K29&amp;" ")&amp;IF(ISBLANK(L29),,L29&amp;" ")&amp;IF(ISBLANK(M29),,M29&amp;" ")&amp;IF(ISBLANK(N29),,N29&amp;" ")&amp;IF(ISBLANK(O29),,O29&amp;" ")&amp;IF(ISBLANK(P29),,P29&amp;" ")&amp;IF(ISBLANK(Q29),,Q29&amp;" ")&amp;IF(ISBLANK(R29),,R29&amp;" ")&amp;IF(ISBLANK(S29),,S29&amp;" ")&amp;IF(ISBLANK(T29),,T29&amp;" ")&amp;IF(ISBLANK(U29),,U29)</f>
        <v>aa 00 0F 62 00 40 01 31 2D 00 01 31 2D 00 01 31 2D 00 CE 55</v>
      </c>
      <c r="W29" s="279">
        <v>2000</v>
      </c>
      <c r="X29" s="279">
        <v>2000</v>
      </c>
      <c r="Y29" s="279">
        <v>2000</v>
      </c>
      <c r="Z29" s="535" t="s">
        <v>690</v>
      </c>
      <c r="AA29" s="535"/>
      <c r="AB29" s="535"/>
      <c r="AC29" s="535"/>
      <c r="AD29" s="535"/>
    </row>
  </sheetData>
  <mergeCells count="29">
    <mergeCell ref="Z29:AD29"/>
    <mergeCell ref="X26:AD26"/>
    <mergeCell ref="X27:AD27"/>
    <mergeCell ref="X21:AD21"/>
    <mergeCell ref="X22:AD22"/>
    <mergeCell ref="X23:AD23"/>
    <mergeCell ref="X24:AD24"/>
    <mergeCell ref="X25:AD25"/>
    <mergeCell ref="H6:S6"/>
    <mergeCell ref="B2:AD2"/>
    <mergeCell ref="B3:AD3"/>
    <mergeCell ref="H4:S4"/>
    <mergeCell ref="W4:AD4"/>
    <mergeCell ref="W6:AD6"/>
    <mergeCell ref="B5:U5"/>
    <mergeCell ref="W19:AD19"/>
    <mergeCell ref="W7:AD7"/>
    <mergeCell ref="W10:AD10"/>
    <mergeCell ref="H7:S7"/>
    <mergeCell ref="H10:S10"/>
    <mergeCell ref="W14:AD14"/>
    <mergeCell ref="W15:AD15"/>
    <mergeCell ref="W16:AD16"/>
    <mergeCell ref="W17:AD17"/>
    <mergeCell ref="W13:AD13"/>
    <mergeCell ref="B8:U8"/>
    <mergeCell ref="B18:AD18"/>
    <mergeCell ref="H9:S9"/>
    <mergeCell ref="W9:AD9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1:AB16"/>
  <sheetViews>
    <sheetView zoomScale="115" zoomScaleNormal="115" workbookViewId="0">
      <selection activeCell="S30" sqref="S30"/>
    </sheetView>
  </sheetViews>
  <sheetFormatPr defaultRowHeight="14.4" x14ac:dyDescent="0.25"/>
  <cols>
    <col min="1" max="1" width="3.77734375" customWidth="1"/>
    <col min="2" max="19" width="3.6640625" customWidth="1"/>
    <col min="20" max="20" width="40.6640625" customWidth="1"/>
    <col min="21" max="26" width="4.6640625" customWidth="1"/>
    <col min="27" max="28" width="10.6640625" customWidth="1"/>
  </cols>
  <sheetData>
    <row r="1" spans="2:28" ht="15" thickBot="1" x14ac:dyDescent="0.3">
      <c r="T1" s="97"/>
    </row>
    <row r="2" spans="2:28" ht="22.2" x14ac:dyDescent="0.25">
      <c r="B2" s="530" t="s">
        <v>547</v>
      </c>
      <c r="C2" s="557"/>
      <c r="D2" s="557"/>
      <c r="E2" s="557"/>
      <c r="F2" s="557"/>
      <c r="G2" s="557"/>
      <c r="H2" s="557"/>
      <c r="I2" s="557"/>
      <c r="J2" s="557"/>
      <c r="K2" s="557"/>
      <c r="L2" s="557"/>
      <c r="M2" s="557"/>
      <c r="N2" s="557"/>
      <c r="O2" s="557"/>
      <c r="P2" s="557"/>
      <c r="Q2" s="557"/>
      <c r="R2" s="557"/>
      <c r="S2" s="557"/>
      <c r="T2" s="557"/>
      <c r="U2" s="557"/>
      <c r="V2" s="557"/>
      <c r="W2" s="557"/>
      <c r="X2" s="557"/>
      <c r="Y2" s="557"/>
      <c r="Z2" s="557"/>
      <c r="AA2" s="557"/>
      <c r="AB2" s="558"/>
    </row>
    <row r="3" spans="2:28" x14ac:dyDescent="0.25">
      <c r="B3" s="451" t="s">
        <v>275</v>
      </c>
      <c r="C3" s="435"/>
      <c r="D3" s="435"/>
      <c r="E3" s="435"/>
      <c r="F3" s="435"/>
      <c r="G3" s="435"/>
      <c r="H3" s="435"/>
      <c r="I3" s="435"/>
      <c r="J3" s="435"/>
      <c r="K3" s="435"/>
      <c r="L3" s="435"/>
      <c r="M3" s="435"/>
      <c r="N3" s="435"/>
      <c r="O3" s="435"/>
      <c r="P3" s="435"/>
      <c r="Q3" s="435"/>
      <c r="R3" s="435"/>
      <c r="S3" s="435"/>
      <c r="T3" s="185" t="s">
        <v>266</v>
      </c>
      <c r="U3" s="435" t="s">
        <v>267</v>
      </c>
      <c r="V3" s="435"/>
      <c r="W3" s="435"/>
      <c r="X3" s="435"/>
      <c r="Y3" s="435" t="s">
        <v>268</v>
      </c>
      <c r="Z3" s="435"/>
      <c r="AA3" s="435"/>
      <c r="AB3" s="518"/>
    </row>
    <row r="4" spans="2:28" ht="16.8" x14ac:dyDescent="0.25">
      <c r="B4" s="87" t="s">
        <v>77</v>
      </c>
      <c r="C4" s="186" t="s">
        <v>78</v>
      </c>
      <c r="D4" s="186" t="s">
        <v>10</v>
      </c>
      <c r="E4" s="186" t="s">
        <v>79</v>
      </c>
      <c r="F4" s="186" t="s">
        <v>80</v>
      </c>
      <c r="G4" s="186" t="s">
        <v>11</v>
      </c>
      <c r="H4" s="436" t="s">
        <v>83</v>
      </c>
      <c r="I4" s="436"/>
      <c r="J4" s="436"/>
      <c r="K4" s="436"/>
      <c r="L4" s="436"/>
      <c r="M4" s="436"/>
      <c r="N4" s="436"/>
      <c r="O4" s="436"/>
      <c r="P4" s="436"/>
      <c r="Q4" s="436"/>
      <c r="R4" s="83" t="s">
        <v>81</v>
      </c>
      <c r="S4" s="83" t="s">
        <v>82</v>
      </c>
      <c r="T4" s="51" t="s">
        <v>276</v>
      </c>
      <c r="U4" s="559" t="s">
        <v>6</v>
      </c>
      <c r="V4" s="560"/>
      <c r="W4" s="560"/>
      <c r="X4" s="560"/>
      <c r="Y4" s="560"/>
      <c r="Z4" s="560"/>
      <c r="AA4" s="560"/>
      <c r="AB4" s="561"/>
    </row>
    <row r="5" spans="2:28" ht="15" thickBot="1" x14ac:dyDescent="0.3">
      <c r="B5" s="202" t="s">
        <v>251</v>
      </c>
      <c r="C5" s="75" t="s">
        <v>256</v>
      </c>
      <c r="D5" s="46" t="str">
        <f>DEC2HEX( COUNTA(E5:Q5),2)</f>
        <v>04</v>
      </c>
      <c r="E5" s="76" t="s">
        <v>14</v>
      </c>
      <c r="F5" s="76" t="s">
        <v>256</v>
      </c>
      <c r="G5" s="76" t="s">
        <v>256</v>
      </c>
      <c r="H5" s="54" t="s">
        <v>14</v>
      </c>
      <c r="I5" s="54"/>
      <c r="J5" s="54"/>
      <c r="K5" s="54"/>
      <c r="L5" s="54"/>
      <c r="M5" s="54"/>
      <c r="N5" s="54"/>
      <c r="O5" s="54"/>
      <c r="P5" s="54"/>
      <c r="Q5" s="54"/>
      <c r="R5" s="85" t="str">
        <f>DEC2HEX(MOD(HEX2DEC(C5)+HEX2DEC(D5)+HEX2DEC(E5)+HEX2DEC(F5)+HEX2DEC(G5)+HEX2DEC(H5)+HEX2DEC(I5)+HEX2DEC(J5)+HEX2DEC(K5)+HEX2DEC(L5)+HEX2DEC(M5)+HEX2DEC(N5)+HEX2DEC(O5)+HEX2DEC(P5)+HEX2DEC(Q5),256),2)</f>
        <v>06</v>
      </c>
      <c r="S5" s="84" t="s">
        <v>5</v>
      </c>
      <c r="T5" s="49" t="str">
        <f>IF(ISBLANK(B5),,B5&amp;" ")&amp;IF(ISBLANK(C5),,C5&amp;" ")&amp;IF(ISBLANK(D5),,D5&amp;" ")&amp;IF(ISBLANK(E5),,E5&amp;" ")&amp;IF(ISBLANK(F5),,F5&amp;" ")&amp;IF(ISBLANK(G5),,G5&amp;" ")&amp;IF(ISBLANK(H5),,H5&amp;" ")&amp;IF(ISBLANK(I5),,I5&amp;" ")&amp;IF(ISBLANK(J5),,J5&amp;" ")&amp;IF(ISBLANK(K5),,K5&amp;" ")&amp;IF(ISBLANK(L5),,L5&amp;" ")&amp;IF(ISBLANK(M5),,M5&amp;" ")&amp;IF(ISBLANK(N5),,N5&amp;" ")&amp;IF(ISBLANK(O5),,O5&amp;" ")&amp;IF(ISBLANK(P5),,P5&amp;" ")&amp;IF(ISBLANK(Q5),,Q5&amp;" ")&amp;IF(ISBLANK(R5),,R5&amp;" ")&amp;IF(ISBLANK(S5),,S5)</f>
        <v>aa 00 04 01 00 00 01 06 55</v>
      </c>
      <c r="U5" s="265" t="s">
        <v>548</v>
      </c>
      <c r="V5" s="266"/>
      <c r="W5" s="266"/>
      <c r="X5" s="266"/>
      <c r="Y5" s="266"/>
      <c r="Z5" s="266"/>
      <c r="AA5" s="266"/>
      <c r="AB5" s="337"/>
    </row>
    <row r="6" spans="2:28" ht="15" thickBot="1" x14ac:dyDescent="0.3">
      <c r="B6" s="202" t="s">
        <v>251</v>
      </c>
      <c r="C6" s="75" t="s">
        <v>256</v>
      </c>
      <c r="D6" s="46" t="str">
        <f t="shared" ref="D6:D8" si="0">DEC2HEX( COUNTA(E6:Q6),2)</f>
        <v>04</v>
      </c>
      <c r="E6" s="76" t="s">
        <v>14</v>
      </c>
      <c r="F6" s="76" t="s">
        <v>256</v>
      </c>
      <c r="G6" s="76" t="s">
        <v>256</v>
      </c>
      <c r="H6" s="54" t="s">
        <v>15</v>
      </c>
      <c r="I6" s="54"/>
      <c r="J6" s="54"/>
      <c r="K6" s="54"/>
      <c r="L6" s="54"/>
      <c r="M6" s="54"/>
      <c r="N6" s="54"/>
      <c r="O6" s="54"/>
      <c r="P6" s="54"/>
      <c r="Q6" s="54"/>
      <c r="R6" s="85" t="str">
        <f t="shared" ref="R6:R12" si="1">DEC2HEX(MOD(HEX2DEC(C6)+HEX2DEC(D6)+HEX2DEC(E6)+HEX2DEC(F6)+HEX2DEC(G6)+HEX2DEC(H6)+HEX2DEC(I6)+HEX2DEC(J6)+HEX2DEC(K6)+HEX2DEC(L6)+HEX2DEC(M6)+HEX2DEC(N6)+HEX2DEC(O6)+HEX2DEC(P6)+HEX2DEC(Q6),256),2)</f>
        <v>07</v>
      </c>
      <c r="S6" s="84" t="s">
        <v>5</v>
      </c>
      <c r="T6" s="49" t="str">
        <f>IF(ISBLANK(B6),,B6&amp;" ")&amp;IF(ISBLANK(C6),,C6&amp;"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")&amp;IF(ISBLANK(O6),,O6&amp;" ")&amp;IF(ISBLANK(P6),,P6&amp;" ")&amp;IF(ISBLANK(Q6),,Q6&amp;" ")&amp;IF(ISBLANK(R6),,R6&amp;" ")&amp;IF(ISBLANK(S6),,S6)</f>
        <v>aa 00 04 01 00 00 02 07 55</v>
      </c>
      <c r="U6" s="265" t="s">
        <v>549</v>
      </c>
      <c r="V6" s="266"/>
      <c r="W6" s="266"/>
      <c r="X6" s="266"/>
      <c r="Y6" s="266"/>
      <c r="Z6" s="266"/>
      <c r="AA6" s="266"/>
      <c r="AB6" s="337"/>
    </row>
    <row r="7" spans="2:28" ht="15" thickBot="1" x14ac:dyDescent="0.3">
      <c r="B7" s="202" t="s">
        <v>251</v>
      </c>
      <c r="C7" s="75" t="s">
        <v>256</v>
      </c>
      <c r="D7" s="46" t="str">
        <f t="shared" si="0"/>
        <v>04</v>
      </c>
      <c r="E7" s="76" t="s">
        <v>14</v>
      </c>
      <c r="F7" s="76" t="s">
        <v>256</v>
      </c>
      <c r="G7" s="76" t="s">
        <v>256</v>
      </c>
      <c r="H7" s="54" t="s">
        <v>13</v>
      </c>
      <c r="I7" s="54"/>
      <c r="J7" s="54"/>
      <c r="K7" s="54"/>
      <c r="L7" s="54"/>
      <c r="M7" s="54"/>
      <c r="N7" s="54"/>
      <c r="O7" s="54"/>
      <c r="P7" s="54"/>
      <c r="Q7" s="54"/>
      <c r="R7" s="85" t="str">
        <f t="shared" si="1"/>
        <v>08</v>
      </c>
      <c r="S7" s="84" t="s">
        <v>5</v>
      </c>
      <c r="T7" s="49" t="str">
        <f>IF(ISBLANK(B7),,B7&amp;" ")&amp;IF(ISBLANK(C7),,C7&amp;" ")&amp;IF(ISBLANK(D7),,D7&amp;" ")&amp;IF(ISBLANK(E7),,E7&amp;" ")&amp;IF(ISBLANK(F7),,F7&amp;" ")&amp;IF(ISBLANK(G7),,G7&amp;" ")&amp;IF(ISBLANK(H7),,H7&amp;" ")&amp;IF(ISBLANK(I7),,I7&amp;" ")&amp;IF(ISBLANK(J7),,J7&amp;" ")&amp;IF(ISBLANK(K7),,K7&amp;" ")&amp;IF(ISBLANK(L7),,L7&amp;" ")&amp;IF(ISBLANK(M7),,M7&amp;" ")&amp;IF(ISBLANK(N7),,N7&amp;" ")&amp;IF(ISBLANK(O7),,O7&amp;" ")&amp;IF(ISBLANK(P7),,P7&amp;" ")&amp;IF(ISBLANK(Q7),,Q7&amp;" ")&amp;IF(ISBLANK(R7),,R7&amp;" ")&amp;IF(ISBLANK(S7),,S7)</f>
        <v>aa 00 04 01 00 00 03 08 55</v>
      </c>
      <c r="U7" s="265" t="s">
        <v>550</v>
      </c>
      <c r="V7" s="266"/>
      <c r="W7" s="266"/>
      <c r="X7" s="266"/>
      <c r="Y7" s="266"/>
      <c r="Z7" s="266"/>
      <c r="AA7" s="266"/>
      <c r="AB7" s="337"/>
    </row>
    <row r="8" spans="2:28" ht="15" thickBot="1" x14ac:dyDescent="0.3">
      <c r="B8" s="88" t="s">
        <v>251</v>
      </c>
      <c r="C8" s="46" t="s">
        <v>256</v>
      </c>
      <c r="D8" s="46" t="str">
        <f t="shared" si="0"/>
        <v>03</v>
      </c>
      <c r="E8" s="47" t="s">
        <v>14</v>
      </c>
      <c r="F8" s="47" t="s">
        <v>256</v>
      </c>
      <c r="G8" s="47" t="s">
        <v>14</v>
      </c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85" t="str">
        <f t="shared" si="1"/>
        <v>05</v>
      </c>
      <c r="S8" s="85" t="s">
        <v>5</v>
      </c>
      <c r="T8" s="49" t="str">
        <f>IF(ISBLANK(B8),,B8&amp;" ")&amp;IF(ISBLANK(C8),,C8&amp;" ")&amp;IF(ISBLANK(D8),,D8&amp;" ")&amp;IF(ISBLANK(E8),,E8&amp;" ")&amp;IF(ISBLANK(F8),,F8&amp;" ")&amp;IF(ISBLANK(G8),,G8&amp;" ")&amp;IF(ISBLANK(H8),,H8&amp;" ")&amp;IF(ISBLANK(I8),,I8&amp;" ")&amp;IF(ISBLANK(J8),,J8&amp;" ")&amp;IF(ISBLANK(K8),,K8&amp;" ")&amp;IF(ISBLANK(L8),,L8&amp;" ")&amp;IF(ISBLANK(M8),,M8&amp;" ")&amp;IF(ISBLANK(N8),,N8&amp;" ")&amp;IF(ISBLANK(O8),,O8&amp;" ")&amp;IF(ISBLANK(P8),,P8&amp;" ")&amp;IF(ISBLANK(Q8),,Q8&amp;" ")&amp;IF(ISBLANK(R8),,R8&amp;" ")&amp;IF(ISBLANK(S8),,S8)</f>
        <v>aa 00 03 01 00 01 05 55</v>
      </c>
      <c r="U8" s="333" t="s">
        <v>609</v>
      </c>
      <c r="V8" s="334"/>
      <c r="W8" s="334"/>
      <c r="X8" s="334"/>
      <c r="Y8" s="334"/>
      <c r="Z8" s="334"/>
      <c r="AA8" s="334"/>
      <c r="AB8" s="335"/>
    </row>
    <row r="9" spans="2:28" x14ac:dyDescent="0.25">
      <c r="B9" s="205"/>
      <c r="C9" s="206"/>
      <c r="D9" s="206"/>
      <c r="E9" s="206"/>
      <c r="F9" s="206"/>
      <c r="G9" s="206"/>
      <c r="H9" s="206"/>
      <c r="I9" s="206"/>
      <c r="J9" s="206"/>
      <c r="K9" s="206"/>
      <c r="L9" s="206"/>
      <c r="M9" s="206"/>
      <c r="N9" s="206"/>
      <c r="O9" s="206"/>
      <c r="P9" s="206"/>
      <c r="Q9" s="206"/>
      <c r="R9" s="206"/>
      <c r="S9" s="206"/>
      <c r="T9" s="207" t="s">
        <v>560</v>
      </c>
      <c r="U9" s="206"/>
      <c r="V9" s="206"/>
      <c r="W9" s="206"/>
      <c r="X9" s="206"/>
      <c r="Y9" s="206"/>
      <c r="Z9" s="206"/>
      <c r="AA9" s="206"/>
      <c r="AB9" s="208"/>
    </row>
    <row r="10" spans="2:28" ht="15" thickBot="1" x14ac:dyDescent="0.3">
      <c r="B10" s="202" t="s">
        <v>251</v>
      </c>
      <c r="C10" s="75" t="s">
        <v>256</v>
      </c>
      <c r="D10" s="46" t="str">
        <f>DEC2HEX( COUNTA(E10:Q10),2)</f>
        <v>03</v>
      </c>
      <c r="E10" s="76" t="s">
        <v>14</v>
      </c>
      <c r="F10" s="76" t="s">
        <v>256</v>
      </c>
      <c r="G10" s="76" t="s">
        <v>559</v>
      </c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85" t="str">
        <f t="shared" si="1"/>
        <v>06</v>
      </c>
      <c r="S10" s="84" t="s">
        <v>5</v>
      </c>
      <c r="T10" s="49" t="str">
        <f>IF(ISBLANK(B10),,B10&amp;" ")&amp;IF(ISBLANK(C10),,C10&amp;" ")&amp;IF(ISBLANK(D10),,D10&amp;" ")&amp;IF(ISBLANK(E10),,E10&amp;" ")&amp;IF(ISBLANK(F10),,F10&amp;" ")&amp;IF(ISBLANK(G10),,G10&amp;" ")&amp;IF(ISBLANK(H10),,H10&amp;" ")&amp;IF(ISBLANK(I10),,I10&amp;" ")&amp;IF(ISBLANK(J10),,J10&amp;" ")&amp;IF(ISBLANK(K10),,K10&amp;" ")&amp;IF(ISBLANK(L10),,L10&amp;" ")&amp;IF(ISBLANK(M10),,M10&amp;" ")&amp;IF(ISBLANK(N10),,N10&amp;" ")&amp;IF(ISBLANK(O10),,O10&amp;" ")&amp;IF(ISBLANK(P10),,P10&amp;" ")&amp;IF(ISBLANK(Q10),,Q10&amp;" ")&amp;IF(ISBLANK(R10),,R10&amp;" ")&amp;IF(ISBLANK(S10),,S10)</f>
        <v>aa 00 03 01 00 02 06 55</v>
      </c>
      <c r="U10" s="454" t="s">
        <v>551</v>
      </c>
      <c r="V10" s="455"/>
      <c r="W10" s="455"/>
      <c r="X10" s="455"/>
      <c r="Y10" s="455"/>
      <c r="Z10" s="455"/>
      <c r="AA10" s="455"/>
      <c r="AB10" s="456"/>
    </row>
    <row r="11" spans="2:28" x14ac:dyDescent="0.25">
      <c r="B11" s="202"/>
      <c r="C11" s="75"/>
      <c r="D11" s="75"/>
      <c r="E11" s="76"/>
      <c r="F11" s="76"/>
      <c r="G11" s="76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84"/>
      <c r="S11" s="84"/>
      <c r="T11" s="55"/>
      <c r="U11" s="116" t="s">
        <v>553</v>
      </c>
      <c r="V11" s="116" t="s">
        <v>554</v>
      </c>
      <c r="W11" s="116" t="s">
        <v>555</v>
      </c>
      <c r="X11" s="116" t="s">
        <v>556</v>
      </c>
      <c r="Y11" s="116" t="s">
        <v>557</v>
      </c>
      <c r="Z11" s="116" t="s">
        <v>558</v>
      </c>
      <c r="AA11" s="454"/>
      <c r="AB11" s="456"/>
    </row>
    <row r="12" spans="2:28" ht="15" thickBot="1" x14ac:dyDescent="0.3">
      <c r="B12" s="88" t="s">
        <v>251</v>
      </c>
      <c r="C12" s="46" t="s">
        <v>256</v>
      </c>
      <c r="D12" s="46" t="str">
        <f>DEC2HEX( COUNTA(E12:Q12),2)</f>
        <v>09</v>
      </c>
      <c r="E12" s="47" t="s">
        <v>14</v>
      </c>
      <c r="F12" s="47" t="s">
        <v>256</v>
      </c>
      <c r="G12" s="47" t="s">
        <v>8</v>
      </c>
      <c r="H12" s="187" t="str">
        <f>DEC2HEX(U12,2)</f>
        <v>14</v>
      </c>
      <c r="I12" s="187" t="str">
        <f t="shared" ref="I12:L12" si="2">DEC2HEX(V12,2)</f>
        <v>02</v>
      </c>
      <c r="J12" s="187" t="str">
        <f t="shared" si="2"/>
        <v>1C</v>
      </c>
      <c r="K12" s="187" t="str">
        <f t="shared" si="2"/>
        <v>17</v>
      </c>
      <c r="L12" s="187" t="str">
        <f t="shared" si="2"/>
        <v>3B</v>
      </c>
      <c r="M12" s="187" t="str">
        <f>DEC2HEX(Z12,2)</f>
        <v>3A</v>
      </c>
      <c r="N12" s="187"/>
      <c r="O12" s="187"/>
      <c r="P12" s="187"/>
      <c r="Q12" s="187"/>
      <c r="R12" s="85" t="str">
        <f t="shared" si="1"/>
        <v>CB</v>
      </c>
      <c r="S12" s="85" t="s">
        <v>5</v>
      </c>
      <c r="T12" s="49" t="str">
        <f>IF(ISBLANK(B12),,B12&amp;" ")&amp;IF(ISBLANK(C12),,C12&amp;" ")&amp;IF(ISBLANK(D12),,D12&amp;" ")&amp;IF(ISBLANK(E12),,E12&amp;" ")&amp;IF(ISBLANK(F12),,F12&amp;" ")&amp;IF(ISBLANK(G12),,G12&amp;" ")&amp;IF(ISBLANK(H12),,H12&amp;" ")&amp;IF(ISBLANK(I12),,I12&amp;" ")&amp;IF(ISBLANK(J12),,J12&amp;" ")&amp;IF(ISBLANK(K12),,K12&amp;" ")&amp;IF(ISBLANK(L12),,L12&amp;" ")&amp;IF(ISBLANK(M12),,M12&amp;" ")&amp;IF(ISBLANK(N12),,N12&amp;" ")&amp;IF(ISBLANK(O12),,O12&amp;" ")&amp;IF(ISBLANK(P12),,P12&amp;" ")&amp;IF(ISBLANK(Q12),,Q12&amp;" ")&amp;IF(ISBLANK(R12),,R12&amp;" ")&amp;IF(ISBLANK(S12),,S12)</f>
        <v>aa 00 09 01 00 03 14 02 1C 17 3B 3A CB 55</v>
      </c>
      <c r="U12" s="204">
        <v>20</v>
      </c>
      <c r="V12" s="204">
        <v>2</v>
      </c>
      <c r="W12" s="204">
        <v>28</v>
      </c>
      <c r="X12" s="204">
        <v>23</v>
      </c>
      <c r="Y12" s="204">
        <v>59</v>
      </c>
      <c r="Z12" s="204">
        <v>58</v>
      </c>
      <c r="AA12" s="452" t="s">
        <v>552</v>
      </c>
      <c r="AB12" s="453"/>
    </row>
    <row r="14" spans="2:28" ht="15" thickBot="1" x14ac:dyDescent="0.3">
      <c r="B14" s="202" t="s">
        <v>251</v>
      </c>
      <c r="C14" s="75" t="s">
        <v>256</v>
      </c>
      <c r="D14" s="46" t="str">
        <f t="shared" ref="D14" si="3">DEC2HEX( COUNTA(E14:Q14),2)</f>
        <v>04</v>
      </c>
      <c r="E14" s="76" t="s">
        <v>689</v>
      </c>
      <c r="F14" s="76" t="s">
        <v>256</v>
      </c>
      <c r="G14" s="76" t="s">
        <v>683</v>
      </c>
      <c r="H14" s="278" t="s">
        <v>684</v>
      </c>
      <c r="I14" s="278"/>
      <c r="J14" s="278"/>
      <c r="K14" s="278"/>
      <c r="L14" s="278"/>
      <c r="M14" s="278"/>
      <c r="N14" s="278"/>
      <c r="O14" s="278"/>
      <c r="P14" s="278"/>
      <c r="Q14" s="278"/>
      <c r="R14" s="85" t="str">
        <f t="shared" ref="R14" si="4">DEC2HEX(MOD(HEX2DEC(C14)+HEX2DEC(D14)+HEX2DEC(E14)+HEX2DEC(F14)+HEX2DEC(G14)+HEX2DEC(H14)+HEX2DEC(I14)+HEX2DEC(J14)+HEX2DEC(K14)+HEX2DEC(L14)+HEX2DEC(M14)+HEX2DEC(N14)+HEX2DEC(O14)+HEX2DEC(P14)+HEX2DEC(Q14),256),2)</f>
        <v>16</v>
      </c>
      <c r="S14" s="84" t="s">
        <v>5</v>
      </c>
      <c r="T14" s="49" t="str">
        <f>IF(ISBLANK(B14),,B14&amp;" ")&amp;IF(ISBLANK(C14),,C14&amp;" ")&amp;IF(ISBLANK(D14),,D14&amp;" ")&amp;IF(ISBLANK(E14),,E14&amp;" ")&amp;IF(ISBLANK(F14),,F14&amp;" ")&amp;IF(ISBLANK(G14),,G14&amp;" ")&amp;IF(ISBLANK(H14),,H14&amp;" ")&amp;IF(ISBLANK(I14),,I14&amp;" ")&amp;IF(ISBLANK(J14),,J14&amp;" ")&amp;IF(ISBLANK(K14),,K14&amp;" ")&amp;IF(ISBLANK(L14),,L14&amp;" ")&amp;IF(ISBLANK(M14),,M14&amp;" ")&amp;IF(ISBLANK(N14),,N14&amp;" ")&amp;IF(ISBLANK(O14),,O14&amp;" ")&amp;IF(ISBLANK(P14),,P14&amp;" ")&amp;IF(ISBLANK(Q14),,Q14&amp;" ")&amp;IF(ISBLANK(R14),,R14&amp;" ")&amp;IF(ISBLANK(S14),,S14)</f>
        <v>aa 00 04 E0 00 30 02 16 55</v>
      </c>
      <c r="U14" s="454" t="s">
        <v>688</v>
      </c>
      <c r="V14" s="455"/>
      <c r="W14" s="455"/>
      <c r="X14" s="455"/>
      <c r="Y14" s="455"/>
      <c r="Z14" s="455"/>
      <c r="AA14" s="455"/>
      <c r="AB14" s="456"/>
    </row>
    <row r="15" spans="2:28" ht="13.5" customHeight="1" thickBot="1" x14ac:dyDescent="0.3">
      <c r="B15" s="202" t="s">
        <v>251</v>
      </c>
      <c r="C15" s="75" t="s">
        <v>256</v>
      </c>
      <c r="D15" s="46" t="str">
        <f t="shared" ref="D15:D16" si="5">DEC2HEX( COUNTA(E15:Q15),2)</f>
        <v>04</v>
      </c>
      <c r="E15" s="76" t="s">
        <v>689</v>
      </c>
      <c r="F15" s="76" t="s">
        <v>687</v>
      </c>
      <c r="G15" s="76" t="s">
        <v>683</v>
      </c>
      <c r="H15" s="278" t="s">
        <v>684</v>
      </c>
      <c r="I15" s="278"/>
      <c r="J15" s="278"/>
      <c r="K15" s="278"/>
      <c r="L15" s="278"/>
      <c r="M15" s="278"/>
      <c r="N15" s="278"/>
      <c r="O15" s="278"/>
      <c r="P15" s="278"/>
      <c r="Q15" s="278"/>
      <c r="R15" s="85" t="str">
        <f t="shared" ref="R15:R16" si="6">DEC2HEX(MOD(HEX2DEC(C15)+HEX2DEC(D15)+HEX2DEC(E15)+HEX2DEC(F15)+HEX2DEC(G15)+HEX2DEC(H15)+HEX2DEC(I15)+HEX2DEC(J15)+HEX2DEC(K15)+HEX2DEC(L15)+HEX2DEC(M15)+HEX2DEC(N15)+HEX2DEC(O15)+HEX2DEC(P15)+HEX2DEC(Q15),256),2)</f>
        <v>17</v>
      </c>
      <c r="S15" s="84" t="s">
        <v>5</v>
      </c>
      <c r="T15" s="49" t="str">
        <f t="shared" ref="T15:T16" si="7">IF(ISBLANK(B15),,B15&amp;" ")&amp;IF(ISBLANK(C15),,C15&amp;" ")&amp;IF(ISBLANK(D15),,D15&amp;" ")&amp;IF(ISBLANK(E15),,E15&amp;" ")&amp;IF(ISBLANK(F15),,F15&amp;" ")&amp;IF(ISBLANK(G15),,G15&amp;" ")&amp;IF(ISBLANK(H15),,H15&amp;" ")&amp;IF(ISBLANK(I15),,I15&amp;" ")&amp;IF(ISBLANK(J15),,J15&amp;" ")&amp;IF(ISBLANK(K15),,K15&amp;" ")&amp;IF(ISBLANK(L15),,L15&amp;" ")&amp;IF(ISBLANK(M15),,M15&amp;" ")&amp;IF(ISBLANK(N15),,N15&amp;" ")&amp;IF(ISBLANK(O15),,O15&amp;" ")&amp;IF(ISBLANK(P15),,P15&amp;" ")&amp;IF(ISBLANK(Q15),,Q15&amp;" ")&amp;IF(ISBLANK(R15),,R15&amp;" ")&amp;IF(ISBLANK(S15),,S15)</f>
        <v>aa 00 04 E0 01 30 02 17 55</v>
      </c>
      <c r="U15" s="454" t="s">
        <v>685</v>
      </c>
      <c r="V15" s="455"/>
      <c r="W15" s="455"/>
      <c r="X15" s="455"/>
      <c r="Y15" s="455"/>
      <c r="Z15" s="455"/>
      <c r="AA15" s="455"/>
      <c r="AB15" s="456"/>
    </row>
    <row r="16" spans="2:28" ht="15" thickBot="1" x14ac:dyDescent="0.3">
      <c r="B16" s="202" t="s">
        <v>251</v>
      </c>
      <c r="C16" s="75" t="s">
        <v>256</v>
      </c>
      <c r="D16" s="46" t="str">
        <f t="shared" si="5"/>
        <v>04</v>
      </c>
      <c r="E16" s="76" t="s">
        <v>689</v>
      </c>
      <c r="F16" s="76" t="s">
        <v>684</v>
      </c>
      <c r="G16" s="76" t="s">
        <v>683</v>
      </c>
      <c r="H16" s="278" t="s">
        <v>684</v>
      </c>
      <c r="I16" s="278"/>
      <c r="J16" s="278"/>
      <c r="K16" s="278"/>
      <c r="L16" s="278"/>
      <c r="M16" s="278"/>
      <c r="N16" s="278"/>
      <c r="O16" s="278"/>
      <c r="P16" s="278"/>
      <c r="Q16" s="278"/>
      <c r="R16" s="85" t="str">
        <f t="shared" si="6"/>
        <v>18</v>
      </c>
      <c r="S16" s="84" t="s">
        <v>5</v>
      </c>
      <c r="T16" s="49" t="str">
        <f t="shared" si="7"/>
        <v>aa 00 04 E0 02 30 02 18 55</v>
      </c>
      <c r="U16" s="454" t="s">
        <v>686</v>
      </c>
      <c r="V16" s="455"/>
      <c r="W16" s="455"/>
      <c r="X16" s="455"/>
      <c r="Y16" s="455"/>
      <c r="Z16" s="455"/>
      <c r="AA16" s="455"/>
      <c r="AB16" s="456"/>
    </row>
  </sheetData>
  <mergeCells count="12">
    <mergeCell ref="U14:AB14"/>
    <mergeCell ref="U15:AB15"/>
    <mergeCell ref="U16:AB16"/>
    <mergeCell ref="U10:AB10"/>
    <mergeCell ref="AA12:AB12"/>
    <mergeCell ref="AA11:AB11"/>
    <mergeCell ref="B2:AB2"/>
    <mergeCell ref="B3:S3"/>
    <mergeCell ref="U3:X3"/>
    <mergeCell ref="Y3:AB3"/>
    <mergeCell ref="H4:Q4"/>
    <mergeCell ref="U4:AB4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AC55"/>
  <sheetViews>
    <sheetView topLeftCell="H19" zoomScale="85" zoomScaleNormal="85" workbookViewId="0">
      <selection activeCell="AF21" sqref="AF21"/>
    </sheetView>
  </sheetViews>
  <sheetFormatPr defaultRowHeight="14.4" x14ac:dyDescent="0.25"/>
  <cols>
    <col min="1" max="20" width="3.6640625" customWidth="1"/>
    <col min="21" max="21" width="30.6640625" customWidth="1"/>
    <col min="22" max="29" width="8.6640625" customWidth="1"/>
  </cols>
  <sheetData>
    <row r="1" spans="1:29" ht="22.2" x14ac:dyDescent="0.25">
      <c r="A1" s="536" t="s">
        <v>94</v>
      </c>
      <c r="B1" s="536"/>
      <c r="C1" s="536"/>
      <c r="D1" s="536"/>
      <c r="E1" s="536"/>
      <c r="F1" s="536"/>
      <c r="G1" s="536"/>
      <c r="H1" s="536"/>
      <c r="I1" s="536"/>
      <c r="J1" s="536"/>
      <c r="K1" s="536"/>
      <c r="L1" s="536"/>
      <c r="M1" s="536"/>
      <c r="N1" s="536"/>
      <c r="O1" s="536"/>
      <c r="P1" s="536"/>
      <c r="Q1" s="536"/>
      <c r="R1" s="536"/>
      <c r="S1" s="536"/>
      <c r="T1" s="536"/>
      <c r="U1" s="536"/>
      <c r="V1" s="536"/>
      <c r="W1" s="536"/>
      <c r="X1" s="536"/>
      <c r="Y1" s="536"/>
      <c r="Z1" s="536"/>
      <c r="AA1" s="536"/>
      <c r="AB1" s="536"/>
      <c r="AC1" s="536"/>
    </row>
    <row r="2" spans="1:29" x14ac:dyDescent="0.25">
      <c r="A2" s="16" t="s">
        <v>77</v>
      </c>
      <c r="B2" s="17" t="s">
        <v>78</v>
      </c>
      <c r="C2" s="98" t="s">
        <v>10</v>
      </c>
      <c r="D2" s="98" t="s">
        <v>79</v>
      </c>
      <c r="E2" s="74" t="s">
        <v>80</v>
      </c>
      <c r="F2" s="74" t="s">
        <v>11</v>
      </c>
      <c r="G2" s="564"/>
      <c r="H2" s="564"/>
      <c r="I2" s="564"/>
      <c r="J2" s="564"/>
      <c r="K2" s="564"/>
      <c r="L2" s="564"/>
      <c r="M2" s="564"/>
      <c r="N2" s="564"/>
      <c r="O2" s="564"/>
      <c r="P2" s="564"/>
      <c r="Q2" s="564"/>
      <c r="R2" s="564"/>
      <c r="S2" s="98" t="s">
        <v>81</v>
      </c>
      <c r="T2" s="98" t="s">
        <v>82</v>
      </c>
      <c r="U2" s="15" t="s">
        <v>84</v>
      </c>
      <c r="V2" s="569" t="s">
        <v>6</v>
      </c>
      <c r="W2" s="569"/>
      <c r="X2" s="569"/>
      <c r="Y2" s="569"/>
      <c r="Z2" s="569"/>
      <c r="AA2" s="569"/>
      <c r="AB2" s="569"/>
      <c r="AC2" s="569"/>
    </row>
    <row r="3" spans="1:29" x14ac:dyDescent="0.25">
      <c r="A3" s="16"/>
      <c r="B3" s="17"/>
      <c r="C3" s="98"/>
      <c r="D3" s="98"/>
      <c r="E3" s="98"/>
      <c r="F3" s="98"/>
      <c r="G3" s="564" t="s">
        <v>95</v>
      </c>
      <c r="H3" s="564"/>
      <c r="I3" s="564"/>
      <c r="J3" s="564"/>
      <c r="K3" s="564"/>
      <c r="L3" s="564"/>
      <c r="M3" s="564"/>
      <c r="N3" s="564"/>
      <c r="O3" s="564"/>
      <c r="P3" s="564"/>
      <c r="Q3" s="564"/>
      <c r="R3" s="564"/>
      <c r="S3" s="98"/>
      <c r="T3" s="98"/>
      <c r="U3" s="103"/>
      <c r="V3" s="23" t="s">
        <v>95</v>
      </c>
      <c r="W3" s="569"/>
      <c r="X3" s="569"/>
      <c r="Y3" s="569"/>
      <c r="Z3" s="569"/>
      <c r="AA3" s="569"/>
      <c r="AB3" s="569"/>
      <c r="AC3" s="569"/>
    </row>
    <row r="4" spans="1:29" x14ac:dyDescent="0.25">
      <c r="A4" s="18" t="s">
        <v>0</v>
      </c>
      <c r="B4" s="18" t="s">
        <v>98</v>
      </c>
      <c r="C4" s="18" t="s">
        <v>9</v>
      </c>
      <c r="D4" s="19" t="s">
        <v>70</v>
      </c>
      <c r="E4" s="19" t="s">
        <v>1</v>
      </c>
      <c r="F4" s="19" t="s">
        <v>1</v>
      </c>
      <c r="G4" s="562" t="str">
        <f>LEFT(DEC2HEX(V4,4),2)</f>
        <v>00</v>
      </c>
      <c r="H4" s="562"/>
      <c r="I4" s="562"/>
      <c r="J4" s="562"/>
      <c r="K4" s="562"/>
      <c r="L4" s="562"/>
      <c r="M4" s="562" t="str">
        <f>RIGHT(DEC2HEX(V4,4),2)</f>
        <v>0A</v>
      </c>
      <c r="N4" s="562"/>
      <c r="O4" s="562"/>
      <c r="P4" s="562"/>
      <c r="Q4" s="562"/>
      <c r="R4" s="562"/>
      <c r="S4" s="18" t="str">
        <f>DEC2HEX(MOD(HEX2DEC(B4)+HEX2DEC(C4)+HEX2DEC(D4)+HEX2DEC(E4)+HEX2DEC(F4)+HEX2DEC(G4)+HEX2DEC(H4)+HEX2DEC(I4)+HEX2DEC(J4)+HEX2DEC(K4)+HEX2DEC(L4)+HEX2DEC(M4)+HEX2DEC(R4),256),2)</f>
        <v>60</v>
      </c>
      <c r="T4" s="18" t="s">
        <v>5</v>
      </c>
      <c r="U4" s="12" t="str">
        <f>IF(ISBLANK(A4),,A4&amp;" ")&amp;IF(ISBLANK(B4),,B4&amp;" ")&amp;IF(ISBLANK(C4),,C4&amp;" ")&amp;IF(ISBLANK(D4),,D4&amp;" ")&amp;IF(ISBLANK(E4),,E4&amp;" ")&amp;IF(ISBLANK(F4),,F4&amp;" ")&amp;IF(ISBLANK(G4),,G4&amp;" ")&amp;IF(ISBLANK(H4),,H4&amp;" ")&amp;IF(ISBLANK(I4),,I4&amp;" ")&amp;IF(ISBLANK(J4),,J4&amp;" ")&amp;IF(ISBLANK(K4),,K4&amp;" ")&amp;IF(ISBLANK(L4),,L4&amp;" ")&amp;IF(ISBLANK(M4),,M4&amp;" ")&amp;IF(ISBLANK(N4),,N4&amp;" ")&amp;IF(ISBLANK(O4),,O4&amp;" ")&amp;IF(ISBLANK(P4),,P4&amp;" ")&amp;IF(ISBLANK(Q4),,Q4&amp;" ")&amp;IF(ISBLANK(R4),,R4&amp;" ")&amp;IF(ISBLANK(S4),,S4&amp;" ")&amp;IF(ISBLANK(T4),,T4)</f>
        <v>aa 41 05 10 00 00 00 0A 60 55</v>
      </c>
      <c r="V4" s="24">
        <v>10</v>
      </c>
      <c r="W4" s="473" t="s">
        <v>295</v>
      </c>
      <c r="X4" s="473"/>
      <c r="Y4" s="473"/>
      <c r="Z4" s="473"/>
      <c r="AA4" s="473"/>
      <c r="AB4" s="473"/>
      <c r="AC4" s="473"/>
    </row>
    <row r="5" spans="1:29" x14ac:dyDescent="0.25">
      <c r="A5" s="18"/>
      <c r="B5" s="18"/>
      <c r="C5" s="18"/>
      <c r="D5" s="19"/>
      <c r="E5" s="19"/>
      <c r="F5" s="19"/>
      <c r="G5" s="564" t="s">
        <v>83</v>
      </c>
      <c r="H5" s="564"/>
      <c r="I5" s="564"/>
      <c r="J5" s="564"/>
      <c r="K5" s="564"/>
      <c r="L5" s="564"/>
      <c r="M5" s="564"/>
      <c r="N5" s="564"/>
      <c r="O5" s="564" t="s">
        <v>294</v>
      </c>
      <c r="P5" s="564"/>
      <c r="Q5" s="564" t="s">
        <v>96</v>
      </c>
      <c r="R5" s="564"/>
      <c r="S5" s="18"/>
      <c r="T5" s="18"/>
      <c r="U5" s="35"/>
      <c r="V5" s="26" t="s">
        <v>340</v>
      </c>
      <c r="W5" s="41" t="s">
        <v>101</v>
      </c>
      <c r="X5" s="473"/>
      <c r="Y5" s="473"/>
      <c r="Z5" s="473"/>
      <c r="AA5" s="473"/>
      <c r="AB5" s="473"/>
      <c r="AC5" s="473"/>
    </row>
    <row r="6" spans="1:29" x14ac:dyDescent="0.25">
      <c r="A6" s="18" t="s">
        <v>0</v>
      </c>
      <c r="B6" s="18" t="s">
        <v>99</v>
      </c>
      <c r="C6" s="18" t="s">
        <v>93</v>
      </c>
      <c r="D6" s="19" t="s">
        <v>3</v>
      </c>
      <c r="E6" s="19" t="s">
        <v>37</v>
      </c>
      <c r="F6" s="19" t="s">
        <v>1</v>
      </c>
      <c r="G6" s="99" t="s">
        <v>343</v>
      </c>
      <c r="H6" s="99"/>
      <c r="I6" s="99"/>
      <c r="J6" s="99"/>
      <c r="K6" s="99"/>
      <c r="L6" s="99"/>
      <c r="M6" s="99"/>
      <c r="N6" s="99"/>
      <c r="O6" s="99" t="str">
        <f t="shared" ref="O6:O45" si="0">LEFT(DEC2HEX(V6,4),2)</f>
        <v>00</v>
      </c>
      <c r="P6" s="99" t="str">
        <f t="shared" ref="P6:P45" si="1">RIGHT(DEC2HEX(V6,4),2)</f>
        <v>64</v>
      </c>
      <c r="Q6" s="99" t="str">
        <f t="shared" ref="Q6:Q45" si="2">LEFT(DEC2HEX(W6,4),2)</f>
        <v>00</v>
      </c>
      <c r="R6" s="99" t="str">
        <f t="shared" ref="R6:R45" si="3">RIGHT(DEC2HEX(W6,4),2)</f>
        <v>01</v>
      </c>
      <c r="S6" s="18" t="str">
        <f t="shared" ref="S6:S45" si="4">DEC2HEX(MOD(HEX2DEC(B6)+HEX2DEC(C6)+HEX2DEC(D6)+HEX2DEC(E6)+HEX2DEC(F6)+HEX2DEC(G6)+HEX2DEC(H6)+HEX2DEC(I6)+HEX2DEC(J6)+HEX2DEC(K6)+HEX2DEC(L6)+HEX2DEC(M6)+HEX2DEC(N6)+HEX2DEC(O6)+HEX2DEC(P6)+HEX2DEC(Q6)+HEX2DEC(R6),256),2)</f>
        <v>DB</v>
      </c>
      <c r="T6" s="18" t="s">
        <v>5</v>
      </c>
      <c r="U6" s="12" t="str">
        <f t="shared" ref="U6:U25" si="5">IF(ISBLANK(A6),,A6&amp;" ")&amp;IF(ISBLANK(B6),,B6&amp;" ")&amp;IF(ISBLANK(C6),,C6&amp;"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")&amp;IF(ISBLANK(O6),,O6&amp;" ")&amp;IF(ISBLANK(P6),,P6&amp;" ")&amp;IF(ISBLANK(Q6),,Q6&amp;" ")&amp;IF(ISBLANK(R6),,R6&amp;" ")&amp;IF(ISBLANK(S6),,S6&amp;" ")&amp;IF(ISBLANK(T6),,T6)</f>
        <v>aa 42 08 21 0A 00 01 00 64 00 01 DB 55</v>
      </c>
      <c r="V6" s="41">
        <v>100</v>
      </c>
      <c r="W6" s="41">
        <v>1</v>
      </c>
      <c r="X6" s="473" t="s">
        <v>341</v>
      </c>
      <c r="Y6" s="473"/>
      <c r="Z6" s="473"/>
      <c r="AA6" s="473"/>
      <c r="AB6" s="473"/>
      <c r="AC6" s="473"/>
    </row>
    <row r="7" spans="1:29" x14ac:dyDescent="0.25">
      <c r="A7" s="18" t="s">
        <v>0</v>
      </c>
      <c r="B7" s="18" t="s">
        <v>99</v>
      </c>
      <c r="C7" s="18" t="s">
        <v>345</v>
      </c>
      <c r="D7" s="19" t="s">
        <v>3</v>
      </c>
      <c r="E7" s="19" t="s">
        <v>37</v>
      </c>
      <c r="F7" s="19" t="s">
        <v>1</v>
      </c>
      <c r="G7" s="99" t="s">
        <v>344</v>
      </c>
      <c r="H7" s="99"/>
      <c r="I7" s="99"/>
      <c r="J7" s="99"/>
      <c r="K7" s="99"/>
      <c r="L7" s="99"/>
      <c r="M7" s="99"/>
      <c r="N7" s="99"/>
      <c r="O7" s="99" t="str">
        <f t="shared" si="0"/>
        <v>00</v>
      </c>
      <c r="P7" s="99" t="str">
        <f t="shared" si="1"/>
        <v>64</v>
      </c>
      <c r="Q7" s="99" t="str">
        <f t="shared" si="2"/>
        <v>00</v>
      </c>
      <c r="R7" s="99" t="str">
        <f t="shared" si="3"/>
        <v>02</v>
      </c>
      <c r="S7" s="18" t="str">
        <f t="shared" si="4"/>
        <v>DB</v>
      </c>
      <c r="T7" s="18" t="s">
        <v>5</v>
      </c>
      <c r="U7" s="12" t="str">
        <f t="shared" si="5"/>
        <v>aa 42 08 21 0A 00 00 00 64 00 02 DB 55</v>
      </c>
      <c r="V7" s="41">
        <v>100</v>
      </c>
      <c r="W7" s="41">
        <f>W6+1</f>
        <v>2</v>
      </c>
      <c r="X7" s="473" t="s">
        <v>342</v>
      </c>
      <c r="Y7" s="473"/>
      <c r="Z7" s="473"/>
      <c r="AA7" s="473"/>
      <c r="AB7" s="473"/>
      <c r="AC7" s="473"/>
    </row>
    <row r="8" spans="1:29" x14ac:dyDescent="0.25">
      <c r="A8" s="18" t="s">
        <v>0</v>
      </c>
      <c r="B8" s="18" t="s">
        <v>99</v>
      </c>
      <c r="C8" s="18" t="s">
        <v>345</v>
      </c>
      <c r="D8" s="19" t="s">
        <v>169</v>
      </c>
      <c r="E8" s="19" t="s">
        <v>14</v>
      </c>
      <c r="F8" s="19" t="s">
        <v>256</v>
      </c>
      <c r="G8" s="99" t="s">
        <v>14</v>
      </c>
      <c r="H8" s="99"/>
      <c r="I8" s="99"/>
      <c r="J8" s="99"/>
      <c r="K8" s="99"/>
      <c r="L8" s="99"/>
      <c r="M8" s="99"/>
      <c r="N8" s="99"/>
      <c r="O8" s="99" t="str">
        <f t="shared" si="0"/>
        <v>00</v>
      </c>
      <c r="P8" s="99" t="str">
        <f t="shared" si="1"/>
        <v>64</v>
      </c>
      <c r="Q8" s="99" t="str">
        <f t="shared" si="2"/>
        <v>00</v>
      </c>
      <c r="R8" s="99" t="str">
        <f t="shared" si="3"/>
        <v>03</v>
      </c>
      <c r="S8" s="18" t="str">
        <f t="shared" si="4"/>
        <v>D5</v>
      </c>
      <c r="T8" s="18" t="s">
        <v>5</v>
      </c>
      <c r="U8" s="12" t="str">
        <f t="shared" si="5"/>
        <v>aa 42 08 22 01 00 01 00 64 00 03 D5 55</v>
      </c>
      <c r="V8" s="41">
        <v>100</v>
      </c>
      <c r="W8" s="41">
        <f t="shared" ref="W8:W19" si="6">W7+1</f>
        <v>3</v>
      </c>
      <c r="X8" s="473" t="s">
        <v>347</v>
      </c>
      <c r="Y8" s="473"/>
      <c r="Z8" s="473"/>
      <c r="AA8" s="473"/>
      <c r="AB8" s="473"/>
      <c r="AC8" s="473"/>
    </row>
    <row r="9" spans="1:29" x14ac:dyDescent="0.25">
      <c r="A9" s="18" t="s">
        <v>0</v>
      </c>
      <c r="B9" s="18" t="s">
        <v>99</v>
      </c>
      <c r="C9" s="18" t="s">
        <v>93</v>
      </c>
      <c r="D9" s="19" t="s">
        <v>14</v>
      </c>
      <c r="E9" s="19" t="s">
        <v>256</v>
      </c>
      <c r="F9" s="19" t="s">
        <v>256</v>
      </c>
      <c r="G9" s="99" t="s">
        <v>13</v>
      </c>
      <c r="H9" s="99"/>
      <c r="I9" s="99"/>
      <c r="J9" s="99"/>
      <c r="K9" s="99"/>
      <c r="L9" s="99"/>
      <c r="M9" s="99"/>
      <c r="N9" s="99"/>
      <c r="O9" s="99" t="str">
        <f t="shared" si="0"/>
        <v>00</v>
      </c>
      <c r="P9" s="99" t="str">
        <f t="shared" si="1"/>
        <v>64</v>
      </c>
      <c r="Q9" s="99" t="str">
        <f t="shared" si="2"/>
        <v>00</v>
      </c>
      <c r="R9" s="99" t="str">
        <f t="shared" si="3"/>
        <v>04</v>
      </c>
      <c r="S9" s="18" t="str">
        <f t="shared" si="4"/>
        <v>B6</v>
      </c>
      <c r="T9" s="18" t="s">
        <v>5</v>
      </c>
      <c r="U9" s="12" t="str">
        <f t="shared" si="5"/>
        <v>aa 42 08 01 00 00 03 00 64 00 04 B6 55</v>
      </c>
      <c r="V9" s="41">
        <v>100</v>
      </c>
      <c r="W9" s="41">
        <f t="shared" si="6"/>
        <v>4</v>
      </c>
      <c r="X9" s="473" t="s">
        <v>350</v>
      </c>
      <c r="Y9" s="473"/>
      <c r="Z9" s="473"/>
      <c r="AA9" s="473"/>
      <c r="AB9" s="473"/>
      <c r="AC9" s="473"/>
    </row>
    <row r="10" spans="1:29" x14ac:dyDescent="0.25">
      <c r="A10" s="18" t="s">
        <v>0</v>
      </c>
      <c r="B10" s="18" t="s">
        <v>99</v>
      </c>
      <c r="C10" s="18" t="s">
        <v>45</v>
      </c>
      <c r="D10" s="19" t="s">
        <v>12</v>
      </c>
      <c r="E10" s="19" t="s">
        <v>346</v>
      </c>
      <c r="F10" s="19" t="s">
        <v>1</v>
      </c>
      <c r="G10" s="99"/>
      <c r="H10" s="99"/>
      <c r="I10" s="99"/>
      <c r="J10" s="99"/>
      <c r="K10" s="99"/>
      <c r="L10" s="99"/>
      <c r="M10" s="99"/>
      <c r="N10" s="99"/>
      <c r="O10" s="99" t="str">
        <f t="shared" si="0"/>
        <v>00</v>
      </c>
      <c r="P10" s="99" t="str">
        <f t="shared" si="1"/>
        <v>64</v>
      </c>
      <c r="Q10" s="99" t="str">
        <f t="shared" si="2"/>
        <v>00</v>
      </c>
      <c r="R10" s="99" t="str">
        <f t="shared" si="3"/>
        <v>05</v>
      </c>
      <c r="S10" s="18" t="str">
        <f t="shared" si="4"/>
        <v>94</v>
      </c>
      <c r="T10" s="18" t="s">
        <v>5</v>
      </c>
      <c r="U10" s="12" t="str">
        <f t="shared" si="5"/>
        <v>aa 42 07 E1 01 00 00 64 00 05 94 55</v>
      </c>
      <c r="V10" s="41">
        <v>100</v>
      </c>
      <c r="W10" s="41">
        <f t="shared" si="6"/>
        <v>5</v>
      </c>
      <c r="X10" s="473" t="s">
        <v>349</v>
      </c>
      <c r="Y10" s="473"/>
      <c r="Z10" s="473"/>
      <c r="AA10" s="473"/>
      <c r="AB10" s="473"/>
      <c r="AC10" s="473"/>
    </row>
    <row r="11" spans="1:29" x14ac:dyDescent="0.25">
      <c r="A11" s="18" t="s">
        <v>0</v>
      </c>
      <c r="B11" s="18" t="s">
        <v>99</v>
      </c>
      <c r="C11" s="18" t="s">
        <v>93</v>
      </c>
      <c r="D11" s="19" t="s">
        <v>169</v>
      </c>
      <c r="E11" s="19" t="s">
        <v>14</v>
      </c>
      <c r="F11" s="19" t="s">
        <v>256</v>
      </c>
      <c r="G11" s="99" t="s">
        <v>14</v>
      </c>
      <c r="H11" s="99"/>
      <c r="I11" s="99"/>
      <c r="J11" s="99"/>
      <c r="K11" s="99"/>
      <c r="L11" s="99"/>
      <c r="M11" s="99"/>
      <c r="N11" s="99"/>
      <c r="O11" s="99" t="str">
        <f t="shared" si="0"/>
        <v>00</v>
      </c>
      <c r="P11" s="99" t="str">
        <f t="shared" si="1"/>
        <v>64</v>
      </c>
      <c r="Q11" s="99" t="str">
        <f t="shared" si="2"/>
        <v>00</v>
      </c>
      <c r="R11" s="99" t="str">
        <f t="shared" si="3"/>
        <v>06</v>
      </c>
      <c r="S11" s="18" t="str">
        <f t="shared" si="4"/>
        <v>D8</v>
      </c>
      <c r="T11" s="18" t="s">
        <v>5</v>
      </c>
      <c r="U11" s="12" t="str">
        <f t="shared" si="5"/>
        <v>aa 42 08 22 01 00 01 00 64 00 06 D8 55</v>
      </c>
      <c r="V11" s="41">
        <v>100</v>
      </c>
      <c r="W11" s="41">
        <f t="shared" si="6"/>
        <v>6</v>
      </c>
      <c r="X11" s="473" t="s">
        <v>348</v>
      </c>
      <c r="Y11" s="473"/>
      <c r="Z11" s="473"/>
      <c r="AA11" s="473"/>
      <c r="AB11" s="473"/>
      <c r="AC11" s="473"/>
    </row>
    <row r="12" spans="1:29" x14ac:dyDescent="0.25">
      <c r="A12" s="18" t="s">
        <v>0</v>
      </c>
      <c r="B12" s="18" t="s">
        <v>99</v>
      </c>
      <c r="C12" s="18" t="s">
        <v>93</v>
      </c>
      <c r="D12" s="19" t="s">
        <v>3</v>
      </c>
      <c r="E12" s="19" t="s">
        <v>351</v>
      </c>
      <c r="F12" s="19" t="s">
        <v>1</v>
      </c>
      <c r="G12" s="99" t="s">
        <v>343</v>
      </c>
      <c r="H12" s="99"/>
      <c r="I12" s="99"/>
      <c r="J12" s="99"/>
      <c r="K12" s="99"/>
      <c r="L12" s="99"/>
      <c r="M12" s="99"/>
      <c r="N12" s="99"/>
      <c r="O12" s="99" t="str">
        <f t="shared" si="0"/>
        <v>00</v>
      </c>
      <c r="P12" s="99" t="str">
        <f t="shared" si="1"/>
        <v>64</v>
      </c>
      <c r="Q12" s="99" t="str">
        <f t="shared" si="2"/>
        <v>00</v>
      </c>
      <c r="R12" s="99" t="str">
        <f t="shared" si="3"/>
        <v>07</v>
      </c>
      <c r="S12" s="18" t="str">
        <f t="shared" si="4"/>
        <v>E2</v>
      </c>
      <c r="T12" s="18" t="s">
        <v>5</v>
      </c>
      <c r="U12" s="12" t="str">
        <f t="shared" si="5"/>
        <v>aa 42 08 21 0B 00 01 00 64 00 07 E2 55</v>
      </c>
      <c r="V12" s="41">
        <v>100</v>
      </c>
      <c r="W12" s="41">
        <f t="shared" si="6"/>
        <v>7</v>
      </c>
      <c r="X12" s="473" t="s">
        <v>356</v>
      </c>
      <c r="Y12" s="473"/>
      <c r="Z12" s="473"/>
      <c r="AA12" s="473"/>
      <c r="AB12" s="473"/>
      <c r="AC12" s="473"/>
    </row>
    <row r="13" spans="1:29" x14ac:dyDescent="0.25">
      <c r="A13" s="18" t="s">
        <v>0</v>
      </c>
      <c r="B13" s="18" t="s">
        <v>99</v>
      </c>
      <c r="C13" s="18" t="s">
        <v>345</v>
      </c>
      <c r="D13" s="19" t="s">
        <v>3</v>
      </c>
      <c r="E13" s="19" t="s">
        <v>351</v>
      </c>
      <c r="F13" s="19" t="s">
        <v>1</v>
      </c>
      <c r="G13" s="99" t="s">
        <v>344</v>
      </c>
      <c r="H13" s="99"/>
      <c r="I13" s="99"/>
      <c r="J13" s="99"/>
      <c r="K13" s="99"/>
      <c r="L13" s="99"/>
      <c r="M13" s="99"/>
      <c r="N13" s="99"/>
      <c r="O13" s="99" t="str">
        <f t="shared" si="0"/>
        <v>00</v>
      </c>
      <c r="P13" s="99" t="str">
        <f t="shared" si="1"/>
        <v>64</v>
      </c>
      <c r="Q13" s="99" t="str">
        <f t="shared" si="2"/>
        <v>00</v>
      </c>
      <c r="R13" s="99" t="str">
        <f t="shared" si="3"/>
        <v>08</v>
      </c>
      <c r="S13" s="18" t="str">
        <f t="shared" si="4"/>
        <v>E2</v>
      </c>
      <c r="T13" s="18" t="s">
        <v>5</v>
      </c>
      <c r="U13" s="12" t="str">
        <f t="shared" si="5"/>
        <v>aa 42 08 21 0B 00 00 00 64 00 08 E2 55</v>
      </c>
      <c r="V13" s="41">
        <v>100</v>
      </c>
      <c r="W13" s="41">
        <f t="shared" si="6"/>
        <v>8</v>
      </c>
      <c r="X13" s="473" t="s">
        <v>357</v>
      </c>
      <c r="Y13" s="473"/>
      <c r="Z13" s="473"/>
      <c r="AA13" s="473"/>
      <c r="AB13" s="473"/>
      <c r="AC13" s="473"/>
    </row>
    <row r="14" spans="1:29" s="93" customFormat="1" x14ac:dyDescent="0.25">
      <c r="A14" s="18" t="s">
        <v>0</v>
      </c>
      <c r="B14" s="18" t="s">
        <v>99</v>
      </c>
      <c r="C14" s="18" t="s">
        <v>93</v>
      </c>
      <c r="D14" s="19" t="s">
        <v>3</v>
      </c>
      <c r="E14" s="19" t="s">
        <v>352</v>
      </c>
      <c r="F14" s="19" t="s">
        <v>1</v>
      </c>
      <c r="G14" s="99" t="s">
        <v>343</v>
      </c>
      <c r="H14" s="99"/>
      <c r="I14" s="99"/>
      <c r="J14" s="99"/>
      <c r="K14" s="99"/>
      <c r="L14" s="99"/>
      <c r="M14" s="99"/>
      <c r="N14" s="99"/>
      <c r="O14" s="99" t="str">
        <f t="shared" si="0"/>
        <v>00</v>
      </c>
      <c r="P14" s="99" t="str">
        <f t="shared" si="1"/>
        <v>64</v>
      </c>
      <c r="Q14" s="99" t="str">
        <f t="shared" si="2"/>
        <v>00</v>
      </c>
      <c r="R14" s="99" t="str">
        <f t="shared" si="3"/>
        <v>09</v>
      </c>
      <c r="S14" s="18" t="str">
        <f t="shared" si="4"/>
        <v>E5</v>
      </c>
      <c r="T14" s="18" t="s">
        <v>5</v>
      </c>
      <c r="U14" s="12" t="str">
        <f t="shared" si="5"/>
        <v>aa 42 08 21 0C 00 01 00 64 00 09 E5 55</v>
      </c>
      <c r="V14" s="41">
        <v>100</v>
      </c>
      <c r="W14" s="41">
        <f t="shared" si="6"/>
        <v>9</v>
      </c>
      <c r="X14" s="473" t="s">
        <v>366</v>
      </c>
      <c r="Y14" s="473"/>
      <c r="Z14" s="473"/>
      <c r="AA14" s="473"/>
      <c r="AB14" s="473"/>
      <c r="AC14" s="473"/>
    </row>
    <row r="15" spans="1:29" s="93" customFormat="1" x14ac:dyDescent="0.25">
      <c r="A15" s="18" t="s">
        <v>0</v>
      </c>
      <c r="B15" s="18" t="s">
        <v>99</v>
      </c>
      <c r="C15" s="18" t="s">
        <v>345</v>
      </c>
      <c r="D15" s="19" t="s">
        <v>3</v>
      </c>
      <c r="E15" s="19" t="s">
        <v>352</v>
      </c>
      <c r="F15" s="19" t="s">
        <v>1</v>
      </c>
      <c r="G15" s="99" t="s">
        <v>344</v>
      </c>
      <c r="H15" s="99"/>
      <c r="I15" s="99"/>
      <c r="J15" s="99"/>
      <c r="K15" s="99"/>
      <c r="L15" s="99"/>
      <c r="M15" s="99"/>
      <c r="N15" s="99"/>
      <c r="O15" s="99" t="str">
        <f t="shared" si="0"/>
        <v>00</v>
      </c>
      <c r="P15" s="99" t="str">
        <f t="shared" si="1"/>
        <v>64</v>
      </c>
      <c r="Q15" s="99" t="str">
        <f t="shared" si="2"/>
        <v>00</v>
      </c>
      <c r="R15" s="99" t="str">
        <f t="shared" si="3"/>
        <v>0A</v>
      </c>
      <c r="S15" s="18" t="str">
        <f t="shared" si="4"/>
        <v>E5</v>
      </c>
      <c r="T15" s="18" t="s">
        <v>5</v>
      </c>
      <c r="U15" s="12" t="str">
        <f t="shared" si="5"/>
        <v>aa 42 08 21 0C 00 00 00 64 00 0A E5 55</v>
      </c>
      <c r="V15" s="41">
        <v>100</v>
      </c>
      <c r="W15" s="41">
        <f t="shared" si="6"/>
        <v>10</v>
      </c>
      <c r="X15" s="473" t="s">
        <v>358</v>
      </c>
      <c r="Y15" s="473"/>
      <c r="Z15" s="473"/>
      <c r="AA15" s="473"/>
      <c r="AB15" s="473"/>
      <c r="AC15" s="473"/>
    </row>
    <row r="16" spans="1:29" s="93" customFormat="1" x14ac:dyDescent="0.25">
      <c r="A16" s="18" t="s">
        <v>0</v>
      </c>
      <c r="B16" s="18" t="s">
        <v>99</v>
      </c>
      <c r="C16" s="18" t="s">
        <v>93</v>
      </c>
      <c r="D16" s="19" t="s">
        <v>3</v>
      </c>
      <c r="E16" s="19" t="s">
        <v>353</v>
      </c>
      <c r="F16" s="19" t="s">
        <v>1</v>
      </c>
      <c r="G16" s="99" t="s">
        <v>343</v>
      </c>
      <c r="H16" s="99"/>
      <c r="I16" s="99"/>
      <c r="J16" s="99"/>
      <c r="K16" s="99"/>
      <c r="L16" s="99"/>
      <c r="M16" s="99"/>
      <c r="N16" s="99"/>
      <c r="O16" s="99" t="str">
        <f t="shared" si="0"/>
        <v>00</v>
      </c>
      <c r="P16" s="99" t="str">
        <f t="shared" si="1"/>
        <v>C8</v>
      </c>
      <c r="Q16" s="99" t="str">
        <f t="shared" si="2"/>
        <v>00</v>
      </c>
      <c r="R16" s="99" t="str">
        <f t="shared" si="3"/>
        <v>0B</v>
      </c>
      <c r="S16" s="18" t="str">
        <f t="shared" si="4"/>
        <v>4C</v>
      </c>
      <c r="T16" s="18" t="s">
        <v>5</v>
      </c>
      <c r="U16" s="12" t="str">
        <f t="shared" si="5"/>
        <v>aa 42 08 21 0D 00 01 00 C8 00 0B 4C 55</v>
      </c>
      <c r="V16" s="41">
        <f>V15+100</f>
        <v>200</v>
      </c>
      <c r="W16" s="41">
        <f t="shared" si="6"/>
        <v>11</v>
      </c>
      <c r="X16" s="473" t="s">
        <v>359</v>
      </c>
      <c r="Y16" s="473"/>
      <c r="Z16" s="473"/>
      <c r="AA16" s="473"/>
      <c r="AB16" s="473"/>
      <c r="AC16" s="473"/>
    </row>
    <row r="17" spans="1:29" s="93" customFormat="1" x14ac:dyDescent="0.25">
      <c r="A17" s="18" t="s">
        <v>0</v>
      </c>
      <c r="B17" s="18" t="s">
        <v>99</v>
      </c>
      <c r="C17" s="18" t="s">
        <v>345</v>
      </c>
      <c r="D17" s="19" t="s">
        <v>3</v>
      </c>
      <c r="E17" s="19" t="s">
        <v>353</v>
      </c>
      <c r="F17" s="19" t="s">
        <v>1</v>
      </c>
      <c r="G17" s="99" t="s">
        <v>344</v>
      </c>
      <c r="H17" s="99"/>
      <c r="I17" s="99"/>
      <c r="J17" s="99"/>
      <c r="K17" s="99"/>
      <c r="L17" s="99"/>
      <c r="M17" s="99"/>
      <c r="N17" s="99"/>
      <c r="O17" s="99" t="str">
        <f t="shared" si="0"/>
        <v>01</v>
      </c>
      <c r="P17" s="99" t="str">
        <f t="shared" si="1"/>
        <v>2C</v>
      </c>
      <c r="Q17" s="99" t="str">
        <f t="shared" si="2"/>
        <v>00</v>
      </c>
      <c r="R17" s="99" t="str">
        <f t="shared" si="3"/>
        <v>0C</v>
      </c>
      <c r="S17" s="18" t="str">
        <f t="shared" si="4"/>
        <v>B1</v>
      </c>
      <c r="T17" s="18" t="s">
        <v>5</v>
      </c>
      <c r="U17" s="12" t="str">
        <f t="shared" si="5"/>
        <v>aa 42 08 21 0D 00 00 01 2C 00 0C B1 55</v>
      </c>
      <c r="V17" s="41">
        <f t="shared" ref="V17:V29" si="7">V16+100</f>
        <v>300</v>
      </c>
      <c r="W17" s="41">
        <f t="shared" si="6"/>
        <v>12</v>
      </c>
      <c r="X17" s="473" t="s">
        <v>360</v>
      </c>
      <c r="Y17" s="473"/>
      <c r="Z17" s="473"/>
      <c r="AA17" s="473"/>
      <c r="AB17" s="473"/>
      <c r="AC17" s="473"/>
    </row>
    <row r="18" spans="1:29" s="93" customFormat="1" x14ac:dyDescent="0.25">
      <c r="A18" s="18" t="s">
        <v>0</v>
      </c>
      <c r="B18" s="18" t="s">
        <v>99</v>
      </c>
      <c r="C18" s="18" t="s">
        <v>93</v>
      </c>
      <c r="D18" s="19" t="s">
        <v>3</v>
      </c>
      <c r="E18" s="19" t="s">
        <v>227</v>
      </c>
      <c r="F18" s="19" t="s">
        <v>1</v>
      </c>
      <c r="G18" s="102" t="s">
        <v>4</v>
      </c>
      <c r="H18" s="102"/>
      <c r="I18" s="102"/>
      <c r="J18" s="102"/>
      <c r="K18" s="102"/>
      <c r="L18" s="102"/>
      <c r="M18" s="102"/>
      <c r="N18" s="102"/>
      <c r="O18" s="102" t="str">
        <f t="shared" si="0"/>
        <v>01</v>
      </c>
      <c r="P18" s="102" t="str">
        <f t="shared" si="1"/>
        <v>90</v>
      </c>
      <c r="Q18" s="102" t="str">
        <f t="shared" si="2"/>
        <v>00</v>
      </c>
      <c r="R18" s="102" t="str">
        <f t="shared" si="3"/>
        <v>0D</v>
      </c>
      <c r="S18" s="18" t="str">
        <f t="shared" si="4"/>
        <v>18</v>
      </c>
      <c r="T18" s="18" t="s">
        <v>5</v>
      </c>
      <c r="U18" s="12" t="str">
        <f t="shared" si="5"/>
        <v>aa 42 08 21 0E 00 01 01 90 00 0D 18 55</v>
      </c>
      <c r="V18" s="41">
        <f t="shared" si="7"/>
        <v>400</v>
      </c>
      <c r="W18" s="41">
        <f t="shared" si="6"/>
        <v>13</v>
      </c>
      <c r="X18" s="473" t="s">
        <v>361</v>
      </c>
      <c r="Y18" s="473"/>
      <c r="Z18" s="473"/>
      <c r="AA18" s="473"/>
      <c r="AB18" s="473"/>
      <c r="AC18" s="473"/>
    </row>
    <row r="19" spans="1:29" s="93" customFormat="1" x14ac:dyDescent="0.25">
      <c r="A19" s="18" t="s">
        <v>0</v>
      </c>
      <c r="B19" s="18" t="s">
        <v>99</v>
      </c>
      <c r="C19" s="18" t="s">
        <v>93</v>
      </c>
      <c r="D19" s="19" t="s">
        <v>3</v>
      </c>
      <c r="E19" s="19" t="s">
        <v>355</v>
      </c>
      <c r="F19" s="19" t="s">
        <v>1</v>
      </c>
      <c r="G19" s="102" t="s">
        <v>1</v>
      </c>
      <c r="H19" s="102"/>
      <c r="I19" s="102"/>
      <c r="J19" s="102"/>
      <c r="K19" s="102"/>
      <c r="L19" s="102"/>
      <c r="M19" s="102"/>
      <c r="N19" s="102"/>
      <c r="O19" s="102" t="str">
        <f t="shared" si="0"/>
        <v>01</v>
      </c>
      <c r="P19" s="102" t="str">
        <f t="shared" si="1"/>
        <v>F4</v>
      </c>
      <c r="Q19" s="102" t="str">
        <f t="shared" si="2"/>
        <v>00</v>
      </c>
      <c r="R19" s="102" t="str">
        <f t="shared" si="3"/>
        <v>0E</v>
      </c>
      <c r="S19" s="18" t="str">
        <f t="shared" si="4"/>
        <v>7C</v>
      </c>
      <c r="T19" s="18" t="s">
        <v>5</v>
      </c>
      <c r="U19" s="12" t="str">
        <f t="shared" si="5"/>
        <v>aa 42 08 21 0E 00 00 01 F4 00 0E 7C 55</v>
      </c>
      <c r="V19" s="41">
        <f t="shared" si="7"/>
        <v>500</v>
      </c>
      <c r="W19" s="41">
        <f t="shared" si="6"/>
        <v>14</v>
      </c>
      <c r="X19" s="473" t="s">
        <v>362</v>
      </c>
      <c r="Y19" s="473"/>
      <c r="Z19" s="473"/>
      <c r="AA19" s="473"/>
      <c r="AB19" s="473"/>
      <c r="AC19" s="473"/>
    </row>
    <row r="20" spans="1:29" s="93" customFormat="1" x14ac:dyDescent="0.25">
      <c r="A20" s="18" t="s">
        <v>0</v>
      </c>
      <c r="B20" s="18" t="s">
        <v>99</v>
      </c>
      <c r="C20" s="18" t="s">
        <v>93</v>
      </c>
      <c r="D20" s="19" t="s">
        <v>3</v>
      </c>
      <c r="E20" s="19" t="s">
        <v>363</v>
      </c>
      <c r="F20" s="19" t="s">
        <v>1</v>
      </c>
      <c r="G20" s="102" t="s">
        <v>4</v>
      </c>
      <c r="H20" s="102"/>
      <c r="I20" s="102"/>
      <c r="J20" s="102"/>
      <c r="K20" s="102"/>
      <c r="L20" s="102"/>
      <c r="M20" s="102"/>
      <c r="N20" s="102"/>
      <c r="O20" s="102" t="str">
        <f t="shared" si="0"/>
        <v>02</v>
      </c>
      <c r="P20" s="102" t="str">
        <f t="shared" si="1"/>
        <v>58</v>
      </c>
      <c r="Q20" s="102" t="str">
        <f t="shared" si="2"/>
        <v>00</v>
      </c>
      <c r="R20" s="102" t="str">
        <f t="shared" si="3"/>
        <v>0F</v>
      </c>
      <c r="S20" s="18" t="str">
        <f t="shared" si="4"/>
        <v>E4</v>
      </c>
      <c r="T20" s="18" t="s">
        <v>5</v>
      </c>
      <c r="U20" s="12" t="str">
        <f t="shared" si="5"/>
        <v>aa 42 08 21 0F 00 01 02 58 00 0F E4 55</v>
      </c>
      <c r="V20" s="41">
        <f t="shared" si="7"/>
        <v>600</v>
      </c>
      <c r="W20" s="41">
        <f t="shared" ref="W20:W27" si="8">W19+1</f>
        <v>15</v>
      </c>
      <c r="X20" s="473" t="s">
        <v>364</v>
      </c>
      <c r="Y20" s="473"/>
      <c r="Z20" s="473"/>
      <c r="AA20" s="473"/>
      <c r="AB20" s="473"/>
      <c r="AC20" s="473"/>
    </row>
    <row r="21" spans="1:29" s="93" customFormat="1" x14ac:dyDescent="0.25">
      <c r="A21" s="18" t="s">
        <v>0</v>
      </c>
      <c r="B21" s="18" t="s">
        <v>99</v>
      </c>
      <c r="C21" s="18" t="s">
        <v>93</v>
      </c>
      <c r="D21" s="19" t="s">
        <v>3</v>
      </c>
      <c r="E21" s="19" t="s">
        <v>363</v>
      </c>
      <c r="F21" s="19" t="s">
        <v>1</v>
      </c>
      <c r="G21" s="102" t="s">
        <v>1</v>
      </c>
      <c r="H21" s="102"/>
      <c r="I21" s="102"/>
      <c r="J21" s="102"/>
      <c r="K21" s="102"/>
      <c r="L21" s="102"/>
      <c r="M21" s="102"/>
      <c r="N21" s="102"/>
      <c r="O21" s="102" t="str">
        <f t="shared" si="0"/>
        <v>02</v>
      </c>
      <c r="P21" s="102" t="str">
        <f t="shared" si="1"/>
        <v>BC</v>
      </c>
      <c r="Q21" s="102" t="str">
        <f t="shared" si="2"/>
        <v>00</v>
      </c>
      <c r="R21" s="102" t="str">
        <f t="shared" si="3"/>
        <v>10</v>
      </c>
      <c r="S21" s="18" t="str">
        <f t="shared" si="4"/>
        <v>48</v>
      </c>
      <c r="T21" s="18" t="s">
        <v>5</v>
      </c>
      <c r="U21" s="12" t="str">
        <f t="shared" si="5"/>
        <v>aa 42 08 21 0F 00 00 02 BC 00 10 48 55</v>
      </c>
      <c r="V21" s="41">
        <f t="shared" si="7"/>
        <v>700</v>
      </c>
      <c r="W21" s="41">
        <f t="shared" si="8"/>
        <v>16</v>
      </c>
      <c r="X21" s="473" t="s">
        <v>365</v>
      </c>
      <c r="Y21" s="473"/>
      <c r="Z21" s="473"/>
      <c r="AA21" s="473"/>
      <c r="AB21" s="473"/>
      <c r="AC21" s="473"/>
    </row>
    <row r="22" spans="1:29" s="93" customFormat="1" x14ac:dyDescent="0.25">
      <c r="A22" s="18" t="s">
        <v>0</v>
      </c>
      <c r="B22" s="18" t="s">
        <v>99</v>
      </c>
      <c r="C22" s="18" t="s">
        <v>93</v>
      </c>
      <c r="D22" s="19" t="s">
        <v>3</v>
      </c>
      <c r="E22" s="19" t="s">
        <v>375</v>
      </c>
      <c r="F22" s="19" t="s">
        <v>1</v>
      </c>
      <c r="G22" s="102" t="s">
        <v>4</v>
      </c>
      <c r="H22" s="102"/>
      <c r="I22" s="102"/>
      <c r="J22" s="102"/>
      <c r="K22" s="102"/>
      <c r="L22" s="102"/>
      <c r="M22" s="102"/>
      <c r="N22" s="102"/>
      <c r="O22" s="102" t="str">
        <f t="shared" si="0"/>
        <v>03</v>
      </c>
      <c r="P22" s="102" t="str">
        <f t="shared" si="1"/>
        <v>20</v>
      </c>
      <c r="Q22" s="102" t="str">
        <f t="shared" si="2"/>
        <v>00</v>
      </c>
      <c r="R22" s="102" t="str">
        <f t="shared" si="3"/>
        <v>11</v>
      </c>
      <c r="S22" s="18" t="str">
        <f t="shared" si="4"/>
        <v>B0</v>
      </c>
      <c r="T22" s="18" t="s">
        <v>5</v>
      </c>
      <c r="U22" s="12" t="str">
        <f t="shared" si="5"/>
        <v>aa 42 08 21 10 00 01 03 20 00 11 B0 55</v>
      </c>
      <c r="V22" s="41">
        <f t="shared" si="7"/>
        <v>800</v>
      </c>
      <c r="W22" s="41">
        <f t="shared" si="8"/>
        <v>17</v>
      </c>
      <c r="X22" s="473" t="s">
        <v>367</v>
      </c>
      <c r="Y22" s="473"/>
      <c r="Z22" s="473"/>
      <c r="AA22" s="473"/>
      <c r="AB22" s="473"/>
      <c r="AC22" s="473"/>
    </row>
    <row r="23" spans="1:29" s="93" customFormat="1" x14ac:dyDescent="0.25">
      <c r="A23" s="18" t="s">
        <v>0</v>
      </c>
      <c r="B23" s="18" t="s">
        <v>99</v>
      </c>
      <c r="C23" s="18" t="s">
        <v>93</v>
      </c>
      <c r="D23" s="19" t="s">
        <v>3</v>
      </c>
      <c r="E23" s="19" t="s">
        <v>375</v>
      </c>
      <c r="F23" s="19" t="s">
        <v>1</v>
      </c>
      <c r="G23" s="102" t="s">
        <v>1</v>
      </c>
      <c r="H23" s="102"/>
      <c r="I23" s="102"/>
      <c r="J23" s="102"/>
      <c r="K23" s="102"/>
      <c r="L23" s="102"/>
      <c r="M23" s="102"/>
      <c r="N23" s="102"/>
      <c r="O23" s="102" t="str">
        <f t="shared" si="0"/>
        <v>03</v>
      </c>
      <c r="P23" s="102" t="str">
        <f t="shared" si="1"/>
        <v>84</v>
      </c>
      <c r="Q23" s="102" t="str">
        <f t="shared" si="2"/>
        <v>00</v>
      </c>
      <c r="R23" s="102" t="str">
        <f t="shared" si="3"/>
        <v>12</v>
      </c>
      <c r="S23" s="18" t="str">
        <f t="shared" si="4"/>
        <v>14</v>
      </c>
      <c r="T23" s="18" t="s">
        <v>5</v>
      </c>
      <c r="U23" s="12" t="str">
        <f t="shared" si="5"/>
        <v>aa 42 08 21 10 00 00 03 84 00 12 14 55</v>
      </c>
      <c r="V23" s="41">
        <f t="shared" si="7"/>
        <v>900</v>
      </c>
      <c r="W23" s="41">
        <f t="shared" si="8"/>
        <v>18</v>
      </c>
      <c r="X23" s="473" t="s">
        <v>368</v>
      </c>
      <c r="Y23" s="473"/>
      <c r="Z23" s="473"/>
      <c r="AA23" s="473"/>
      <c r="AB23" s="473"/>
      <c r="AC23" s="473"/>
    </row>
    <row r="24" spans="1:29" s="93" customFormat="1" x14ac:dyDescent="0.25">
      <c r="A24" s="18" t="s">
        <v>0</v>
      </c>
      <c r="B24" s="18" t="s">
        <v>99</v>
      </c>
      <c r="C24" s="18" t="s">
        <v>93</v>
      </c>
      <c r="D24" s="19" t="s">
        <v>3</v>
      </c>
      <c r="E24" s="19" t="s">
        <v>28</v>
      </c>
      <c r="F24" s="19" t="s">
        <v>1</v>
      </c>
      <c r="G24" s="102" t="s">
        <v>4</v>
      </c>
      <c r="H24" s="102"/>
      <c r="I24" s="102"/>
      <c r="J24" s="102"/>
      <c r="K24" s="102"/>
      <c r="L24" s="102"/>
      <c r="M24" s="102"/>
      <c r="N24" s="102"/>
      <c r="O24" s="102" t="str">
        <f t="shared" si="0"/>
        <v>03</v>
      </c>
      <c r="P24" s="102" t="str">
        <f t="shared" si="1"/>
        <v>E8</v>
      </c>
      <c r="Q24" s="102" t="str">
        <f t="shared" si="2"/>
        <v>00</v>
      </c>
      <c r="R24" s="102" t="str">
        <f t="shared" si="3"/>
        <v>13</v>
      </c>
      <c r="S24" s="18" t="str">
        <f t="shared" si="4"/>
        <v>7B</v>
      </c>
      <c r="T24" s="18" t="s">
        <v>5</v>
      </c>
      <c r="U24" s="12" t="str">
        <f t="shared" si="5"/>
        <v>aa 42 08 21 11 00 01 03 E8 00 13 7B 55</v>
      </c>
      <c r="V24" s="41">
        <f t="shared" si="7"/>
        <v>1000</v>
      </c>
      <c r="W24" s="41">
        <f t="shared" si="8"/>
        <v>19</v>
      </c>
      <c r="X24" s="473" t="s">
        <v>369</v>
      </c>
      <c r="Y24" s="473"/>
      <c r="Z24" s="473"/>
      <c r="AA24" s="473"/>
      <c r="AB24" s="473"/>
      <c r="AC24" s="473"/>
    </row>
    <row r="25" spans="1:29" s="93" customFormat="1" x14ac:dyDescent="0.25">
      <c r="A25" s="18" t="s">
        <v>0</v>
      </c>
      <c r="B25" s="18" t="s">
        <v>99</v>
      </c>
      <c r="C25" s="18" t="s">
        <v>93</v>
      </c>
      <c r="D25" s="19" t="s">
        <v>3</v>
      </c>
      <c r="E25" s="19" t="s">
        <v>28</v>
      </c>
      <c r="F25" s="19" t="s">
        <v>1</v>
      </c>
      <c r="G25" s="102" t="s">
        <v>1</v>
      </c>
      <c r="H25" s="102"/>
      <c r="I25" s="102"/>
      <c r="J25" s="102"/>
      <c r="K25" s="102"/>
      <c r="L25" s="102"/>
      <c r="M25" s="102"/>
      <c r="N25" s="102"/>
      <c r="O25" s="102" t="str">
        <f t="shared" si="0"/>
        <v>04</v>
      </c>
      <c r="P25" s="102" t="str">
        <f t="shared" si="1"/>
        <v>4C</v>
      </c>
      <c r="Q25" s="102" t="str">
        <f t="shared" si="2"/>
        <v>00</v>
      </c>
      <c r="R25" s="102" t="str">
        <f t="shared" si="3"/>
        <v>14</v>
      </c>
      <c r="S25" s="18" t="str">
        <f t="shared" si="4"/>
        <v>E0</v>
      </c>
      <c r="T25" s="18" t="s">
        <v>5</v>
      </c>
      <c r="U25" s="12" t="str">
        <f t="shared" si="5"/>
        <v>aa 42 08 21 11 00 00 04 4C 00 14 E0 55</v>
      </c>
      <c r="V25" s="41">
        <f t="shared" si="7"/>
        <v>1100</v>
      </c>
      <c r="W25" s="41">
        <f t="shared" si="8"/>
        <v>20</v>
      </c>
      <c r="X25" s="473" t="s">
        <v>370</v>
      </c>
      <c r="Y25" s="473"/>
      <c r="Z25" s="473"/>
      <c r="AA25" s="473"/>
      <c r="AB25" s="473"/>
      <c r="AC25" s="473"/>
    </row>
    <row r="26" spans="1:29" s="93" customFormat="1" x14ac:dyDescent="0.25">
      <c r="A26" s="18" t="s">
        <v>0</v>
      </c>
      <c r="B26" s="18" t="s">
        <v>99</v>
      </c>
      <c r="C26" s="18" t="s">
        <v>93</v>
      </c>
      <c r="D26" s="19" t="s">
        <v>3</v>
      </c>
      <c r="E26" s="19" t="s">
        <v>376</v>
      </c>
      <c r="F26" s="19" t="s">
        <v>1</v>
      </c>
      <c r="G26" s="102" t="s">
        <v>4</v>
      </c>
      <c r="H26" s="102"/>
      <c r="I26" s="102"/>
      <c r="J26" s="102"/>
      <c r="K26" s="102"/>
      <c r="L26" s="102"/>
      <c r="M26" s="102"/>
      <c r="N26" s="102"/>
      <c r="O26" s="102" t="str">
        <f t="shared" si="0"/>
        <v>04</v>
      </c>
      <c r="P26" s="102" t="str">
        <f t="shared" si="1"/>
        <v>B0</v>
      </c>
      <c r="Q26" s="102" t="str">
        <f t="shared" si="2"/>
        <v>00</v>
      </c>
      <c r="R26" s="102" t="str">
        <f t="shared" si="3"/>
        <v>15</v>
      </c>
      <c r="S26" s="18" t="str">
        <f t="shared" si="4"/>
        <v>47</v>
      </c>
      <c r="T26" s="18" t="s">
        <v>5</v>
      </c>
      <c r="U26" s="12" t="str">
        <f t="shared" ref="U26:U45" si="9">IF(ISBLANK(A26),,A26&amp;" ")&amp;IF(ISBLANK(B26),,B26&amp;" ")&amp;IF(ISBLANK(C26),,C26&amp;" ")&amp;IF(ISBLANK(D26),,D26&amp;" ")&amp;IF(ISBLANK(E26),,E26&amp;" ")&amp;IF(ISBLANK(F26),,F26&amp;" ")&amp;IF(ISBLANK(G26),,G26&amp;" ")&amp;IF(ISBLANK(H26),,H26&amp;" ")&amp;IF(ISBLANK(I26),,I26&amp;" ")&amp;IF(ISBLANK(J26),,J26&amp;" ")&amp;IF(ISBLANK(K26),,K26&amp;" ")&amp;IF(ISBLANK(L26),,L26&amp;" ")&amp;IF(ISBLANK(M26),,M26&amp;" ")&amp;IF(ISBLANK(N26),,N26&amp;" ")&amp;IF(ISBLANK(O26),,O26&amp;" ")&amp;IF(ISBLANK(P26),,P26&amp;" ")&amp;IF(ISBLANK(Q26),,Q26&amp;" ")&amp;IF(ISBLANK(R26),,R26&amp;" ")&amp;IF(ISBLANK(S26),,S26&amp;" ")&amp;IF(ISBLANK(T26),,T26)</f>
        <v>aa 42 08 21 12 00 01 04 B0 00 15 47 55</v>
      </c>
      <c r="V26" s="41">
        <f t="shared" si="7"/>
        <v>1200</v>
      </c>
      <c r="W26" s="41">
        <f t="shared" si="8"/>
        <v>21</v>
      </c>
      <c r="X26" s="473" t="s">
        <v>371</v>
      </c>
      <c r="Y26" s="473"/>
      <c r="Z26" s="473"/>
      <c r="AA26" s="473"/>
      <c r="AB26" s="473"/>
      <c r="AC26" s="473"/>
    </row>
    <row r="27" spans="1:29" s="93" customFormat="1" x14ac:dyDescent="0.25">
      <c r="A27" s="18" t="s">
        <v>0</v>
      </c>
      <c r="B27" s="18" t="s">
        <v>99</v>
      </c>
      <c r="C27" s="18" t="s">
        <v>93</v>
      </c>
      <c r="D27" s="19" t="s">
        <v>3</v>
      </c>
      <c r="E27" s="19" t="s">
        <v>376</v>
      </c>
      <c r="F27" s="19" t="s">
        <v>1</v>
      </c>
      <c r="G27" s="102" t="s">
        <v>1</v>
      </c>
      <c r="H27" s="102"/>
      <c r="I27" s="102"/>
      <c r="J27" s="102"/>
      <c r="K27" s="102"/>
      <c r="L27" s="102"/>
      <c r="M27" s="102"/>
      <c r="N27" s="102"/>
      <c r="O27" s="102" t="str">
        <f t="shared" si="0"/>
        <v>05</v>
      </c>
      <c r="P27" s="102" t="str">
        <f t="shared" si="1"/>
        <v>14</v>
      </c>
      <c r="Q27" s="102" t="str">
        <f t="shared" si="2"/>
        <v>00</v>
      </c>
      <c r="R27" s="102" t="str">
        <f t="shared" si="3"/>
        <v>16</v>
      </c>
      <c r="S27" s="18" t="str">
        <f t="shared" si="4"/>
        <v>AC</v>
      </c>
      <c r="T27" s="18" t="s">
        <v>5</v>
      </c>
      <c r="U27" s="12" t="str">
        <f t="shared" si="9"/>
        <v>aa 42 08 21 12 00 00 05 14 00 16 AC 55</v>
      </c>
      <c r="V27" s="41">
        <f t="shared" si="7"/>
        <v>1300</v>
      </c>
      <c r="W27" s="41">
        <f t="shared" si="8"/>
        <v>22</v>
      </c>
      <c r="X27" s="473" t="s">
        <v>372</v>
      </c>
      <c r="Y27" s="473"/>
      <c r="Z27" s="473"/>
      <c r="AA27" s="473"/>
      <c r="AB27" s="473"/>
      <c r="AC27" s="473"/>
    </row>
    <row r="28" spans="1:29" s="93" customFormat="1" x14ac:dyDescent="0.25">
      <c r="A28" s="18" t="s">
        <v>0</v>
      </c>
      <c r="B28" s="18" t="s">
        <v>99</v>
      </c>
      <c r="C28" s="18" t="s">
        <v>93</v>
      </c>
      <c r="D28" s="19" t="s">
        <v>3</v>
      </c>
      <c r="E28" s="19" t="s">
        <v>377</v>
      </c>
      <c r="F28" s="19" t="s">
        <v>1</v>
      </c>
      <c r="G28" s="102" t="s">
        <v>4</v>
      </c>
      <c r="H28" s="102"/>
      <c r="I28" s="102"/>
      <c r="J28" s="102"/>
      <c r="K28" s="102"/>
      <c r="L28" s="102"/>
      <c r="M28" s="102"/>
      <c r="N28" s="102"/>
      <c r="O28" s="102" t="str">
        <f t="shared" si="0"/>
        <v>05</v>
      </c>
      <c r="P28" s="102" t="str">
        <f t="shared" si="1"/>
        <v>78</v>
      </c>
      <c r="Q28" s="102" t="str">
        <f t="shared" si="2"/>
        <v>00</v>
      </c>
      <c r="R28" s="102" t="str">
        <f t="shared" si="3"/>
        <v>17</v>
      </c>
      <c r="S28" s="18" t="str">
        <f t="shared" si="4"/>
        <v>13</v>
      </c>
      <c r="T28" s="18" t="s">
        <v>5</v>
      </c>
      <c r="U28" s="12" t="str">
        <f t="shared" si="9"/>
        <v>aa 42 08 21 13 00 01 05 78 00 17 13 55</v>
      </c>
      <c r="V28" s="41">
        <f t="shared" si="7"/>
        <v>1400</v>
      </c>
      <c r="W28" s="41">
        <f>W27+1</f>
        <v>23</v>
      </c>
      <c r="X28" s="473" t="s">
        <v>373</v>
      </c>
      <c r="Y28" s="473"/>
      <c r="Z28" s="473"/>
      <c r="AA28" s="473"/>
      <c r="AB28" s="473"/>
      <c r="AC28" s="473"/>
    </row>
    <row r="29" spans="1:29" s="93" customFormat="1" x14ac:dyDescent="0.25">
      <c r="A29" s="18" t="s">
        <v>0</v>
      </c>
      <c r="B29" s="18" t="s">
        <v>99</v>
      </c>
      <c r="C29" s="18" t="s">
        <v>93</v>
      </c>
      <c r="D29" s="19" t="s">
        <v>3</v>
      </c>
      <c r="E29" s="19" t="s">
        <v>377</v>
      </c>
      <c r="F29" s="19" t="s">
        <v>1</v>
      </c>
      <c r="G29" s="102" t="s">
        <v>1</v>
      </c>
      <c r="H29" s="102"/>
      <c r="I29" s="102"/>
      <c r="J29" s="102"/>
      <c r="K29" s="102"/>
      <c r="L29" s="102"/>
      <c r="M29" s="102"/>
      <c r="N29" s="102"/>
      <c r="O29" s="102" t="str">
        <f t="shared" si="0"/>
        <v>05</v>
      </c>
      <c r="P29" s="102" t="str">
        <f t="shared" si="1"/>
        <v>DC</v>
      </c>
      <c r="Q29" s="102" t="str">
        <f t="shared" si="2"/>
        <v>00</v>
      </c>
      <c r="R29" s="102" t="str">
        <f t="shared" si="3"/>
        <v>18</v>
      </c>
      <c r="S29" s="18" t="str">
        <f t="shared" si="4"/>
        <v>77</v>
      </c>
      <c r="T29" s="18" t="s">
        <v>5</v>
      </c>
      <c r="U29" s="12" t="str">
        <f t="shared" si="9"/>
        <v>aa 42 08 21 13 00 00 05 DC 00 18 77 55</v>
      </c>
      <c r="V29" s="41">
        <f t="shared" si="7"/>
        <v>1500</v>
      </c>
      <c r="W29" s="41">
        <f>W28+1</f>
        <v>24</v>
      </c>
      <c r="X29" s="473" t="s">
        <v>374</v>
      </c>
      <c r="Y29" s="473"/>
      <c r="Z29" s="473"/>
      <c r="AA29" s="473"/>
      <c r="AB29" s="473"/>
      <c r="AC29" s="473"/>
    </row>
    <row r="30" spans="1:29" s="93" customFormat="1" x14ac:dyDescent="0.25">
      <c r="A30" s="18" t="s">
        <v>0</v>
      </c>
      <c r="B30" s="18" t="s">
        <v>99</v>
      </c>
      <c r="C30" s="18" t="s">
        <v>93</v>
      </c>
      <c r="D30" s="19" t="s">
        <v>3</v>
      </c>
      <c r="E30" s="19" t="s">
        <v>377</v>
      </c>
      <c r="F30" s="19" t="s">
        <v>1</v>
      </c>
      <c r="G30" s="102" t="s">
        <v>4</v>
      </c>
      <c r="H30" s="102"/>
      <c r="I30" s="102"/>
      <c r="J30" s="102"/>
      <c r="K30" s="102"/>
      <c r="L30" s="102"/>
      <c r="M30" s="102"/>
      <c r="N30" s="102"/>
      <c r="O30" s="102" t="str">
        <f t="shared" si="0"/>
        <v>06</v>
      </c>
      <c r="P30" s="102" t="str">
        <f t="shared" si="1"/>
        <v>40</v>
      </c>
      <c r="Q30" s="102" t="str">
        <f t="shared" si="2"/>
        <v>00</v>
      </c>
      <c r="R30" s="102" t="str">
        <f t="shared" si="3"/>
        <v>19</v>
      </c>
      <c r="S30" s="18" t="str">
        <f t="shared" si="4"/>
        <v>DE</v>
      </c>
      <c r="T30" s="18" t="s">
        <v>5</v>
      </c>
      <c r="U30" s="12" t="str">
        <f t="shared" si="9"/>
        <v>aa 42 08 21 13 00 01 06 40 00 19 DE 55</v>
      </c>
      <c r="V30" s="41">
        <f t="shared" ref="V30:V35" si="10">V29+100</f>
        <v>1600</v>
      </c>
      <c r="W30" s="41">
        <f t="shared" ref="W30:W35" si="11">W29+1</f>
        <v>25</v>
      </c>
      <c r="X30" s="473" t="s">
        <v>373</v>
      </c>
      <c r="Y30" s="473"/>
      <c r="Z30" s="473"/>
      <c r="AA30" s="473"/>
      <c r="AB30" s="473"/>
      <c r="AC30" s="473"/>
    </row>
    <row r="31" spans="1:29" s="93" customFormat="1" x14ac:dyDescent="0.25">
      <c r="A31" s="18" t="s">
        <v>0</v>
      </c>
      <c r="B31" s="18" t="s">
        <v>99</v>
      </c>
      <c r="C31" s="18" t="s">
        <v>93</v>
      </c>
      <c r="D31" s="19" t="s">
        <v>3</v>
      </c>
      <c r="E31" s="19" t="s">
        <v>377</v>
      </c>
      <c r="F31" s="19" t="s">
        <v>1</v>
      </c>
      <c r="G31" s="102" t="s">
        <v>1</v>
      </c>
      <c r="H31" s="102"/>
      <c r="I31" s="102"/>
      <c r="J31" s="102"/>
      <c r="K31" s="102"/>
      <c r="L31" s="102"/>
      <c r="M31" s="102"/>
      <c r="N31" s="102"/>
      <c r="O31" s="102" t="str">
        <f t="shared" si="0"/>
        <v>06</v>
      </c>
      <c r="P31" s="102" t="str">
        <f t="shared" si="1"/>
        <v>A4</v>
      </c>
      <c r="Q31" s="102" t="str">
        <f t="shared" si="2"/>
        <v>00</v>
      </c>
      <c r="R31" s="102" t="str">
        <f t="shared" si="3"/>
        <v>1A</v>
      </c>
      <c r="S31" s="18" t="str">
        <f t="shared" si="4"/>
        <v>42</v>
      </c>
      <c r="T31" s="18" t="s">
        <v>5</v>
      </c>
      <c r="U31" s="12" t="str">
        <f t="shared" si="9"/>
        <v>aa 42 08 21 13 00 00 06 A4 00 1A 42 55</v>
      </c>
      <c r="V31" s="41">
        <f t="shared" si="10"/>
        <v>1700</v>
      </c>
      <c r="W31" s="41">
        <f t="shared" si="11"/>
        <v>26</v>
      </c>
      <c r="X31" s="473" t="s">
        <v>374</v>
      </c>
      <c r="Y31" s="473"/>
      <c r="Z31" s="473"/>
      <c r="AA31" s="473"/>
      <c r="AB31" s="473"/>
      <c r="AC31" s="473"/>
    </row>
    <row r="32" spans="1:29" s="93" customFormat="1" x14ac:dyDescent="0.25">
      <c r="A32" s="18" t="s">
        <v>0</v>
      </c>
      <c r="B32" s="18" t="s">
        <v>99</v>
      </c>
      <c r="C32" s="18" t="s">
        <v>93</v>
      </c>
      <c r="D32" s="19" t="s">
        <v>3</v>
      </c>
      <c r="E32" s="19" t="s">
        <v>377</v>
      </c>
      <c r="F32" s="19" t="s">
        <v>1</v>
      </c>
      <c r="G32" s="102" t="s">
        <v>4</v>
      </c>
      <c r="H32" s="102"/>
      <c r="I32" s="102"/>
      <c r="J32" s="102"/>
      <c r="K32" s="102"/>
      <c r="L32" s="102"/>
      <c r="M32" s="102"/>
      <c r="N32" s="102"/>
      <c r="O32" s="102" t="str">
        <f t="shared" si="0"/>
        <v>07</v>
      </c>
      <c r="P32" s="102" t="str">
        <f t="shared" si="1"/>
        <v>08</v>
      </c>
      <c r="Q32" s="102" t="str">
        <f t="shared" si="2"/>
        <v>00</v>
      </c>
      <c r="R32" s="102" t="str">
        <f t="shared" si="3"/>
        <v>1B</v>
      </c>
      <c r="S32" s="18" t="str">
        <f t="shared" si="4"/>
        <v>A9</v>
      </c>
      <c r="T32" s="18" t="s">
        <v>5</v>
      </c>
      <c r="U32" s="12" t="str">
        <f t="shared" si="9"/>
        <v>aa 42 08 21 13 00 01 07 08 00 1B A9 55</v>
      </c>
      <c r="V32" s="41">
        <f t="shared" si="10"/>
        <v>1800</v>
      </c>
      <c r="W32" s="41">
        <f t="shared" si="11"/>
        <v>27</v>
      </c>
      <c r="X32" s="473" t="s">
        <v>373</v>
      </c>
      <c r="Y32" s="473"/>
      <c r="Z32" s="473"/>
      <c r="AA32" s="473"/>
      <c r="AB32" s="473"/>
      <c r="AC32" s="473"/>
    </row>
    <row r="33" spans="1:29" s="93" customFormat="1" x14ac:dyDescent="0.25">
      <c r="A33" s="18" t="s">
        <v>0</v>
      </c>
      <c r="B33" s="18" t="s">
        <v>99</v>
      </c>
      <c r="C33" s="18" t="s">
        <v>93</v>
      </c>
      <c r="D33" s="19" t="s">
        <v>3</v>
      </c>
      <c r="E33" s="19" t="s">
        <v>377</v>
      </c>
      <c r="F33" s="19" t="s">
        <v>1</v>
      </c>
      <c r="G33" s="102" t="s">
        <v>1</v>
      </c>
      <c r="H33" s="102"/>
      <c r="I33" s="102"/>
      <c r="J33" s="102"/>
      <c r="K33" s="102"/>
      <c r="L33" s="102"/>
      <c r="M33" s="102"/>
      <c r="N33" s="102"/>
      <c r="O33" s="102" t="str">
        <f t="shared" si="0"/>
        <v>07</v>
      </c>
      <c r="P33" s="102" t="str">
        <f t="shared" si="1"/>
        <v>6C</v>
      </c>
      <c r="Q33" s="102" t="str">
        <f t="shared" si="2"/>
        <v>00</v>
      </c>
      <c r="R33" s="102" t="str">
        <f t="shared" si="3"/>
        <v>1C</v>
      </c>
      <c r="S33" s="18" t="str">
        <f t="shared" si="4"/>
        <v>0D</v>
      </c>
      <c r="T33" s="18" t="s">
        <v>5</v>
      </c>
      <c r="U33" s="12" t="str">
        <f t="shared" si="9"/>
        <v>aa 42 08 21 13 00 00 07 6C 00 1C 0D 55</v>
      </c>
      <c r="V33" s="41">
        <f t="shared" si="10"/>
        <v>1900</v>
      </c>
      <c r="W33" s="41">
        <f t="shared" si="11"/>
        <v>28</v>
      </c>
      <c r="X33" s="473" t="s">
        <v>374</v>
      </c>
      <c r="Y33" s="473"/>
      <c r="Z33" s="473"/>
      <c r="AA33" s="473"/>
      <c r="AB33" s="473"/>
      <c r="AC33" s="473"/>
    </row>
    <row r="34" spans="1:29" x14ac:dyDescent="0.25">
      <c r="A34" s="18" t="s">
        <v>0</v>
      </c>
      <c r="B34" s="18" t="s">
        <v>99</v>
      </c>
      <c r="C34" s="18" t="s">
        <v>93</v>
      </c>
      <c r="D34" s="19" t="s">
        <v>3</v>
      </c>
      <c r="E34" s="19" t="s">
        <v>377</v>
      </c>
      <c r="F34" s="19" t="s">
        <v>1</v>
      </c>
      <c r="G34" s="102" t="s">
        <v>4</v>
      </c>
      <c r="H34" s="102"/>
      <c r="I34" s="102"/>
      <c r="J34" s="102"/>
      <c r="K34" s="102"/>
      <c r="L34" s="102"/>
      <c r="M34" s="102"/>
      <c r="N34" s="102"/>
      <c r="O34" s="102" t="str">
        <f t="shared" si="0"/>
        <v>07</v>
      </c>
      <c r="P34" s="102" t="str">
        <f t="shared" si="1"/>
        <v>D0</v>
      </c>
      <c r="Q34" s="102" t="str">
        <f t="shared" si="2"/>
        <v>00</v>
      </c>
      <c r="R34" s="102" t="str">
        <f t="shared" si="3"/>
        <v>1D</v>
      </c>
      <c r="S34" s="18" t="str">
        <f t="shared" si="4"/>
        <v>73</v>
      </c>
      <c r="T34" s="18" t="s">
        <v>5</v>
      </c>
      <c r="U34" s="12" t="str">
        <f t="shared" si="9"/>
        <v>aa 42 08 21 13 00 01 07 D0 00 1D 73 55</v>
      </c>
      <c r="V34" s="41">
        <f t="shared" si="10"/>
        <v>2000</v>
      </c>
      <c r="W34" s="41">
        <f t="shared" si="11"/>
        <v>29</v>
      </c>
      <c r="X34" s="473" t="s">
        <v>373</v>
      </c>
      <c r="Y34" s="473"/>
      <c r="Z34" s="473"/>
      <c r="AA34" s="473"/>
      <c r="AB34" s="473"/>
      <c r="AC34" s="473"/>
    </row>
    <row r="35" spans="1:29" x14ac:dyDescent="0.25">
      <c r="A35" s="18" t="s">
        <v>0</v>
      </c>
      <c r="B35" s="18" t="s">
        <v>99</v>
      </c>
      <c r="C35" s="18" t="s">
        <v>93</v>
      </c>
      <c r="D35" s="19" t="s">
        <v>3</v>
      </c>
      <c r="E35" s="19" t="s">
        <v>377</v>
      </c>
      <c r="F35" s="19" t="s">
        <v>1</v>
      </c>
      <c r="G35" s="102" t="s">
        <v>1</v>
      </c>
      <c r="H35" s="102"/>
      <c r="I35" s="102"/>
      <c r="J35" s="102"/>
      <c r="K35" s="102"/>
      <c r="L35" s="102"/>
      <c r="M35" s="102"/>
      <c r="N35" s="102"/>
      <c r="O35" s="102" t="str">
        <f t="shared" si="0"/>
        <v>08</v>
      </c>
      <c r="P35" s="102" t="str">
        <f t="shared" si="1"/>
        <v>34</v>
      </c>
      <c r="Q35" s="102" t="str">
        <f t="shared" si="2"/>
        <v>00</v>
      </c>
      <c r="R35" s="102" t="str">
        <f t="shared" si="3"/>
        <v>1E</v>
      </c>
      <c r="S35" s="18" t="str">
        <f t="shared" si="4"/>
        <v>D8</v>
      </c>
      <c r="T35" s="18" t="s">
        <v>5</v>
      </c>
      <c r="U35" s="12" t="str">
        <f t="shared" si="9"/>
        <v>aa 42 08 21 13 00 00 08 34 00 1E D8 55</v>
      </c>
      <c r="V35" s="41">
        <f t="shared" si="10"/>
        <v>2100</v>
      </c>
      <c r="W35" s="41">
        <f t="shared" si="11"/>
        <v>30</v>
      </c>
      <c r="X35" s="473" t="s">
        <v>374</v>
      </c>
      <c r="Y35" s="473"/>
      <c r="Z35" s="473"/>
      <c r="AA35" s="473"/>
      <c r="AB35" s="473"/>
      <c r="AC35" s="473"/>
    </row>
    <row r="36" spans="1:29" x14ac:dyDescent="0.25">
      <c r="A36" s="18" t="s">
        <v>0</v>
      </c>
      <c r="B36" s="18" t="s">
        <v>99</v>
      </c>
      <c r="C36" s="18" t="s">
        <v>93</v>
      </c>
      <c r="D36" s="19" t="s">
        <v>3</v>
      </c>
      <c r="E36" s="19" t="s">
        <v>377</v>
      </c>
      <c r="F36" s="19" t="s">
        <v>1</v>
      </c>
      <c r="G36" s="102" t="s">
        <v>4</v>
      </c>
      <c r="H36" s="102"/>
      <c r="I36" s="102"/>
      <c r="J36" s="102"/>
      <c r="K36" s="102"/>
      <c r="L36" s="102"/>
      <c r="M36" s="102"/>
      <c r="N36" s="102"/>
      <c r="O36" s="102" t="str">
        <f t="shared" si="0"/>
        <v>08</v>
      </c>
      <c r="P36" s="102" t="str">
        <f t="shared" si="1"/>
        <v>98</v>
      </c>
      <c r="Q36" s="102" t="str">
        <f t="shared" si="2"/>
        <v>00</v>
      </c>
      <c r="R36" s="102" t="str">
        <f t="shared" si="3"/>
        <v>1F</v>
      </c>
      <c r="S36" s="18" t="str">
        <f t="shared" si="4"/>
        <v>3E</v>
      </c>
      <c r="T36" s="18" t="s">
        <v>5</v>
      </c>
      <c r="U36" s="12" t="str">
        <f t="shared" si="9"/>
        <v>aa 42 08 21 13 00 01 08 98 00 1F 3E 55</v>
      </c>
      <c r="V36" s="41">
        <f t="shared" ref="V36:V45" si="12">V35+100</f>
        <v>2200</v>
      </c>
      <c r="W36" s="41">
        <f t="shared" ref="W36:W45" si="13">W35+1</f>
        <v>31</v>
      </c>
      <c r="X36" s="473" t="s">
        <v>373</v>
      </c>
      <c r="Y36" s="473"/>
      <c r="Z36" s="473"/>
      <c r="AA36" s="473"/>
      <c r="AB36" s="473"/>
      <c r="AC36" s="473"/>
    </row>
    <row r="37" spans="1:29" x14ac:dyDescent="0.25">
      <c r="A37" s="18" t="s">
        <v>0</v>
      </c>
      <c r="B37" s="18" t="s">
        <v>99</v>
      </c>
      <c r="C37" s="18" t="s">
        <v>93</v>
      </c>
      <c r="D37" s="19" t="s">
        <v>3</v>
      </c>
      <c r="E37" s="19" t="s">
        <v>377</v>
      </c>
      <c r="F37" s="19" t="s">
        <v>1</v>
      </c>
      <c r="G37" s="102" t="s">
        <v>1</v>
      </c>
      <c r="H37" s="102"/>
      <c r="I37" s="102"/>
      <c r="J37" s="102"/>
      <c r="K37" s="102"/>
      <c r="L37" s="102"/>
      <c r="M37" s="102"/>
      <c r="N37" s="102"/>
      <c r="O37" s="102" t="str">
        <f t="shared" si="0"/>
        <v>08</v>
      </c>
      <c r="P37" s="102" t="str">
        <f t="shared" si="1"/>
        <v>FC</v>
      </c>
      <c r="Q37" s="102" t="str">
        <f t="shared" si="2"/>
        <v>00</v>
      </c>
      <c r="R37" s="102" t="str">
        <f t="shared" si="3"/>
        <v>20</v>
      </c>
      <c r="S37" s="18" t="str">
        <f t="shared" si="4"/>
        <v>A2</v>
      </c>
      <c r="T37" s="18" t="s">
        <v>5</v>
      </c>
      <c r="U37" s="12" t="str">
        <f t="shared" si="9"/>
        <v>aa 42 08 21 13 00 00 08 FC 00 20 A2 55</v>
      </c>
      <c r="V37" s="41">
        <f t="shared" si="12"/>
        <v>2300</v>
      </c>
      <c r="W37" s="41">
        <f t="shared" si="13"/>
        <v>32</v>
      </c>
      <c r="X37" s="473" t="s">
        <v>374</v>
      </c>
      <c r="Y37" s="473"/>
      <c r="Z37" s="473"/>
      <c r="AA37" s="473"/>
      <c r="AB37" s="473"/>
      <c r="AC37" s="473"/>
    </row>
    <row r="38" spans="1:29" x14ac:dyDescent="0.25">
      <c r="A38" s="18" t="s">
        <v>0</v>
      </c>
      <c r="B38" s="18" t="s">
        <v>99</v>
      </c>
      <c r="C38" s="18" t="s">
        <v>93</v>
      </c>
      <c r="D38" s="19" t="s">
        <v>3</v>
      </c>
      <c r="E38" s="19" t="s">
        <v>377</v>
      </c>
      <c r="F38" s="19" t="s">
        <v>1</v>
      </c>
      <c r="G38" s="102" t="s">
        <v>4</v>
      </c>
      <c r="H38" s="102"/>
      <c r="I38" s="102"/>
      <c r="J38" s="102"/>
      <c r="K38" s="102"/>
      <c r="L38" s="102"/>
      <c r="M38" s="102"/>
      <c r="N38" s="102"/>
      <c r="O38" s="102" t="str">
        <f t="shared" si="0"/>
        <v>09</v>
      </c>
      <c r="P38" s="102" t="str">
        <f t="shared" si="1"/>
        <v>60</v>
      </c>
      <c r="Q38" s="102" t="str">
        <f t="shared" si="2"/>
        <v>00</v>
      </c>
      <c r="R38" s="102" t="str">
        <f t="shared" si="3"/>
        <v>21</v>
      </c>
      <c r="S38" s="18" t="str">
        <f t="shared" si="4"/>
        <v>09</v>
      </c>
      <c r="T38" s="18" t="s">
        <v>5</v>
      </c>
      <c r="U38" s="12" t="str">
        <f t="shared" si="9"/>
        <v>aa 42 08 21 13 00 01 09 60 00 21 09 55</v>
      </c>
      <c r="V38" s="41">
        <f t="shared" si="12"/>
        <v>2400</v>
      </c>
      <c r="W38" s="41">
        <f t="shared" si="13"/>
        <v>33</v>
      </c>
      <c r="X38" s="473" t="s">
        <v>373</v>
      </c>
      <c r="Y38" s="473"/>
      <c r="Z38" s="473"/>
      <c r="AA38" s="473"/>
      <c r="AB38" s="473"/>
      <c r="AC38" s="473"/>
    </row>
    <row r="39" spans="1:29" x14ac:dyDescent="0.25">
      <c r="A39" s="18" t="s">
        <v>0</v>
      </c>
      <c r="B39" s="18" t="s">
        <v>99</v>
      </c>
      <c r="C39" s="18" t="s">
        <v>93</v>
      </c>
      <c r="D39" s="19" t="s">
        <v>3</v>
      </c>
      <c r="E39" s="19" t="s">
        <v>377</v>
      </c>
      <c r="F39" s="19" t="s">
        <v>1</v>
      </c>
      <c r="G39" s="102" t="s">
        <v>1</v>
      </c>
      <c r="H39" s="102"/>
      <c r="I39" s="102"/>
      <c r="J39" s="102"/>
      <c r="K39" s="102"/>
      <c r="L39" s="102"/>
      <c r="M39" s="102"/>
      <c r="N39" s="102"/>
      <c r="O39" s="102" t="str">
        <f t="shared" si="0"/>
        <v>09</v>
      </c>
      <c r="P39" s="102" t="str">
        <f t="shared" si="1"/>
        <v>C4</v>
      </c>
      <c r="Q39" s="102" t="str">
        <f t="shared" si="2"/>
        <v>00</v>
      </c>
      <c r="R39" s="102" t="str">
        <f t="shared" si="3"/>
        <v>22</v>
      </c>
      <c r="S39" s="18" t="str">
        <f t="shared" si="4"/>
        <v>6D</v>
      </c>
      <c r="T39" s="18" t="s">
        <v>5</v>
      </c>
      <c r="U39" s="12" t="str">
        <f t="shared" si="9"/>
        <v>aa 42 08 21 13 00 00 09 C4 00 22 6D 55</v>
      </c>
      <c r="V39" s="41">
        <f t="shared" si="12"/>
        <v>2500</v>
      </c>
      <c r="W39" s="41">
        <f t="shared" si="13"/>
        <v>34</v>
      </c>
      <c r="X39" s="473" t="s">
        <v>374</v>
      </c>
      <c r="Y39" s="473"/>
      <c r="Z39" s="473"/>
      <c r="AA39" s="473"/>
      <c r="AB39" s="473"/>
      <c r="AC39" s="473"/>
    </row>
    <row r="40" spans="1:29" x14ac:dyDescent="0.25">
      <c r="A40" s="18" t="s">
        <v>0</v>
      </c>
      <c r="B40" s="18" t="s">
        <v>99</v>
      </c>
      <c r="C40" s="18" t="s">
        <v>93</v>
      </c>
      <c r="D40" s="19" t="s">
        <v>3</v>
      </c>
      <c r="E40" s="19" t="s">
        <v>377</v>
      </c>
      <c r="F40" s="19" t="s">
        <v>1</v>
      </c>
      <c r="G40" s="102" t="s">
        <v>4</v>
      </c>
      <c r="H40" s="102"/>
      <c r="I40" s="102"/>
      <c r="J40" s="102"/>
      <c r="K40" s="102"/>
      <c r="L40" s="102"/>
      <c r="M40" s="102"/>
      <c r="N40" s="102"/>
      <c r="O40" s="102" t="str">
        <f t="shared" si="0"/>
        <v>0A</v>
      </c>
      <c r="P40" s="102" t="str">
        <f t="shared" si="1"/>
        <v>28</v>
      </c>
      <c r="Q40" s="102" t="str">
        <f t="shared" si="2"/>
        <v>00</v>
      </c>
      <c r="R40" s="102" t="str">
        <f t="shared" si="3"/>
        <v>23</v>
      </c>
      <c r="S40" s="18" t="str">
        <f t="shared" si="4"/>
        <v>D4</v>
      </c>
      <c r="T40" s="18" t="s">
        <v>5</v>
      </c>
      <c r="U40" s="12" t="str">
        <f t="shared" si="9"/>
        <v>aa 42 08 21 13 00 01 0A 28 00 23 D4 55</v>
      </c>
      <c r="V40" s="41">
        <f t="shared" si="12"/>
        <v>2600</v>
      </c>
      <c r="W40" s="41">
        <f t="shared" si="13"/>
        <v>35</v>
      </c>
      <c r="X40" s="473" t="s">
        <v>373</v>
      </c>
      <c r="Y40" s="473"/>
      <c r="Z40" s="473"/>
      <c r="AA40" s="473"/>
      <c r="AB40" s="473"/>
      <c r="AC40" s="473"/>
    </row>
    <row r="41" spans="1:29" x14ac:dyDescent="0.25">
      <c r="A41" s="18" t="s">
        <v>0</v>
      </c>
      <c r="B41" s="18" t="s">
        <v>99</v>
      </c>
      <c r="C41" s="18" t="s">
        <v>93</v>
      </c>
      <c r="D41" s="19" t="s">
        <v>3</v>
      </c>
      <c r="E41" s="19" t="s">
        <v>377</v>
      </c>
      <c r="F41" s="19" t="s">
        <v>1</v>
      </c>
      <c r="G41" s="102" t="s">
        <v>1</v>
      </c>
      <c r="H41" s="102"/>
      <c r="I41" s="102"/>
      <c r="J41" s="102"/>
      <c r="K41" s="102"/>
      <c r="L41" s="102"/>
      <c r="M41" s="102"/>
      <c r="N41" s="102"/>
      <c r="O41" s="102" t="str">
        <f t="shared" si="0"/>
        <v>0A</v>
      </c>
      <c r="P41" s="102" t="str">
        <f t="shared" si="1"/>
        <v>8C</v>
      </c>
      <c r="Q41" s="102" t="str">
        <f t="shared" si="2"/>
        <v>00</v>
      </c>
      <c r="R41" s="102" t="str">
        <f t="shared" si="3"/>
        <v>24</v>
      </c>
      <c r="S41" s="18" t="str">
        <f t="shared" si="4"/>
        <v>38</v>
      </c>
      <c r="T41" s="18" t="s">
        <v>5</v>
      </c>
      <c r="U41" s="12" t="str">
        <f t="shared" si="9"/>
        <v>aa 42 08 21 13 00 00 0A 8C 00 24 38 55</v>
      </c>
      <c r="V41" s="41">
        <f t="shared" si="12"/>
        <v>2700</v>
      </c>
      <c r="W41" s="41">
        <f t="shared" si="13"/>
        <v>36</v>
      </c>
      <c r="X41" s="473" t="s">
        <v>374</v>
      </c>
      <c r="Y41" s="473"/>
      <c r="Z41" s="473"/>
      <c r="AA41" s="473"/>
      <c r="AB41" s="473"/>
      <c r="AC41" s="473"/>
    </row>
    <row r="42" spans="1:29" x14ac:dyDescent="0.25">
      <c r="A42" s="18" t="s">
        <v>0</v>
      </c>
      <c r="B42" s="18" t="s">
        <v>99</v>
      </c>
      <c r="C42" s="18" t="s">
        <v>93</v>
      </c>
      <c r="D42" s="19" t="s">
        <v>3</v>
      </c>
      <c r="E42" s="19" t="s">
        <v>377</v>
      </c>
      <c r="F42" s="19" t="s">
        <v>1</v>
      </c>
      <c r="G42" s="102" t="s">
        <v>4</v>
      </c>
      <c r="H42" s="102"/>
      <c r="I42" s="102"/>
      <c r="J42" s="102"/>
      <c r="K42" s="102"/>
      <c r="L42" s="102"/>
      <c r="M42" s="102"/>
      <c r="N42" s="102"/>
      <c r="O42" s="102" t="str">
        <f t="shared" si="0"/>
        <v>0A</v>
      </c>
      <c r="P42" s="102" t="str">
        <f t="shared" si="1"/>
        <v>F0</v>
      </c>
      <c r="Q42" s="102" t="str">
        <f t="shared" si="2"/>
        <v>00</v>
      </c>
      <c r="R42" s="102" t="str">
        <f t="shared" si="3"/>
        <v>25</v>
      </c>
      <c r="S42" s="18" t="str">
        <f t="shared" si="4"/>
        <v>9E</v>
      </c>
      <c r="T42" s="18" t="s">
        <v>5</v>
      </c>
      <c r="U42" s="12" t="str">
        <f t="shared" si="9"/>
        <v>aa 42 08 21 13 00 01 0A F0 00 25 9E 55</v>
      </c>
      <c r="V42" s="41">
        <f t="shared" si="12"/>
        <v>2800</v>
      </c>
      <c r="W42" s="41">
        <f t="shared" si="13"/>
        <v>37</v>
      </c>
      <c r="X42" s="473" t="s">
        <v>373</v>
      </c>
      <c r="Y42" s="473"/>
      <c r="Z42" s="473"/>
      <c r="AA42" s="473"/>
      <c r="AB42" s="473"/>
      <c r="AC42" s="473"/>
    </row>
    <row r="43" spans="1:29" x14ac:dyDescent="0.25">
      <c r="A43" s="18" t="s">
        <v>0</v>
      </c>
      <c r="B43" s="18" t="s">
        <v>99</v>
      </c>
      <c r="C43" s="18" t="s">
        <v>93</v>
      </c>
      <c r="D43" s="19" t="s">
        <v>3</v>
      </c>
      <c r="E43" s="19" t="s">
        <v>377</v>
      </c>
      <c r="F43" s="19" t="s">
        <v>1</v>
      </c>
      <c r="G43" s="102" t="s">
        <v>1</v>
      </c>
      <c r="H43" s="102"/>
      <c r="I43" s="102"/>
      <c r="J43" s="102"/>
      <c r="K43" s="102"/>
      <c r="L43" s="102"/>
      <c r="M43" s="102"/>
      <c r="N43" s="102"/>
      <c r="O43" s="102" t="str">
        <f t="shared" si="0"/>
        <v>0B</v>
      </c>
      <c r="P43" s="102" t="str">
        <f t="shared" si="1"/>
        <v>54</v>
      </c>
      <c r="Q43" s="102" t="str">
        <f t="shared" si="2"/>
        <v>00</v>
      </c>
      <c r="R43" s="102" t="str">
        <f t="shared" si="3"/>
        <v>26</v>
      </c>
      <c r="S43" s="18" t="str">
        <f t="shared" si="4"/>
        <v>03</v>
      </c>
      <c r="T43" s="18" t="s">
        <v>5</v>
      </c>
      <c r="U43" s="12" t="str">
        <f t="shared" si="9"/>
        <v>aa 42 08 21 13 00 00 0B 54 00 26 03 55</v>
      </c>
      <c r="V43" s="41">
        <f t="shared" si="12"/>
        <v>2900</v>
      </c>
      <c r="W43" s="41">
        <f t="shared" si="13"/>
        <v>38</v>
      </c>
      <c r="X43" s="473" t="s">
        <v>374</v>
      </c>
      <c r="Y43" s="473"/>
      <c r="Z43" s="473"/>
      <c r="AA43" s="473"/>
      <c r="AB43" s="473"/>
      <c r="AC43" s="473"/>
    </row>
    <row r="44" spans="1:29" x14ac:dyDescent="0.25">
      <c r="A44" s="18" t="s">
        <v>0</v>
      </c>
      <c r="B44" s="18" t="s">
        <v>99</v>
      </c>
      <c r="C44" s="18" t="s">
        <v>93</v>
      </c>
      <c r="D44" s="19" t="s">
        <v>3</v>
      </c>
      <c r="E44" s="19" t="s">
        <v>377</v>
      </c>
      <c r="F44" s="19" t="s">
        <v>1</v>
      </c>
      <c r="G44" s="102" t="s">
        <v>4</v>
      </c>
      <c r="H44" s="102"/>
      <c r="I44" s="102"/>
      <c r="J44" s="102"/>
      <c r="K44" s="102"/>
      <c r="L44" s="102"/>
      <c r="M44" s="102"/>
      <c r="N44" s="102"/>
      <c r="O44" s="102" t="str">
        <f t="shared" si="0"/>
        <v>0B</v>
      </c>
      <c r="P44" s="102" t="str">
        <f t="shared" si="1"/>
        <v>B8</v>
      </c>
      <c r="Q44" s="102" t="str">
        <f t="shared" si="2"/>
        <v>00</v>
      </c>
      <c r="R44" s="102" t="str">
        <f t="shared" si="3"/>
        <v>27</v>
      </c>
      <c r="S44" s="18" t="str">
        <f t="shared" si="4"/>
        <v>69</v>
      </c>
      <c r="T44" s="18" t="s">
        <v>5</v>
      </c>
      <c r="U44" s="12" t="str">
        <f t="shared" si="9"/>
        <v>aa 42 08 21 13 00 01 0B B8 00 27 69 55</v>
      </c>
      <c r="V44" s="41">
        <f t="shared" si="12"/>
        <v>3000</v>
      </c>
      <c r="W44" s="41">
        <f t="shared" si="13"/>
        <v>39</v>
      </c>
      <c r="X44" s="473" t="s">
        <v>373</v>
      </c>
      <c r="Y44" s="473"/>
      <c r="Z44" s="473"/>
      <c r="AA44" s="473"/>
      <c r="AB44" s="473"/>
      <c r="AC44" s="473"/>
    </row>
    <row r="45" spans="1:29" x14ac:dyDescent="0.25">
      <c r="A45" s="18" t="s">
        <v>0</v>
      </c>
      <c r="B45" s="18" t="s">
        <v>99</v>
      </c>
      <c r="C45" s="18" t="s">
        <v>93</v>
      </c>
      <c r="D45" s="19" t="s">
        <v>3</v>
      </c>
      <c r="E45" s="19" t="s">
        <v>377</v>
      </c>
      <c r="F45" s="19" t="s">
        <v>1</v>
      </c>
      <c r="G45" s="102" t="s">
        <v>1</v>
      </c>
      <c r="H45" s="102"/>
      <c r="I45" s="102"/>
      <c r="J45" s="102"/>
      <c r="K45" s="102"/>
      <c r="L45" s="102"/>
      <c r="M45" s="102"/>
      <c r="N45" s="102"/>
      <c r="O45" s="102" t="str">
        <f t="shared" si="0"/>
        <v>0C</v>
      </c>
      <c r="P45" s="102" t="str">
        <f t="shared" si="1"/>
        <v>1C</v>
      </c>
      <c r="Q45" s="102" t="str">
        <f t="shared" si="2"/>
        <v>00</v>
      </c>
      <c r="R45" s="102" t="str">
        <f t="shared" si="3"/>
        <v>28</v>
      </c>
      <c r="S45" s="18" t="str">
        <f t="shared" si="4"/>
        <v>CE</v>
      </c>
      <c r="T45" s="18" t="s">
        <v>5</v>
      </c>
      <c r="U45" s="12" t="str">
        <f t="shared" si="9"/>
        <v>aa 42 08 21 13 00 00 0C 1C 00 28 CE 55</v>
      </c>
      <c r="V45" s="41">
        <f t="shared" si="12"/>
        <v>3100</v>
      </c>
      <c r="W45" s="41">
        <f t="shared" si="13"/>
        <v>40</v>
      </c>
      <c r="X45" s="473" t="s">
        <v>374</v>
      </c>
      <c r="Y45" s="473"/>
      <c r="Z45" s="473"/>
      <c r="AA45" s="473"/>
      <c r="AB45" s="473"/>
      <c r="AC45" s="473"/>
    </row>
    <row r="46" spans="1:29" s="27" customFormat="1" x14ac:dyDescent="0.25">
      <c r="A46" s="20"/>
      <c r="B46" s="20"/>
      <c r="C46" s="20"/>
      <c r="D46" s="21"/>
      <c r="E46" s="21"/>
      <c r="F46" s="21"/>
      <c r="G46" s="564" t="s">
        <v>97</v>
      </c>
      <c r="H46" s="570"/>
      <c r="I46" s="570"/>
      <c r="J46" s="570"/>
      <c r="K46" s="570"/>
      <c r="L46" s="570"/>
      <c r="M46" s="570"/>
      <c r="N46" s="570"/>
      <c r="O46" s="570"/>
      <c r="P46" s="570"/>
      <c r="Q46" s="570"/>
      <c r="R46" s="570"/>
      <c r="S46" s="20"/>
      <c r="T46" s="20"/>
      <c r="U46" s="35"/>
      <c r="V46" s="25" t="s">
        <v>102</v>
      </c>
      <c r="W46" s="565"/>
      <c r="X46" s="565"/>
      <c r="Y46" s="565"/>
      <c r="Z46" s="565"/>
      <c r="AA46" s="565"/>
      <c r="AB46" s="565"/>
      <c r="AC46" s="565"/>
    </row>
    <row r="47" spans="1:29" x14ac:dyDescent="0.25">
      <c r="A47" s="18" t="s">
        <v>0</v>
      </c>
      <c r="B47" s="18" t="s">
        <v>100</v>
      </c>
      <c r="C47" s="18" t="s">
        <v>9</v>
      </c>
      <c r="D47" s="19" t="s">
        <v>70</v>
      </c>
      <c r="E47" s="19" t="s">
        <v>1</v>
      </c>
      <c r="F47" s="19" t="s">
        <v>4</v>
      </c>
      <c r="G47" s="562" t="str">
        <f>LEFT(DEC2HEX(V47,4),2)</f>
        <v>00</v>
      </c>
      <c r="H47" s="562"/>
      <c r="I47" s="562"/>
      <c r="J47" s="562"/>
      <c r="K47" s="562"/>
      <c r="L47" s="562"/>
      <c r="M47" s="562" t="str">
        <f>RIGHT(DEC2HEX(V47,4),2)</f>
        <v>2A</v>
      </c>
      <c r="N47" s="562"/>
      <c r="O47" s="562"/>
      <c r="P47" s="562"/>
      <c r="Q47" s="562"/>
      <c r="R47" s="562"/>
      <c r="S47" s="18" t="str">
        <f>DEC2HEX(MOD(HEX2DEC(B47)+HEX2DEC(C47)+HEX2DEC(D47)+HEX2DEC(E47)+HEX2DEC(F47)+HEX2DEC(G47)+HEX2DEC(H47)+HEX2DEC(I47)+HEX2DEC(J47)+HEX2DEC(K47)+HEX2DEC(L47)+HEX2DEC(M47)+HEX2DEC(R47),256),2)</f>
        <v>83</v>
      </c>
      <c r="T47" s="18" t="s">
        <v>5</v>
      </c>
      <c r="U47" s="12" t="str">
        <f>IF(ISBLANK(A47),,A47&amp;" ")&amp;IF(ISBLANK(B47),,B47&amp;" ")&amp;IF(ISBLANK(C47),,C47&amp;" ")&amp;IF(ISBLANK(D47),,D47&amp;" ")&amp;IF(ISBLANK(E47),,E47&amp;" ")&amp;IF(ISBLANK(F47),,F47&amp;" ")&amp;IF(ISBLANK(G47),,G47&amp;" ")&amp;IF(ISBLANK(H47),,H47&amp;" ")&amp;IF(ISBLANK(I47),,I47&amp;" ")&amp;IF(ISBLANK(J47),,J47&amp;" ")&amp;IF(ISBLANK(K47),,K47&amp;" ")&amp;IF(ISBLANK(L47),,L47&amp;" ")&amp;IF(ISBLANK(M47),,M47&amp;" ")&amp;IF(ISBLANK(N47),,N47&amp;" ")&amp;IF(ISBLANK(O47),,O47&amp;" ")&amp;IF(ISBLANK(P47),,P47&amp;" ")&amp;IF(ISBLANK(Q47),,Q47&amp;" ")&amp;IF(ISBLANK(R47),,R47&amp;" ")&amp;IF(ISBLANK(S47),,S47&amp;" ")&amp;IF(ISBLANK(T47),,T47)</f>
        <v>aa 43 05 10 00 01 00 2A 83 55</v>
      </c>
      <c r="V47" s="41">
        <v>42</v>
      </c>
      <c r="W47" s="565" t="s">
        <v>103</v>
      </c>
      <c r="X47" s="565"/>
      <c r="Y47" s="565"/>
      <c r="Z47" s="565"/>
      <c r="AA47" s="565"/>
      <c r="AB47" s="565"/>
      <c r="AC47" s="565"/>
    </row>
    <row r="48" spans="1:29" x14ac:dyDescent="0.25">
      <c r="A48" s="89"/>
      <c r="B48" s="89"/>
      <c r="C48" s="89"/>
      <c r="D48" s="90"/>
      <c r="E48" s="90"/>
      <c r="F48" s="90"/>
      <c r="G48" s="91"/>
      <c r="H48" s="91"/>
      <c r="I48" s="91"/>
      <c r="J48" s="91"/>
      <c r="K48" s="91"/>
      <c r="L48" s="91"/>
      <c r="M48" s="91"/>
      <c r="N48" s="91"/>
      <c r="O48" s="91"/>
      <c r="P48" s="91"/>
      <c r="Q48" s="91"/>
      <c r="R48" s="91"/>
      <c r="S48" s="89"/>
      <c r="T48" s="89"/>
      <c r="U48" s="35"/>
      <c r="V48" s="92"/>
      <c r="W48" s="92"/>
      <c r="X48" s="92"/>
      <c r="Y48" s="92"/>
      <c r="Z48" s="92"/>
      <c r="AA48" s="92"/>
      <c r="AB48" s="92"/>
      <c r="AC48" s="92"/>
    </row>
    <row r="49" spans="1:29" x14ac:dyDescent="0.25">
      <c r="A49" s="89"/>
      <c r="B49" s="89"/>
      <c r="C49" s="89"/>
      <c r="D49" s="90"/>
      <c r="E49" s="90"/>
      <c r="F49" s="90"/>
      <c r="G49" s="91"/>
      <c r="H49" s="91"/>
      <c r="I49" s="91"/>
      <c r="J49" s="91"/>
      <c r="K49" s="91"/>
      <c r="L49" s="91"/>
      <c r="M49" s="91"/>
      <c r="N49" s="91"/>
      <c r="O49" s="91"/>
      <c r="P49" s="91"/>
      <c r="Q49" s="91"/>
      <c r="R49" s="91"/>
      <c r="S49" s="89"/>
      <c r="T49" s="89"/>
      <c r="U49" s="35"/>
      <c r="V49" s="92"/>
      <c r="W49" s="92"/>
      <c r="X49" s="92"/>
      <c r="Y49" s="92"/>
      <c r="Z49" s="92"/>
      <c r="AA49" s="92"/>
      <c r="AB49" s="92"/>
      <c r="AC49" s="92"/>
    </row>
    <row r="50" spans="1:29" x14ac:dyDescent="0.25">
      <c r="U50" s="35"/>
    </row>
    <row r="51" spans="1:29" x14ac:dyDescent="0.25">
      <c r="A51" s="16"/>
      <c r="B51" s="40"/>
      <c r="C51" s="40"/>
      <c r="D51" s="40"/>
      <c r="E51" s="40"/>
      <c r="F51" s="40"/>
      <c r="G51" s="543" t="s">
        <v>95</v>
      </c>
      <c r="H51" s="544"/>
      <c r="I51" s="544"/>
      <c r="J51" s="544"/>
      <c r="K51" s="544"/>
      <c r="L51" s="544"/>
      <c r="M51" s="544"/>
      <c r="N51" s="544"/>
      <c r="O51" s="544"/>
      <c r="P51" s="544"/>
      <c r="Q51" s="544"/>
      <c r="R51" s="545"/>
      <c r="S51" s="40"/>
      <c r="T51" s="40"/>
      <c r="U51" s="12"/>
      <c r="V51" s="23" t="s">
        <v>95</v>
      </c>
      <c r="W51" s="566"/>
      <c r="X51" s="567"/>
      <c r="Y51" s="567"/>
      <c r="Z51" s="567"/>
      <c r="AA51" s="567"/>
      <c r="AB51" s="567"/>
      <c r="AC51" s="568"/>
    </row>
    <row r="52" spans="1:29" x14ac:dyDescent="0.25">
      <c r="A52" s="18" t="s">
        <v>0</v>
      </c>
      <c r="B52" s="18" t="s">
        <v>1</v>
      </c>
      <c r="C52" s="18" t="s">
        <v>9</v>
      </c>
      <c r="D52" s="19" t="s">
        <v>70</v>
      </c>
      <c r="E52" s="19" t="s">
        <v>1</v>
      </c>
      <c r="F52" s="19" t="s">
        <v>70</v>
      </c>
      <c r="G52" s="489" t="str">
        <f>LEFT(DEC2HEX(V52,4),2)</f>
        <v>00</v>
      </c>
      <c r="H52" s="490"/>
      <c r="I52" s="490"/>
      <c r="J52" s="490"/>
      <c r="K52" s="490"/>
      <c r="L52" s="491"/>
      <c r="M52" s="489" t="str">
        <f>RIGHT(DEC2HEX(V52,4),2)</f>
        <v>0A</v>
      </c>
      <c r="N52" s="490"/>
      <c r="O52" s="490"/>
      <c r="P52" s="490"/>
      <c r="Q52" s="490"/>
      <c r="R52" s="491"/>
      <c r="S52" s="18" t="str">
        <f>DEC2HEX(MOD(HEX2DEC(B52)+HEX2DEC(C52)+HEX2DEC(D52)+HEX2DEC(E52)+HEX2DEC(F52)+HEX2DEC(G52)+HEX2DEC(H52)+HEX2DEC(I52)+HEX2DEC(J52)+HEX2DEC(K52)+HEX2DEC(L52)+HEX2DEC(M52)+HEX2DEC(R52),256),2)</f>
        <v>2F</v>
      </c>
      <c r="T52" s="18" t="s">
        <v>5</v>
      </c>
      <c r="U52" s="12" t="str">
        <f>IF(ISBLANK(A52),,A52&amp;" ")&amp;IF(ISBLANK(B52),,B52&amp;" ")&amp;IF(ISBLANK(C52),,C52&amp;" ")&amp;IF(ISBLANK(D52),,D52&amp;" ")&amp;IF(ISBLANK(E52),,E52&amp;" ")&amp;IF(ISBLANK(F52),,F52&amp;" ")&amp;IF(ISBLANK(G52),,G52&amp;" ")&amp;IF(ISBLANK(H52),,H52&amp;" ")&amp;IF(ISBLANK(I52),,I52&amp;" ")&amp;IF(ISBLANK(J52),,J52&amp;" ")&amp;IF(ISBLANK(K52),,K52&amp;" ")&amp;IF(ISBLANK(L52),,L52&amp;" ")&amp;IF(ISBLANK(M52),,M52&amp;" ")&amp;IF(ISBLANK(N52),,N52&amp;" ")&amp;IF(ISBLANK(O52),,O52&amp;" ")&amp;IF(ISBLANK(P52),,P52&amp;" ")&amp;IF(ISBLANK(Q52),,Q52&amp;" ")&amp;IF(ISBLANK(R52),,R52&amp;" ")&amp;IF(ISBLANK(S52),,S52&amp;" ")&amp;IF(ISBLANK(T52),,T52)</f>
        <v>aa 00 05 10 00 10 00 0A 2F 55</v>
      </c>
      <c r="V52" s="24">
        <v>10</v>
      </c>
      <c r="W52" s="474" t="s">
        <v>104</v>
      </c>
      <c r="X52" s="563"/>
      <c r="Y52" s="563"/>
      <c r="Z52" s="563"/>
      <c r="AA52" s="563"/>
      <c r="AB52" s="563"/>
      <c r="AC52" s="475"/>
    </row>
    <row r="53" spans="1:29" x14ac:dyDescent="0.2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35"/>
      <c r="V53" s="27"/>
      <c r="W53" s="27"/>
      <c r="X53" s="27"/>
      <c r="Y53" s="27"/>
      <c r="Z53" s="27"/>
      <c r="AA53" s="27"/>
      <c r="AB53" s="27"/>
      <c r="AC53" s="27"/>
    </row>
    <row r="54" spans="1:29" x14ac:dyDescent="0.25">
      <c r="A54" s="16"/>
      <c r="B54" s="17"/>
      <c r="C54" s="17"/>
      <c r="D54" s="17"/>
      <c r="E54" s="17"/>
      <c r="F54" s="17"/>
      <c r="G54" s="564"/>
      <c r="H54" s="564"/>
      <c r="I54" s="564"/>
      <c r="J54" s="564"/>
      <c r="K54" s="564"/>
      <c r="L54" s="564"/>
      <c r="M54" s="564"/>
      <c r="N54" s="564"/>
      <c r="O54" s="564"/>
      <c r="P54" s="564"/>
      <c r="Q54" s="564"/>
      <c r="R54" s="564"/>
      <c r="S54" s="17"/>
      <c r="T54" s="17"/>
      <c r="U54" s="12"/>
      <c r="V54" s="473" t="s">
        <v>105</v>
      </c>
      <c r="W54" s="473"/>
      <c r="X54" s="473"/>
      <c r="Y54" s="473"/>
      <c r="Z54" s="473"/>
      <c r="AA54" s="473"/>
      <c r="AB54" s="473"/>
      <c r="AC54" s="473"/>
    </row>
    <row r="55" spans="1:29" x14ac:dyDescent="0.25">
      <c r="A55" s="18" t="s">
        <v>0</v>
      </c>
      <c r="B55" s="18" t="s">
        <v>1</v>
      </c>
      <c r="C55" s="18" t="s">
        <v>8</v>
      </c>
      <c r="D55" s="19" t="s">
        <v>70</v>
      </c>
      <c r="E55" s="19" t="s">
        <v>1</v>
      </c>
      <c r="F55" s="19" t="s">
        <v>28</v>
      </c>
      <c r="G55" s="562"/>
      <c r="H55" s="562"/>
      <c r="I55" s="562"/>
      <c r="J55" s="562"/>
      <c r="K55" s="562"/>
      <c r="L55" s="562"/>
      <c r="M55" s="562"/>
      <c r="N55" s="562"/>
      <c r="O55" s="562"/>
      <c r="P55" s="562"/>
      <c r="Q55" s="562"/>
      <c r="R55" s="562"/>
      <c r="S55" s="18" t="str">
        <f>DEC2HEX(MOD(HEX2DEC(B55)+HEX2DEC(C55)+HEX2DEC(D55)+HEX2DEC(E55)+HEX2DEC(F55)+HEX2DEC(G55)+HEX2DEC(H55)+HEX2DEC(I55)+HEX2DEC(J55)+HEX2DEC(K55)+HEX2DEC(L55)+HEX2DEC(M55)+HEX2DEC(R55),256),2)</f>
        <v>24</v>
      </c>
      <c r="T55" s="18" t="s">
        <v>5</v>
      </c>
      <c r="U55" s="12" t="str">
        <f>IF(ISBLANK(A55),,A55&amp;" ")&amp;IF(ISBLANK(B55),,B55&amp;" ")&amp;IF(ISBLANK(C55),,C55&amp;" ")&amp;IF(ISBLANK(D55),,D55&amp;" ")&amp;IF(ISBLANK(E55),,E55&amp;" ")&amp;IF(ISBLANK(F55),,F55&amp;" ")&amp;IF(ISBLANK(G55),,G55&amp;" ")&amp;IF(ISBLANK(H55),,H55&amp;" ")&amp;IF(ISBLANK(I55),,I55&amp;" ")&amp;IF(ISBLANK(J55),,J55&amp;" ")&amp;IF(ISBLANK(K55),,K55&amp;" ")&amp;IF(ISBLANK(L55),,L55&amp;" ")&amp;IF(ISBLANK(M55),,M55&amp;" ")&amp;IF(ISBLANK(N55),,N55&amp;" ")&amp;IF(ISBLANK(O55),,O55&amp;" ")&amp;IF(ISBLANK(P55),,P55&amp;" ")&amp;IF(ISBLANK(Q55),,Q55&amp;" ")&amp;IF(ISBLANK(R55),,R55&amp;" ")&amp;IF(ISBLANK(S55),,S55&amp;" ")&amp;IF(ISBLANK(T55),,T55)</f>
        <v>aa 00 03 10 00 11 24 55</v>
      </c>
      <c r="V55" s="473" t="s">
        <v>106</v>
      </c>
      <c r="W55" s="473"/>
      <c r="X55" s="473"/>
      <c r="Y55" s="473"/>
      <c r="Z55" s="473"/>
      <c r="AA55" s="473"/>
      <c r="AB55" s="473"/>
      <c r="AC55" s="473"/>
    </row>
  </sheetData>
  <mergeCells count="66">
    <mergeCell ref="G5:N5"/>
    <mergeCell ref="G46:R46"/>
    <mergeCell ref="X6:AC6"/>
    <mergeCell ref="X7:AC7"/>
    <mergeCell ref="X8:AC8"/>
    <mergeCell ref="W46:AC46"/>
    <mergeCell ref="X5:AC5"/>
    <mergeCell ref="X9:AC9"/>
    <mergeCell ref="X10:AC10"/>
    <mergeCell ref="X11:AC11"/>
    <mergeCell ref="X13:AC13"/>
    <mergeCell ref="X14:AC14"/>
    <mergeCell ref="X15:AC15"/>
    <mergeCell ref="X16:AC16"/>
    <mergeCell ref="X17:AC17"/>
    <mergeCell ref="X18:AC18"/>
    <mergeCell ref="W47:AC47"/>
    <mergeCell ref="W51:AC51"/>
    <mergeCell ref="G51:R51"/>
    <mergeCell ref="A1:AC1"/>
    <mergeCell ref="G2:R2"/>
    <mergeCell ref="V2:AC2"/>
    <mergeCell ref="G47:L47"/>
    <mergeCell ref="M47:R47"/>
    <mergeCell ref="G3:R3"/>
    <mergeCell ref="G4:L4"/>
    <mergeCell ref="M4:R4"/>
    <mergeCell ref="W4:AC4"/>
    <mergeCell ref="W3:AC3"/>
    <mergeCell ref="Q5:R5"/>
    <mergeCell ref="O5:P5"/>
    <mergeCell ref="X12:AC12"/>
    <mergeCell ref="V55:AC55"/>
    <mergeCell ref="V54:AC54"/>
    <mergeCell ref="G55:R55"/>
    <mergeCell ref="G52:L52"/>
    <mergeCell ref="M52:R52"/>
    <mergeCell ref="W52:AC52"/>
    <mergeCell ref="G54:R54"/>
    <mergeCell ref="X19:AC19"/>
    <mergeCell ref="X20:AC20"/>
    <mergeCell ref="X21:AC21"/>
    <mergeCell ref="X22:AC22"/>
    <mergeCell ref="X23:AC23"/>
    <mergeCell ref="X24:AC24"/>
    <mergeCell ref="X25:AC25"/>
    <mergeCell ref="X26:AC26"/>
    <mergeCell ref="X27:AC27"/>
    <mergeCell ref="X28:AC28"/>
    <mergeCell ref="X29:AC29"/>
    <mergeCell ref="X30:AC30"/>
    <mergeCell ref="X31:AC31"/>
    <mergeCell ref="X32:AC32"/>
    <mergeCell ref="X33:AC33"/>
    <mergeCell ref="X39:AC39"/>
    <mergeCell ref="X34:AC34"/>
    <mergeCell ref="X35:AC35"/>
    <mergeCell ref="X36:AC36"/>
    <mergeCell ref="X37:AC37"/>
    <mergeCell ref="X38:AC38"/>
    <mergeCell ref="X44:AC44"/>
    <mergeCell ref="X45:AC45"/>
    <mergeCell ref="X40:AC40"/>
    <mergeCell ref="X41:AC41"/>
    <mergeCell ref="X42:AC42"/>
    <mergeCell ref="X43:AC43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B2:AB107"/>
  <sheetViews>
    <sheetView topLeftCell="A39" zoomScale="115" zoomScaleNormal="115" workbookViewId="0">
      <selection activeCell="U61" sqref="U61:AB98"/>
    </sheetView>
  </sheetViews>
  <sheetFormatPr defaultRowHeight="14.4" x14ac:dyDescent="0.25"/>
  <cols>
    <col min="2" max="7" width="3.6640625" customWidth="1"/>
    <col min="8" max="8" width="5.6640625" customWidth="1"/>
    <col min="9" max="19" width="3.6640625" customWidth="1"/>
    <col min="20" max="20" width="43.109375" customWidth="1"/>
    <col min="21" max="24" width="5.6640625" customWidth="1"/>
    <col min="25" max="28" width="10.6640625" customWidth="1"/>
  </cols>
  <sheetData>
    <row r="2" spans="2:28" x14ac:dyDescent="0.25">
      <c r="B2" s="498" t="s">
        <v>413</v>
      </c>
      <c r="C2" s="498"/>
      <c r="D2" s="498"/>
      <c r="E2" s="498"/>
      <c r="F2" s="498"/>
      <c r="G2" s="498"/>
      <c r="H2" s="498"/>
      <c r="I2" s="498"/>
      <c r="J2" s="498"/>
      <c r="K2" s="498"/>
      <c r="L2" s="498"/>
      <c r="M2" s="498"/>
      <c r="N2" s="498"/>
      <c r="O2" s="498"/>
      <c r="P2" s="498"/>
      <c r="Q2" s="498"/>
      <c r="R2" s="498"/>
      <c r="S2" s="498"/>
      <c r="T2" s="498"/>
      <c r="U2" s="498"/>
      <c r="V2" s="498"/>
      <c r="W2" s="498"/>
      <c r="X2" s="498"/>
      <c r="Y2" s="498"/>
      <c r="Z2" s="498"/>
      <c r="AA2" s="498"/>
      <c r="AB2" s="498"/>
    </row>
    <row r="3" spans="2:28" x14ac:dyDescent="0.25">
      <c r="B3" s="498"/>
      <c r="C3" s="498"/>
      <c r="D3" s="498"/>
      <c r="E3" s="498"/>
      <c r="F3" s="498"/>
      <c r="G3" s="498"/>
      <c r="H3" s="498"/>
      <c r="I3" s="498"/>
      <c r="J3" s="498"/>
      <c r="K3" s="498"/>
      <c r="L3" s="498"/>
      <c r="M3" s="498"/>
      <c r="N3" s="498"/>
      <c r="O3" s="498"/>
      <c r="P3" s="498"/>
      <c r="Q3" s="498"/>
      <c r="R3" s="498"/>
      <c r="S3" s="498"/>
      <c r="T3" s="498"/>
      <c r="U3" s="498"/>
      <c r="V3" s="498"/>
      <c r="W3" s="498"/>
      <c r="X3" s="498"/>
      <c r="Y3" s="498"/>
      <c r="Z3" s="498"/>
      <c r="AA3" s="498"/>
      <c r="AB3" s="498"/>
    </row>
    <row r="4" spans="2:28" x14ac:dyDescent="0.25">
      <c r="B4" s="435" t="s">
        <v>275</v>
      </c>
      <c r="C4" s="435"/>
      <c r="D4" s="435"/>
      <c r="E4" s="435"/>
      <c r="F4" s="435"/>
      <c r="G4" s="435"/>
      <c r="H4" s="435"/>
      <c r="I4" s="435"/>
      <c r="J4" s="435"/>
      <c r="K4" s="435"/>
      <c r="L4" s="435"/>
      <c r="M4" s="435"/>
      <c r="N4" s="435"/>
      <c r="O4" s="435"/>
      <c r="P4" s="435"/>
      <c r="Q4" s="435"/>
      <c r="R4" s="435"/>
      <c r="S4" s="435"/>
      <c r="T4" s="233" t="s">
        <v>266</v>
      </c>
      <c r="U4" s="435" t="s">
        <v>267</v>
      </c>
      <c r="V4" s="435"/>
      <c r="W4" s="435"/>
      <c r="X4" s="435"/>
      <c r="Y4" s="435" t="s">
        <v>268</v>
      </c>
      <c r="Z4" s="435"/>
      <c r="AA4" s="435"/>
      <c r="AB4" s="435"/>
    </row>
    <row r="5" spans="2:28" ht="16.8" x14ac:dyDescent="0.25">
      <c r="B5" s="86" t="s">
        <v>77</v>
      </c>
      <c r="C5" s="234" t="s">
        <v>78</v>
      </c>
      <c r="D5" s="234" t="s">
        <v>10</v>
      </c>
      <c r="E5" s="234" t="s">
        <v>79</v>
      </c>
      <c r="F5" s="234" t="s">
        <v>80</v>
      </c>
      <c r="G5" s="234" t="s">
        <v>11</v>
      </c>
      <c r="H5" s="436" t="s">
        <v>83</v>
      </c>
      <c r="I5" s="436"/>
      <c r="J5" s="436"/>
      <c r="K5" s="436"/>
      <c r="L5" s="436"/>
      <c r="M5" s="436"/>
      <c r="N5" s="436"/>
      <c r="O5" s="436"/>
      <c r="P5" s="436"/>
      <c r="Q5" s="436"/>
      <c r="R5" s="83" t="s">
        <v>81</v>
      </c>
      <c r="S5" s="83" t="s">
        <v>82</v>
      </c>
      <c r="T5" s="51" t="s">
        <v>276</v>
      </c>
      <c r="U5" s="45" t="s">
        <v>417</v>
      </c>
      <c r="V5" s="45" t="s">
        <v>418</v>
      </c>
      <c r="W5" s="439" t="s">
        <v>6</v>
      </c>
      <c r="X5" s="439"/>
      <c r="Y5" s="439"/>
      <c r="Z5" s="439"/>
      <c r="AA5" s="439"/>
      <c r="AB5" s="439"/>
    </row>
    <row r="6" spans="2:28" x14ac:dyDescent="0.25">
      <c r="B6" s="84" t="s">
        <v>0</v>
      </c>
      <c r="C6" s="75" t="s">
        <v>1</v>
      </c>
      <c r="D6" s="75" t="s">
        <v>9</v>
      </c>
      <c r="E6" s="76" t="s">
        <v>419</v>
      </c>
      <c r="F6" s="76" t="s">
        <v>1</v>
      </c>
      <c r="G6" s="76" t="s">
        <v>1</v>
      </c>
      <c r="H6" s="54" t="str">
        <f>DEC2HEX(U6,2)</f>
        <v>01</v>
      </c>
      <c r="I6" s="54" t="str">
        <f>DEC2HEX(V6,2)</f>
        <v>0A</v>
      </c>
      <c r="J6" s="57"/>
      <c r="K6" s="57"/>
      <c r="L6" s="57"/>
      <c r="M6" s="57"/>
      <c r="N6" s="57"/>
      <c r="O6" s="57"/>
      <c r="P6" s="57"/>
      <c r="Q6" s="57"/>
      <c r="R6" s="84" t="str">
        <f>DEC2HEX(MOD(HEX2DEC(C6)+HEX2DEC(D6)+HEX2DEC(E6)+HEX2DEC(F6)+HEX2DEC(G6)+HEX2DEC(H6)+HEX2DEC(I6)+HEX2DEC(J6)+HEX2DEC(K6)+HEX2DEC(L6)+HEX2DEC(M6)+HEX2DEC(N6)+HEX2DEC(Q6),256),2)</f>
        <v>80</v>
      </c>
      <c r="S6" s="84" t="s">
        <v>5</v>
      </c>
      <c r="T6" s="55" t="str">
        <f>IF(ISBLANK(B6),,B6&amp;" ")&amp;IF(ISBLANK(C6),,C6&amp;"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")&amp;IF(ISBLANK(Q6),,Q6&amp;" ")&amp;IF(ISBLANK(R6),,R6&amp;" ")&amp;IF(ISBLANK(S6),,S6)</f>
        <v>aa 00 05 70 00 00 01 0A 80 55</v>
      </c>
      <c r="U6" s="116">
        <v>1</v>
      </c>
      <c r="V6" s="116">
        <v>10</v>
      </c>
      <c r="W6" s="440" t="s">
        <v>415</v>
      </c>
      <c r="X6" s="440"/>
      <c r="Y6" s="440"/>
      <c r="Z6" s="440"/>
      <c r="AA6" s="440"/>
      <c r="AB6" s="440"/>
    </row>
    <row r="7" spans="2:28" x14ac:dyDescent="0.25">
      <c r="B7" s="84" t="s">
        <v>0</v>
      </c>
      <c r="C7" s="75" t="s">
        <v>1</v>
      </c>
      <c r="D7" s="75" t="s">
        <v>8</v>
      </c>
      <c r="E7" s="76" t="s">
        <v>419</v>
      </c>
      <c r="F7" s="76" t="s">
        <v>1</v>
      </c>
      <c r="G7" s="76" t="s">
        <v>70</v>
      </c>
      <c r="H7" s="57"/>
      <c r="I7" s="57"/>
      <c r="J7" s="57"/>
      <c r="K7" s="57"/>
      <c r="L7" s="57"/>
      <c r="M7" s="57"/>
      <c r="N7" s="57"/>
      <c r="O7" s="57"/>
      <c r="P7" s="57"/>
      <c r="Q7" s="57"/>
      <c r="R7" s="84" t="str">
        <f>DEC2HEX(MOD(HEX2DEC(C7)+HEX2DEC(D7)+HEX2DEC(E7)+HEX2DEC(F7)+HEX2DEC(G7)+HEX2DEC(H7)+HEX2DEC(I7)+HEX2DEC(J7)+HEX2DEC(K7)+HEX2DEC(L7)+HEX2DEC(M7)+HEX2DEC(N7)+HEX2DEC(Q7),256),2)</f>
        <v>83</v>
      </c>
      <c r="S7" s="84" t="s">
        <v>5</v>
      </c>
      <c r="T7" s="55" t="str">
        <f>IF(ISBLANK(B7),,B7&amp;" ")&amp;IF(ISBLANK(C7),,C7&amp;" ")&amp;IF(ISBLANK(D7),,D7&amp;" ")&amp;IF(ISBLANK(E7),,E7&amp;" ")&amp;IF(ISBLANK(F7),,F7&amp;" ")&amp;IF(ISBLANK(G7),,G7&amp;" ")&amp;IF(ISBLANK(H7),,H7&amp;" ")&amp;IF(ISBLANK(I7),,I7&amp;" ")&amp;IF(ISBLANK(J7),,J7&amp;" ")&amp;IF(ISBLANK(K7),,K7&amp;" ")&amp;IF(ISBLANK(L7),,L7&amp;" ")&amp;IF(ISBLANK(M7),,M7&amp;" ")&amp;IF(ISBLANK(N7),,N7&amp;" ")&amp;IF(ISBLANK(Q7),,Q7&amp;" ")&amp;IF(ISBLANK(R7),,R7&amp;" ")&amp;IF(ISBLANK(S7),,S7)</f>
        <v>aa 00 03 70 00 10 83 55</v>
      </c>
      <c r="U7" s="440" t="s">
        <v>414</v>
      </c>
      <c r="V7" s="440"/>
      <c r="W7" s="440"/>
      <c r="X7" s="440"/>
      <c r="Y7" s="440"/>
      <c r="Z7" s="440"/>
      <c r="AA7" s="440"/>
      <c r="AB7" s="440"/>
    </row>
    <row r="8" spans="2:28" x14ac:dyDescent="0.25">
      <c r="B8" s="84" t="s">
        <v>0</v>
      </c>
      <c r="C8" s="75" t="s">
        <v>1</v>
      </c>
      <c r="D8" s="75" t="s">
        <v>8</v>
      </c>
      <c r="E8" s="76" t="s">
        <v>419</v>
      </c>
      <c r="F8" s="76" t="s">
        <v>1</v>
      </c>
      <c r="G8" s="76" t="s">
        <v>28</v>
      </c>
      <c r="H8" s="57"/>
      <c r="I8" s="57"/>
      <c r="J8" s="57"/>
      <c r="K8" s="57"/>
      <c r="L8" s="57"/>
      <c r="M8" s="57"/>
      <c r="N8" s="57"/>
      <c r="O8" s="57"/>
      <c r="P8" s="57"/>
      <c r="Q8" s="57"/>
      <c r="R8" s="84" t="str">
        <f>DEC2HEX(MOD(HEX2DEC(C8)+HEX2DEC(D8)+HEX2DEC(E8)+HEX2DEC(F8)+HEX2DEC(G8)+HEX2DEC(H8)+HEX2DEC(I8)+HEX2DEC(J8)+HEX2DEC(K8)+HEX2DEC(L8)+HEX2DEC(M8)+HEX2DEC(N8)+HEX2DEC(Q8),256),2)</f>
        <v>84</v>
      </c>
      <c r="S8" s="84" t="s">
        <v>5</v>
      </c>
      <c r="T8" s="55" t="str">
        <f>IF(ISBLANK(B8),,B8&amp;" ")&amp;IF(ISBLANK(C8),,C8&amp;" ")&amp;IF(ISBLANK(D8),,D8&amp;" ")&amp;IF(ISBLANK(E8),,E8&amp;" ")&amp;IF(ISBLANK(F8),,F8&amp;" ")&amp;IF(ISBLANK(G8),,G8&amp;" ")&amp;IF(ISBLANK(H8),,H8&amp;" ")&amp;IF(ISBLANK(I8),,I8&amp;" ")&amp;IF(ISBLANK(J8),,J8&amp;" ")&amp;IF(ISBLANK(K8),,K8&amp;" ")&amp;IF(ISBLANK(L8),,L8&amp;" ")&amp;IF(ISBLANK(M8),,M8&amp;" ")&amp;IF(ISBLANK(N8),,N8&amp;" ")&amp;IF(ISBLANK(Q8),,Q8&amp;" ")&amp;IF(ISBLANK(R8),,R8&amp;" ")&amp;IF(ISBLANK(S8),,S8)</f>
        <v>aa 00 03 70 00 11 84 55</v>
      </c>
      <c r="U8" s="440" t="s">
        <v>899</v>
      </c>
      <c r="V8" s="440"/>
      <c r="W8" s="440"/>
      <c r="X8" s="440"/>
      <c r="Y8" s="440"/>
      <c r="Z8" s="440"/>
      <c r="AA8" s="440"/>
      <c r="AB8" s="440"/>
    </row>
    <row r="10" spans="2:28" x14ac:dyDescent="0.25">
      <c r="B10" s="498" t="s">
        <v>897</v>
      </c>
      <c r="C10" s="498"/>
      <c r="D10" s="498"/>
      <c r="E10" s="498"/>
      <c r="F10" s="498"/>
      <c r="G10" s="498"/>
      <c r="H10" s="498"/>
      <c r="I10" s="498"/>
      <c r="J10" s="498"/>
      <c r="K10" s="498"/>
      <c r="L10" s="498"/>
      <c r="M10" s="498"/>
      <c r="N10" s="498"/>
      <c r="O10" s="498"/>
      <c r="P10" s="498"/>
      <c r="Q10" s="498"/>
      <c r="R10" s="498"/>
      <c r="S10" s="498"/>
      <c r="T10" s="498"/>
      <c r="U10" s="498"/>
      <c r="V10" s="498"/>
      <c r="W10" s="498"/>
      <c r="X10" s="498"/>
      <c r="Y10" s="498"/>
      <c r="Z10" s="498"/>
      <c r="AA10" s="498"/>
      <c r="AB10" s="498"/>
    </row>
    <row r="11" spans="2:28" x14ac:dyDescent="0.25">
      <c r="B11" s="498"/>
      <c r="C11" s="498"/>
      <c r="D11" s="498"/>
      <c r="E11" s="498"/>
      <c r="F11" s="498"/>
      <c r="G11" s="498"/>
      <c r="H11" s="498"/>
      <c r="I11" s="498"/>
      <c r="J11" s="498"/>
      <c r="K11" s="498"/>
      <c r="L11" s="498"/>
      <c r="M11" s="498"/>
      <c r="N11" s="498"/>
      <c r="O11" s="498"/>
      <c r="P11" s="498"/>
      <c r="Q11" s="498"/>
      <c r="R11" s="498"/>
      <c r="S11" s="498"/>
      <c r="T11" s="498"/>
      <c r="U11" s="498"/>
      <c r="V11" s="498"/>
      <c r="W11" s="498"/>
      <c r="X11" s="498"/>
      <c r="Y11" s="498"/>
      <c r="Z11" s="498"/>
      <c r="AA11" s="498"/>
      <c r="AB11" s="498"/>
    </row>
    <row r="12" spans="2:28" x14ac:dyDescent="0.25">
      <c r="B12" s="435" t="s">
        <v>275</v>
      </c>
      <c r="C12" s="435"/>
      <c r="D12" s="435"/>
      <c r="E12" s="435"/>
      <c r="F12" s="435"/>
      <c r="G12" s="435"/>
      <c r="H12" s="435"/>
      <c r="I12" s="435"/>
      <c r="J12" s="435"/>
      <c r="K12" s="435"/>
      <c r="L12" s="435"/>
      <c r="M12" s="435"/>
      <c r="N12" s="435"/>
      <c r="O12" s="435"/>
      <c r="P12" s="435"/>
      <c r="Q12" s="435"/>
      <c r="R12" s="435"/>
      <c r="S12" s="435"/>
      <c r="T12" s="233" t="s">
        <v>266</v>
      </c>
      <c r="U12" s="435" t="s">
        <v>267</v>
      </c>
      <c r="V12" s="435"/>
      <c r="W12" s="435"/>
      <c r="X12" s="435"/>
      <c r="Y12" s="435" t="s">
        <v>268</v>
      </c>
      <c r="Z12" s="435"/>
      <c r="AA12" s="435"/>
      <c r="AB12" s="435"/>
    </row>
    <row r="13" spans="2:28" ht="16.8" x14ac:dyDescent="0.25">
      <c r="B13" s="86" t="s">
        <v>77</v>
      </c>
      <c r="C13" s="234" t="s">
        <v>78</v>
      </c>
      <c r="D13" s="234" t="s">
        <v>10</v>
      </c>
      <c r="E13" s="234" t="s">
        <v>79</v>
      </c>
      <c r="F13" s="234" t="s">
        <v>80</v>
      </c>
      <c r="G13" s="234" t="s">
        <v>11</v>
      </c>
      <c r="H13" s="436" t="s">
        <v>83</v>
      </c>
      <c r="I13" s="436"/>
      <c r="J13" s="436"/>
      <c r="K13" s="436"/>
      <c r="L13" s="436"/>
      <c r="M13" s="436"/>
      <c r="N13" s="436"/>
      <c r="O13" s="436"/>
      <c r="P13" s="436"/>
      <c r="Q13" s="436"/>
      <c r="R13" s="83" t="s">
        <v>81</v>
      </c>
      <c r="S13" s="83" t="s">
        <v>82</v>
      </c>
      <c r="T13" s="51" t="s">
        <v>276</v>
      </c>
      <c r="U13" s="45" t="s">
        <v>417</v>
      </c>
      <c r="V13" s="45" t="s">
        <v>418</v>
      </c>
      <c r="W13" s="439" t="s">
        <v>6</v>
      </c>
      <c r="X13" s="439"/>
      <c r="Y13" s="439"/>
      <c r="Z13" s="439"/>
      <c r="AA13" s="439"/>
      <c r="AB13" s="439"/>
    </row>
    <row r="14" spans="2:28" x14ac:dyDescent="0.25">
      <c r="B14" s="84" t="s">
        <v>0</v>
      </c>
      <c r="C14" s="75" t="s">
        <v>1</v>
      </c>
      <c r="D14" s="75" t="s">
        <v>9</v>
      </c>
      <c r="E14" s="76" t="s">
        <v>428</v>
      </c>
      <c r="F14" s="76" t="s">
        <v>1</v>
      </c>
      <c r="G14" s="76" t="s">
        <v>1</v>
      </c>
      <c r="H14" s="54" t="str">
        <f>DEC2HEX(U14,2)</f>
        <v>02</v>
      </c>
      <c r="I14" s="54" t="str">
        <f>DEC2HEX(V14,2)</f>
        <v>0A</v>
      </c>
      <c r="J14" s="57"/>
      <c r="K14" s="57"/>
      <c r="L14" s="57"/>
      <c r="M14" s="57"/>
      <c r="N14" s="57"/>
      <c r="O14" s="57"/>
      <c r="P14" s="57"/>
      <c r="Q14" s="57"/>
      <c r="R14" s="84" t="str">
        <f>DEC2HEX(MOD(HEX2DEC(C14)+HEX2DEC(D14)+HEX2DEC(E14)+HEX2DEC(F14)+HEX2DEC(G14)+HEX2DEC(H14)+HEX2DEC(I14)+HEX2DEC(J14)+HEX2DEC(K14)+HEX2DEC(L14)+HEX2DEC(M14)+HEX2DEC(N14)+HEX2DEC(Q14),256),2)</f>
        <v>82</v>
      </c>
      <c r="S14" s="84" t="s">
        <v>5</v>
      </c>
      <c r="T14" s="55" t="str">
        <f>IF(ISBLANK(B14),,B14&amp;" ")&amp;IF(ISBLANK(C14),,C14&amp;" ")&amp;IF(ISBLANK(D14),,D14&amp;" ")&amp;IF(ISBLANK(E14),,E14&amp;" ")&amp;IF(ISBLANK(F14),,F14&amp;" ")&amp;IF(ISBLANK(G14),,G14&amp;" ")&amp;IF(ISBLANK(H14),,H14&amp;" ")&amp;IF(ISBLANK(I14),,I14&amp;" ")&amp;IF(ISBLANK(J14),,J14&amp;" ")&amp;IF(ISBLANK(K14),,K14&amp;" ")&amp;IF(ISBLANK(L14),,L14&amp;" ")&amp;IF(ISBLANK(M14),,M14&amp;" ")&amp;IF(ISBLANK(N14),,N14&amp;" ")&amp;IF(ISBLANK(Q14),,Q14&amp;" ")&amp;IF(ISBLANK(R14),,R14&amp;" ")&amp;IF(ISBLANK(S14),,S14)</f>
        <v>aa 00 05 71 00 00 02 0A 82 55</v>
      </c>
      <c r="U14" s="116">
        <v>2</v>
      </c>
      <c r="V14" s="116">
        <v>10</v>
      </c>
      <c r="W14" s="440" t="s">
        <v>421</v>
      </c>
      <c r="X14" s="440"/>
      <c r="Y14" s="440"/>
      <c r="Z14" s="440"/>
      <c r="AA14" s="440"/>
      <c r="AB14" s="440"/>
    </row>
    <row r="15" spans="2:28" x14ac:dyDescent="0.25">
      <c r="B15" s="84" t="s">
        <v>0</v>
      </c>
      <c r="C15" s="75" t="s">
        <v>1</v>
      </c>
      <c r="D15" s="75" t="s">
        <v>8</v>
      </c>
      <c r="E15" s="76" t="s">
        <v>428</v>
      </c>
      <c r="F15" s="76" t="s">
        <v>1</v>
      </c>
      <c r="G15" s="76" t="s">
        <v>70</v>
      </c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84" t="str">
        <f>DEC2HEX(MOD(HEX2DEC(C15)+HEX2DEC(D15)+HEX2DEC(E15)+HEX2DEC(F15)+HEX2DEC(G15)+HEX2DEC(H15)+HEX2DEC(I15)+HEX2DEC(J15)+HEX2DEC(K15)+HEX2DEC(L15)+HEX2DEC(M15)+HEX2DEC(N15)+HEX2DEC(Q15),256),2)</f>
        <v>84</v>
      </c>
      <c r="S15" s="84" t="s">
        <v>5</v>
      </c>
      <c r="T15" s="55" t="str">
        <f>IF(ISBLANK(B15),,B15&amp;" ")&amp;IF(ISBLANK(C15),,C15&amp;" ")&amp;IF(ISBLANK(D15),,D15&amp;" ")&amp;IF(ISBLANK(E15),,E15&amp;" ")&amp;IF(ISBLANK(F15),,F15&amp;" ")&amp;IF(ISBLANK(G15),,G15&amp;" ")&amp;IF(ISBLANK(H15),,H15&amp;" ")&amp;IF(ISBLANK(I15),,I15&amp;" ")&amp;IF(ISBLANK(J15),,J15&amp;" ")&amp;IF(ISBLANK(K15),,K15&amp;" ")&amp;IF(ISBLANK(L15),,L15&amp;" ")&amp;IF(ISBLANK(M15),,M15&amp;" ")&amp;IF(ISBLANK(N15),,N15&amp;" ")&amp;IF(ISBLANK(Q15),,Q15&amp;" ")&amp;IF(ISBLANK(R15),,R15&amp;" ")&amp;IF(ISBLANK(S15),,S15)</f>
        <v>aa 00 03 71 00 10 84 55</v>
      </c>
      <c r="U15" s="440" t="s">
        <v>422</v>
      </c>
      <c r="V15" s="440"/>
      <c r="W15" s="440"/>
      <c r="X15" s="440"/>
      <c r="Y15" s="440"/>
      <c r="Z15" s="440"/>
      <c r="AA15" s="440"/>
      <c r="AB15" s="440"/>
    </row>
    <row r="16" spans="2:28" x14ac:dyDescent="0.25">
      <c r="B16" s="84" t="s">
        <v>0</v>
      </c>
      <c r="C16" s="75" t="s">
        <v>1</v>
      </c>
      <c r="D16" s="75" t="s">
        <v>8</v>
      </c>
      <c r="E16" s="76" t="s">
        <v>428</v>
      </c>
      <c r="F16" s="76" t="s">
        <v>1</v>
      </c>
      <c r="G16" s="76" t="s">
        <v>28</v>
      </c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84" t="str">
        <f>DEC2HEX(MOD(HEX2DEC(C16)+HEX2DEC(D16)+HEX2DEC(E16)+HEX2DEC(F16)+HEX2DEC(G16)+HEX2DEC(H16)+HEX2DEC(I16)+HEX2DEC(J16)+HEX2DEC(K16)+HEX2DEC(L16)+HEX2DEC(M16)+HEX2DEC(N16)+HEX2DEC(Q16),256),2)</f>
        <v>85</v>
      </c>
      <c r="S16" s="84" t="s">
        <v>5</v>
      </c>
      <c r="T16" s="55" t="str">
        <f>IF(ISBLANK(B16),,B16&amp;" ")&amp;IF(ISBLANK(C16),,C16&amp;" ")&amp;IF(ISBLANK(D16),,D16&amp;" ")&amp;IF(ISBLANK(E16),,E16&amp;" ")&amp;IF(ISBLANK(F16),,F16&amp;" ")&amp;IF(ISBLANK(G16),,G16&amp;" ")&amp;IF(ISBLANK(H16),,H16&amp;" ")&amp;IF(ISBLANK(I16),,I16&amp;" ")&amp;IF(ISBLANK(J16),,J16&amp;" ")&amp;IF(ISBLANK(K16),,K16&amp;" ")&amp;IF(ISBLANK(L16),,L16&amp;" ")&amp;IF(ISBLANK(M16),,M16&amp;" ")&amp;IF(ISBLANK(N16),,N16&amp;" ")&amp;IF(ISBLANK(Q16),,Q16&amp;" ")&amp;IF(ISBLANK(R16),,R16&amp;" ")&amp;IF(ISBLANK(S16),,S16)</f>
        <v>aa 00 03 71 00 11 85 55</v>
      </c>
      <c r="U16" s="440" t="s">
        <v>423</v>
      </c>
      <c r="V16" s="440"/>
      <c r="W16" s="440"/>
      <c r="X16" s="440"/>
      <c r="Y16" s="440"/>
      <c r="Z16" s="440"/>
      <c r="AA16" s="440"/>
      <c r="AB16" s="440"/>
    </row>
    <row r="18" spans="2:28" x14ac:dyDescent="0.25">
      <c r="B18" s="498" t="s">
        <v>424</v>
      </c>
      <c r="C18" s="498"/>
      <c r="D18" s="498"/>
      <c r="E18" s="498"/>
      <c r="F18" s="498"/>
      <c r="G18" s="498"/>
      <c r="H18" s="498"/>
      <c r="I18" s="498"/>
      <c r="J18" s="498"/>
      <c r="K18" s="498"/>
      <c r="L18" s="498"/>
      <c r="M18" s="498"/>
      <c r="N18" s="498"/>
      <c r="O18" s="498"/>
      <c r="P18" s="498"/>
      <c r="Q18" s="498"/>
      <c r="R18" s="498"/>
      <c r="S18" s="498"/>
      <c r="T18" s="498"/>
      <c r="U18" s="498"/>
      <c r="V18" s="498"/>
      <c r="W18" s="498"/>
      <c r="X18" s="498"/>
      <c r="Y18" s="498"/>
      <c r="Z18" s="498"/>
      <c r="AA18" s="498"/>
      <c r="AB18" s="498"/>
    </row>
    <row r="19" spans="2:28" x14ac:dyDescent="0.25">
      <c r="B19" s="498"/>
      <c r="C19" s="498"/>
      <c r="D19" s="498"/>
      <c r="E19" s="498"/>
      <c r="F19" s="498"/>
      <c r="G19" s="498"/>
      <c r="H19" s="498"/>
      <c r="I19" s="498"/>
      <c r="J19" s="498"/>
      <c r="K19" s="498"/>
      <c r="L19" s="498"/>
      <c r="M19" s="498"/>
      <c r="N19" s="498"/>
      <c r="O19" s="498"/>
      <c r="P19" s="498"/>
      <c r="Q19" s="498"/>
      <c r="R19" s="498"/>
      <c r="S19" s="498"/>
      <c r="T19" s="498"/>
      <c r="U19" s="498"/>
      <c r="V19" s="498"/>
      <c r="W19" s="498"/>
      <c r="X19" s="498"/>
      <c r="Y19" s="498"/>
      <c r="Z19" s="498"/>
      <c r="AA19" s="498"/>
      <c r="AB19" s="498"/>
    </row>
    <row r="20" spans="2:28" x14ac:dyDescent="0.25">
      <c r="B20" s="435" t="s">
        <v>275</v>
      </c>
      <c r="C20" s="435"/>
      <c r="D20" s="435"/>
      <c r="E20" s="435"/>
      <c r="F20" s="435"/>
      <c r="G20" s="435"/>
      <c r="H20" s="435"/>
      <c r="I20" s="435"/>
      <c r="J20" s="435"/>
      <c r="K20" s="435"/>
      <c r="L20" s="435"/>
      <c r="M20" s="435"/>
      <c r="N20" s="435"/>
      <c r="O20" s="435"/>
      <c r="P20" s="435"/>
      <c r="Q20" s="435"/>
      <c r="R20" s="435"/>
      <c r="S20" s="435"/>
      <c r="T20" s="233" t="s">
        <v>266</v>
      </c>
      <c r="U20" s="435" t="s">
        <v>267</v>
      </c>
      <c r="V20" s="435"/>
      <c r="W20" s="435"/>
      <c r="X20" s="435"/>
      <c r="Y20" s="435" t="s">
        <v>268</v>
      </c>
      <c r="Z20" s="435"/>
      <c r="AA20" s="435"/>
      <c r="AB20" s="435"/>
    </row>
    <row r="21" spans="2:28" ht="16.8" x14ac:dyDescent="0.25">
      <c r="B21" s="86" t="s">
        <v>77</v>
      </c>
      <c r="C21" s="234" t="s">
        <v>78</v>
      </c>
      <c r="D21" s="234" t="s">
        <v>10</v>
      </c>
      <c r="E21" s="234" t="s">
        <v>79</v>
      </c>
      <c r="F21" s="234" t="s">
        <v>80</v>
      </c>
      <c r="G21" s="234" t="s">
        <v>11</v>
      </c>
      <c r="H21" s="436" t="s">
        <v>83</v>
      </c>
      <c r="I21" s="436"/>
      <c r="J21" s="436"/>
      <c r="K21" s="436"/>
      <c r="L21" s="436"/>
      <c r="M21" s="436"/>
      <c r="N21" s="436"/>
      <c r="O21" s="436"/>
      <c r="P21" s="436"/>
      <c r="Q21" s="436"/>
      <c r="R21" s="83" t="s">
        <v>81</v>
      </c>
      <c r="S21" s="83" t="s">
        <v>82</v>
      </c>
      <c r="T21" s="51" t="s">
        <v>276</v>
      </c>
      <c r="U21" s="45" t="s">
        <v>417</v>
      </c>
      <c r="V21" s="45" t="s">
        <v>418</v>
      </c>
      <c r="W21" s="439" t="s">
        <v>6</v>
      </c>
      <c r="X21" s="439"/>
      <c r="Y21" s="439"/>
      <c r="Z21" s="439"/>
      <c r="AA21" s="439"/>
      <c r="AB21" s="439"/>
    </row>
    <row r="22" spans="2:28" x14ac:dyDescent="0.25">
      <c r="B22" s="84" t="s">
        <v>0</v>
      </c>
      <c r="C22" s="75" t="s">
        <v>1</v>
      </c>
      <c r="D22" s="75" t="s">
        <v>9</v>
      </c>
      <c r="E22" s="76" t="s">
        <v>429</v>
      </c>
      <c r="F22" s="76" t="s">
        <v>1</v>
      </c>
      <c r="G22" s="76" t="s">
        <v>1</v>
      </c>
      <c r="H22" s="54" t="str">
        <f>DEC2HEX(U22,2)</f>
        <v>03</v>
      </c>
      <c r="I22" s="54" t="str">
        <f>DEC2HEX(V22,2)</f>
        <v>0A</v>
      </c>
      <c r="J22" s="57"/>
      <c r="K22" s="57"/>
      <c r="L22" s="57"/>
      <c r="M22" s="57"/>
      <c r="N22" s="57"/>
      <c r="O22" s="57"/>
      <c r="P22" s="57"/>
      <c r="Q22" s="57"/>
      <c r="R22" s="84" t="str">
        <f>DEC2HEX(MOD(HEX2DEC(C22)+HEX2DEC(D22)+HEX2DEC(E22)+HEX2DEC(F22)+HEX2DEC(G22)+HEX2DEC(H22)+HEX2DEC(I22)+HEX2DEC(J22)+HEX2DEC(K22)+HEX2DEC(L22)+HEX2DEC(M22)+HEX2DEC(N22)+HEX2DEC(Q22),256),2)</f>
        <v>84</v>
      </c>
      <c r="S22" s="84" t="s">
        <v>5</v>
      </c>
      <c r="T22" s="55" t="str">
        <f>IF(ISBLANK(B22),,B22&amp;" ")&amp;IF(ISBLANK(C22),,C22&amp;" ")&amp;IF(ISBLANK(D22),,D22&amp;" ")&amp;IF(ISBLANK(E22),,E22&amp;" ")&amp;IF(ISBLANK(F22),,F22&amp;" ")&amp;IF(ISBLANK(G22),,G22&amp;" ")&amp;IF(ISBLANK(H22),,H22&amp;" ")&amp;IF(ISBLANK(I22),,I22&amp;" ")&amp;IF(ISBLANK(J22),,J22&amp;" ")&amp;IF(ISBLANK(K22),,K22&amp;" ")&amp;IF(ISBLANK(L22),,L22&amp;" ")&amp;IF(ISBLANK(M22),,M22&amp;" ")&amp;IF(ISBLANK(N22),,N22&amp;" ")&amp;IF(ISBLANK(Q22),,Q22&amp;" ")&amp;IF(ISBLANK(R22),,R22&amp;" ")&amp;IF(ISBLANK(S22),,S22)</f>
        <v>aa 00 05 72 00 00 03 0A 84 55</v>
      </c>
      <c r="U22" s="116">
        <v>3</v>
      </c>
      <c r="V22" s="116">
        <v>10</v>
      </c>
      <c r="W22" s="440" t="s">
        <v>425</v>
      </c>
      <c r="X22" s="440"/>
      <c r="Y22" s="440"/>
      <c r="Z22" s="440"/>
      <c r="AA22" s="440"/>
      <c r="AB22" s="440"/>
    </row>
    <row r="23" spans="2:28" x14ac:dyDescent="0.25">
      <c r="B23" s="84" t="s">
        <v>0</v>
      </c>
      <c r="C23" s="75" t="s">
        <v>1</v>
      </c>
      <c r="D23" s="75" t="s">
        <v>8</v>
      </c>
      <c r="E23" s="76" t="s">
        <v>429</v>
      </c>
      <c r="F23" s="76" t="s">
        <v>1</v>
      </c>
      <c r="G23" s="76" t="s">
        <v>70</v>
      </c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84" t="str">
        <f>DEC2HEX(MOD(HEX2DEC(C23)+HEX2DEC(D23)+HEX2DEC(E23)+HEX2DEC(F23)+HEX2DEC(G23)+HEX2DEC(H23)+HEX2DEC(I23)+HEX2DEC(J23)+HEX2DEC(K23)+HEX2DEC(L23)+HEX2DEC(M23)+HEX2DEC(N23)+HEX2DEC(Q23),256),2)</f>
        <v>85</v>
      </c>
      <c r="S23" s="84" t="s">
        <v>5</v>
      </c>
      <c r="T23" s="55" t="str">
        <f>IF(ISBLANK(B23),,B23&amp;" ")&amp;IF(ISBLANK(C23),,C23&amp;" ")&amp;IF(ISBLANK(D23),,D23&amp;" ")&amp;IF(ISBLANK(E23),,E23&amp;" ")&amp;IF(ISBLANK(F23),,F23&amp;" ")&amp;IF(ISBLANK(G23),,G23&amp;" ")&amp;IF(ISBLANK(H23),,H23&amp;" ")&amp;IF(ISBLANK(I23),,I23&amp;" ")&amp;IF(ISBLANK(J23),,J23&amp;" ")&amp;IF(ISBLANK(K23),,K23&amp;" ")&amp;IF(ISBLANK(L23),,L23&amp;" ")&amp;IF(ISBLANK(M23),,M23&amp;" ")&amp;IF(ISBLANK(N23),,N23&amp;" ")&amp;IF(ISBLANK(Q23),,Q23&amp;" ")&amp;IF(ISBLANK(R23),,R23&amp;" ")&amp;IF(ISBLANK(S23),,S23)</f>
        <v>aa 00 03 72 00 10 85 55</v>
      </c>
      <c r="U23" s="440" t="s">
        <v>426</v>
      </c>
      <c r="V23" s="440"/>
      <c r="W23" s="440"/>
      <c r="X23" s="440"/>
      <c r="Y23" s="440"/>
      <c r="Z23" s="440"/>
      <c r="AA23" s="440"/>
      <c r="AB23" s="440"/>
    </row>
    <row r="24" spans="2:28" x14ac:dyDescent="0.25">
      <c r="B24" s="84" t="s">
        <v>0</v>
      </c>
      <c r="C24" s="75" t="s">
        <v>1</v>
      </c>
      <c r="D24" s="75" t="s">
        <v>8</v>
      </c>
      <c r="E24" s="76" t="s">
        <v>429</v>
      </c>
      <c r="F24" s="76" t="s">
        <v>1</v>
      </c>
      <c r="G24" s="76" t="s">
        <v>28</v>
      </c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84" t="str">
        <f>DEC2HEX(MOD(HEX2DEC(C24)+HEX2DEC(D24)+HEX2DEC(E24)+HEX2DEC(F24)+HEX2DEC(G24)+HEX2DEC(H24)+HEX2DEC(I24)+HEX2DEC(J24)+HEX2DEC(K24)+HEX2DEC(L24)+HEX2DEC(M24)+HEX2DEC(N24)+HEX2DEC(Q24),256),2)</f>
        <v>86</v>
      </c>
      <c r="S24" s="84" t="s">
        <v>5</v>
      </c>
      <c r="T24" s="55" t="str">
        <f>IF(ISBLANK(B24),,B24&amp;" ")&amp;IF(ISBLANK(C24),,C24&amp;" ")&amp;IF(ISBLANK(D24),,D24&amp;" ")&amp;IF(ISBLANK(E24),,E24&amp;" ")&amp;IF(ISBLANK(F24),,F24&amp;" ")&amp;IF(ISBLANK(G24),,G24&amp;" ")&amp;IF(ISBLANK(H24),,H24&amp;" ")&amp;IF(ISBLANK(I24),,I24&amp;" ")&amp;IF(ISBLANK(J24),,J24&amp;" ")&amp;IF(ISBLANK(K24),,K24&amp;" ")&amp;IF(ISBLANK(L24),,L24&amp;" ")&amp;IF(ISBLANK(M24),,M24&amp;" ")&amp;IF(ISBLANK(N24),,N24&amp;" ")&amp;IF(ISBLANK(Q24),,Q24&amp;" ")&amp;IF(ISBLANK(R24),,R24&amp;" ")&amp;IF(ISBLANK(S24),,S24)</f>
        <v>aa 00 03 72 00 11 86 55</v>
      </c>
      <c r="U24" s="440" t="s">
        <v>764</v>
      </c>
      <c r="V24" s="440"/>
      <c r="W24" s="440"/>
      <c r="X24" s="440"/>
      <c r="Y24" s="440"/>
      <c r="Z24" s="440"/>
      <c r="AA24" s="440"/>
      <c r="AB24" s="440"/>
    </row>
    <row r="26" spans="2:28" ht="14.4" customHeight="1" x14ac:dyDescent="0.25">
      <c r="B26" s="498" t="s">
        <v>911</v>
      </c>
      <c r="C26" s="498"/>
      <c r="D26" s="498"/>
      <c r="E26" s="498"/>
      <c r="F26" s="498"/>
      <c r="G26" s="498"/>
      <c r="H26" s="498"/>
      <c r="I26" s="498"/>
      <c r="J26" s="498"/>
      <c r="K26" s="498"/>
      <c r="L26" s="498"/>
      <c r="M26" s="498"/>
      <c r="N26" s="498"/>
      <c r="O26" s="498"/>
      <c r="P26" s="498"/>
      <c r="Q26" s="498"/>
      <c r="R26" s="498"/>
      <c r="S26" s="498"/>
      <c r="T26" s="498"/>
      <c r="U26" s="498"/>
      <c r="V26" s="498"/>
      <c r="W26" s="498"/>
      <c r="X26" s="498"/>
      <c r="Y26" s="498"/>
      <c r="Z26" s="498"/>
      <c r="AA26" s="498"/>
      <c r="AB26" s="498"/>
    </row>
    <row r="27" spans="2:28" ht="14.4" customHeight="1" x14ac:dyDescent="0.25">
      <c r="B27" s="498"/>
      <c r="C27" s="498"/>
      <c r="D27" s="498"/>
      <c r="E27" s="498"/>
      <c r="F27" s="498"/>
      <c r="G27" s="498"/>
      <c r="H27" s="498"/>
      <c r="I27" s="498"/>
      <c r="J27" s="498"/>
      <c r="K27" s="498"/>
      <c r="L27" s="498"/>
      <c r="M27" s="498"/>
      <c r="N27" s="498"/>
      <c r="O27" s="498"/>
      <c r="P27" s="498"/>
      <c r="Q27" s="498"/>
      <c r="R27" s="498"/>
      <c r="S27" s="498"/>
      <c r="T27" s="498"/>
      <c r="U27" s="498"/>
      <c r="V27" s="498"/>
      <c r="W27" s="498"/>
      <c r="X27" s="498"/>
      <c r="Y27" s="498"/>
      <c r="Z27" s="498"/>
      <c r="AA27" s="498"/>
      <c r="AB27" s="498"/>
    </row>
    <row r="28" spans="2:28" x14ac:dyDescent="0.25">
      <c r="B28" s="435" t="s">
        <v>275</v>
      </c>
      <c r="C28" s="435"/>
      <c r="D28" s="435"/>
      <c r="E28" s="435"/>
      <c r="F28" s="435"/>
      <c r="G28" s="435"/>
      <c r="H28" s="435"/>
      <c r="I28" s="435"/>
      <c r="J28" s="435"/>
      <c r="K28" s="435"/>
      <c r="L28" s="435"/>
      <c r="M28" s="435"/>
      <c r="N28" s="435"/>
      <c r="O28" s="435"/>
      <c r="P28" s="435"/>
      <c r="Q28" s="435"/>
      <c r="R28" s="435"/>
      <c r="S28" s="435"/>
      <c r="T28" s="306" t="s">
        <v>266</v>
      </c>
      <c r="U28" s="435" t="s">
        <v>267</v>
      </c>
      <c r="V28" s="435"/>
      <c r="W28" s="435"/>
      <c r="X28" s="435"/>
      <c r="Y28" s="435" t="s">
        <v>268</v>
      </c>
      <c r="Z28" s="435"/>
      <c r="AA28" s="435"/>
      <c r="AB28" s="435"/>
    </row>
    <row r="29" spans="2:28" ht="14.4" customHeight="1" x14ac:dyDescent="0.25">
      <c r="B29" s="86" t="s">
        <v>77</v>
      </c>
      <c r="C29" s="307" t="s">
        <v>78</v>
      </c>
      <c r="D29" s="307" t="s">
        <v>10</v>
      </c>
      <c r="E29" s="307" t="s">
        <v>79</v>
      </c>
      <c r="F29" s="307" t="s">
        <v>80</v>
      </c>
      <c r="G29" s="307" t="s">
        <v>11</v>
      </c>
      <c r="H29" s="436" t="s">
        <v>83</v>
      </c>
      <c r="I29" s="436"/>
      <c r="J29" s="436"/>
      <c r="K29" s="436"/>
      <c r="L29" s="436"/>
      <c r="M29" s="436"/>
      <c r="N29" s="436"/>
      <c r="O29" s="436"/>
      <c r="P29" s="436"/>
      <c r="Q29" s="436"/>
      <c r="R29" s="83" t="s">
        <v>81</v>
      </c>
      <c r="S29" s="83" t="s">
        <v>82</v>
      </c>
      <c r="T29" s="51" t="s">
        <v>276</v>
      </c>
      <c r="U29" s="45" t="s">
        <v>417</v>
      </c>
      <c r="V29" s="45" t="s">
        <v>418</v>
      </c>
      <c r="W29" s="439" t="s">
        <v>6</v>
      </c>
      <c r="X29" s="439"/>
      <c r="Y29" s="439"/>
      <c r="Z29" s="439"/>
      <c r="AA29" s="439"/>
      <c r="AB29" s="439"/>
    </row>
    <row r="30" spans="2:28" ht="14.4" customHeight="1" x14ac:dyDescent="0.25">
      <c r="B30" s="84" t="s">
        <v>0</v>
      </c>
      <c r="C30" s="75" t="s">
        <v>1</v>
      </c>
      <c r="D30" s="75" t="s">
        <v>9</v>
      </c>
      <c r="E30" s="76" t="s">
        <v>429</v>
      </c>
      <c r="F30" s="76" t="s">
        <v>1</v>
      </c>
      <c r="G30" s="76" t="s">
        <v>1</v>
      </c>
      <c r="H30" s="308" t="str">
        <f>DEC2HEX(U30,2)</f>
        <v>03</v>
      </c>
      <c r="I30" s="308" t="str">
        <f>DEC2HEX(V30,2)</f>
        <v>0A</v>
      </c>
      <c r="J30" s="57"/>
      <c r="K30" s="57"/>
      <c r="L30" s="57"/>
      <c r="M30" s="57"/>
      <c r="N30" s="57"/>
      <c r="O30" s="57"/>
      <c r="P30" s="57"/>
      <c r="Q30" s="57"/>
      <c r="R30" s="84" t="str">
        <f>DEC2HEX(MOD(HEX2DEC(C30)+HEX2DEC(D30)+HEX2DEC(E30)+HEX2DEC(F30)+HEX2DEC(G30)+HEX2DEC(H30)+HEX2DEC(I30)+HEX2DEC(J30)+HEX2DEC(K30)+HEX2DEC(L30)+HEX2DEC(M30)+HEX2DEC(N30)+HEX2DEC(Q30),256),2)</f>
        <v>84</v>
      </c>
      <c r="S30" s="84" t="s">
        <v>5</v>
      </c>
      <c r="T30" s="55" t="str">
        <f>IF(ISBLANK(B30),,B30&amp;" ")&amp;IF(ISBLANK(C30),,C30&amp;" ")&amp;IF(ISBLANK(D30),,D30&amp;" ")&amp;IF(ISBLANK(E30),,E30&amp;" ")&amp;IF(ISBLANK(F30),,F30&amp;" ")&amp;IF(ISBLANK(G30),,G30&amp;" ")&amp;IF(ISBLANK(H30),,H30&amp;" ")&amp;IF(ISBLANK(I30),,I30&amp;" ")&amp;IF(ISBLANK(J30),,J30&amp;" ")&amp;IF(ISBLANK(K30),,K30&amp;" ")&amp;IF(ISBLANK(L30),,L30&amp;" ")&amp;IF(ISBLANK(M30),,M30&amp;" ")&amp;IF(ISBLANK(N30),,N30&amp;" ")&amp;IF(ISBLANK(Q30),,Q30&amp;" ")&amp;IF(ISBLANK(R30),,R30&amp;" ")&amp;IF(ISBLANK(S30),,S30)</f>
        <v>aa 00 05 72 00 00 03 0A 84 55</v>
      </c>
      <c r="U30" s="116">
        <v>3</v>
      </c>
      <c r="V30" s="116">
        <v>10</v>
      </c>
      <c r="W30" s="440" t="s">
        <v>425</v>
      </c>
      <c r="X30" s="440"/>
      <c r="Y30" s="440"/>
      <c r="Z30" s="440"/>
      <c r="AA30" s="440"/>
      <c r="AB30" s="440"/>
    </row>
    <row r="31" spans="2:28" x14ac:dyDescent="0.25">
      <c r="B31" s="84" t="s">
        <v>0</v>
      </c>
      <c r="C31" s="75" t="s">
        <v>1</v>
      </c>
      <c r="D31" s="75" t="s">
        <v>8</v>
      </c>
      <c r="E31" s="76" t="s">
        <v>429</v>
      </c>
      <c r="F31" s="76" t="s">
        <v>1</v>
      </c>
      <c r="G31" s="76" t="s">
        <v>759</v>
      </c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84" t="str">
        <f>DEC2HEX(MOD(HEX2DEC(C31)+HEX2DEC(D31)+HEX2DEC(E31)+HEX2DEC(F31)+HEX2DEC(G31)+HEX2DEC(H31)+HEX2DEC(I31)+HEX2DEC(J31)+HEX2DEC(K31)+HEX2DEC(L31)+HEX2DEC(M31)+HEX2DEC(N31)+HEX2DEC(Q31),256),2)</f>
        <v>A0</v>
      </c>
      <c r="S31" s="84" t="s">
        <v>5</v>
      </c>
      <c r="T31" s="55" t="str">
        <f>IF(ISBLANK(B31),,B31&amp;" ")&amp;IF(ISBLANK(C31),,C31&amp;" ")&amp;IF(ISBLANK(D31),,D31&amp;" ")&amp;IF(ISBLANK(E31),,E31&amp;" ")&amp;IF(ISBLANK(F31),,F31&amp;" ")&amp;IF(ISBLANK(G31),,G31&amp;" ")&amp;IF(ISBLANK(H31),,H31&amp;" ")&amp;IF(ISBLANK(I31),,I31&amp;" ")&amp;IF(ISBLANK(J31),,J31&amp;" ")&amp;IF(ISBLANK(K31),,K31&amp;" ")&amp;IF(ISBLANK(L31),,L31&amp;" ")&amp;IF(ISBLANK(M31),,M31&amp;" ")&amp;IF(ISBLANK(N31),,N31&amp;" ")&amp;IF(ISBLANK(Q31),,Q31&amp;" ")&amp;IF(ISBLANK(R31),,R31&amp;" ")&amp;IF(ISBLANK(S31),,S31)</f>
        <v>aa 00 03 72 00 2b A0 55</v>
      </c>
      <c r="U31" s="440" t="s">
        <v>761</v>
      </c>
      <c r="V31" s="440"/>
      <c r="W31" s="440"/>
      <c r="X31" s="440"/>
      <c r="Y31" s="440"/>
      <c r="Z31" s="440"/>
      <c r="AA31" s="440"/>
      <c r="AB31" s="440"/>
    </row>
    <row r="32" spans="2:28" ht="16.95" customHeight="1" x14ac:dyDescent="0.25">
      <c r="B32" s="84" t="s">
        <v>0</v>
      </c>
      <c r="C32" s="75" t="s">
        <v>1</v>
      </c>
      <c r="D32" s="75" t="s">
        <v>8</v>
      </c>
      <c r="E32" s="76" t="s">
        <v>429</v>
      </c>
      <c r="F32" s="76" t="s">
        <v>1</v>
      </c>
      <c r="G32" s="76" t="s">
        <v>760</v>
      </c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84" t="str">
        <f>DEC2HEX(MOD(HEX2DEC(C32)+HEX2DEC(D32)+HEX2DEC(E32)+HEX2DEC(F32)+HEX2DEC(G32)+HEX2DEC(H32)+HEX2DEC(I32)+HEX2DEC(J32)+HEX2DEC(K32)+HEX2DEC(L32)+HEX2DEC(M32)+HEX2DEC(N32)+HEX2DEC(Q32),256),2)</f>
        <v>A1</v>
      </c>
      <c r="S32" s="84" t="s">
        <v>5</v>
      </c>
      <c r="T32" s="55" t="str">
        <f>IF(ISBLANK(B32),,B32&amp;" ")&amp;IF(ISBLANK(C32),,C32&amp;" ")&amp;IF(ISBLANK(D32),,D32&amp;" ")&amp;IF(ISBLANK(E32),,E32&amp;" ")&amp;IF(ISBLANK(F32),,F32&amp;" ")&amp;IF(ISBLANK(G32),,G32&amp;" ")&amp;IF(ISBLANK(H32),,H32&amp;" ")&amp;IF(ISBLANK(I32),,I32&amp;" ")&amp;IF(ISBLANK(J32),,J32&amp;" ")&amp;IF(ISBLANK(K32),,K32&amp;" ")&amp;IF(ISBLANK(L32),,L32&amp;" ")&amp;IF(ISBLANK(M32),,M32&amp;" ")&amp;IF(ISBLANK(N32),,N32&amp;" ")&amp;IF(ISBLANK(Q32),,Q32&amp;" ")&amp;IF(ISBLANK(R32),,R32&amp;" ")&amp;IF(ISBLANK(S32),,S32)</f>
        <v>aa 00 03 72 00 2c A1 55</v>
      </c>
      <c r="U32" s="440" t="s">
        <v>427</v>
      </c>
      <c r="V32" s="440"/>
      <c r="W32" s="440"/>
      <c r="X32" s="440"/>
      <c r="Y32" s="440"/>
      <c r="Z32" s="440"/>
      <c r="AA32" s="440"/>
      <c r="AB32" s="440"/>
    </row>
    <row r="34" spans="2:28" x14ac:dyDescent="0.25">
      <c r="B34" s="588" t="s">
        <v>476</v>
      </c>
      <c r="C34" s="589"/>
      <c r="D34" s="589"/>
      <c r="E34" s="589"/>
      <c r="F34" s="589"/>
      <c r="G34" s="589"/>
      <c r="H34" s="589"/>
      <c r="I34" s="589"/>
      <c r="J34" s="589"/>
      <c r="K34" s="589"/>
      <c r="L34" s="589"/>
      <c r="M34" s="589"/>
      <c r="N34" s="589"/>
      <c r="O34" s="589"/>
      <c r="P34" s="589"/>
      <c r="Q34" s="589"/>
      <c r="R34" s="589"/>
      <c r="S34" s="589"/>
      <c r="T34" s="589"/>
      <c r="U34" s="589"/>
      <c r="V34" s="589"/>
      <c r="W34" s="589"/>
      <c r="X34" s="589"/>
      <c r="Y34" s="589"/>
      <c r="Z34" s="589"/>
      <c r="AA34" s="589"/>
      <c r="AB34" s="590"/>
    </row>
    <row r="35" spans="2:28" x14ac:dyDescent="0.25">
      <c r="B35" s="591"/>
      <c r="C35" s="592"/>
      <c r="D35" s="592"/>
      <c r="E35" s="592"/>
      <c r="F35" s="592"/>
      <c r="G35" s="592"/>
      <c r="H35" s="592"/>
      <c r="I35" s="592"/>
      <c r="J35" s="592"/>
      <c r="K35" s="592"/>
      <c r="L35" s="592"/>
      <c r="M35" s="592"/>
      <c r="N35" s="592"/>
      <c r="O35" s="592"/>
      <c r="P35" s="592"/>
      <c r="Q35" s="592"/>
      <c r="R35" s="592"/>
      <c r="S35" s="592"/>
      <c r="T35" s="592"/>
      <c r="U35" s="592"/>
      <c r="V35" s="592"/>
      <c r="W35" s="592"/>
      <c r="X35" s="592"/>
      <c r="Y35" s="592"/>
      <c r="Z35" s="592"/>
      <c r="AA35" s="592"/>
      <c r="AB35" s="593"/>
    </row>
    <row r="36" spans="2:28" x14ac:dyDescent="0.25">
      <c r="B36" s="480" t="s">
        <v>275</v>
      </c>
      <c r="C36" s="481"/>
      <c r="D36" s="481"/>
      <c r="E36" s="481"/>
      <c r="F36" s="481"/>
      <c r="G36" s="481"/>
      <c r="H36" s="481"/>
      <c r="I36" s="481"/>
      <c r="J36" s="481"/>
      <c r="K36" s="481"/>
      <c r="L36" s="481"/>
      <c r="M36" s="481"/>
      <c r="N36" s="481"/>
      <c r="O36" s="481"/>
      <c r="P36" s="481"/>
      <c r="Q36" s="481"/>
      <c r="R36" s="481"/>
      <c r="S36" s="482"/>
      <c r="T36" s="306" t="s">
        <v>266</v>
      </c>
      <c r="U36" s="480" t="s">
        <v>268</v>
      </c>
      <c r="V36" s="481"/>
      <c r="W36" s="481"/>
      <c r="X36" s="481"/>
      <c r="Y36" s="481"/>
      <c r="Z36" s="481"/>
      <c r="AA36" s="481"/>
      <c r="AB36" s="482"/>
    </row>
    <row r="37" spans="2:28" ht="16.8" x14ac:dyDescent="0.25">
      <c r="B37" s="86" t="s">
        <v>77</v>
      </c>
      <c r="C37" s="307" t="s">
        <v>78</v>
      </c>
      <c r="D37" s="307" t="s">
        <v>10</v>
      </c>
      <c r="E37" s="307" t="s">
        <v>79</v>
      </c>
      <c r="F37" s="307" t="s">
        <v>80</v>
      </c>
      <c r="G37" s="307" t="s">
        <v>11</v>
      </c>
      <c r="H37" s="462" t="s">
        <v>83</v>
      </c>
      <c r="I37" s="477"/>
      <c r="J37" s="477"/>
      <c r="K37" s="477"/>
      <c r="L37" s="477"/>
      <c r="M37" s="477"/>
      <c r="N37" s="477"/>
      <c r="O37" s="477"/>
      <c r="P37" s="477"/>
      <c r="Q37" s="463"/>
      <c r="R37" s="83" t="s">
        <v>81</v>
      </c>
      <c r="S37" s="83" t="s">
        <v>82</v>
      </c>
      <c r="T37" s="51" t="s">
        <v>276</v>
      </c>
      <c r="U37" s="559" t="s">
        <v>6</v>
      </c>
      <c r="V37" s="560"/>
      <c r="W37" s="560"/>
      <c r="X37" s="560"/>
      <c r="Y37" s="560"/>
      <c r="Z37" s="560"/>
      <c r="AA37" s="560"/>
      <c r="AB37" s="586"/>
    </row>
    <row r="38" spans="2:28" x14ac:dyDescent="0.25">
      <c r="B38" s="84" t="s">
        <v>0</v>
      </c>
      <c r="C38" s="75" t="s">
        <v>1</v>
      </c>
      <c r="D38" s="75" t="s">
        <v>8</v>
      </c>
      <c r="E38" s="76" t="s">
        <v>477</v>
      </c>
      <c r="F38" s="76" t="s">
        <v>707</v>
      </c>
      <c r="G38" s="76" t="s">
        <v>70</v>
      </c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84" t="str">
        <f t="shared" ref="R38:R47" si="0">DEC2HEX(MOD(HEX2DEC(C38)+HEX2DEC(D38)+HEX2DEC(E38)+HEX2DEC(F38)+HEX2DEC(G38)+HEX2DEC(H38)+HEX2DEC(I38)+HEX2DEC(J38)+HEX2DEC(K38)+HEX2DEC(L38)+HEX2DEC(M38)+HEX2DEC(N38)+HEX2DEC(O38)+HEX2DEC(P38)+HEX2DEC(Q38),256),2)</f>
        <v>AE</v>
      </c>
      <c r="S38" s="84" t="s">
        <v>5</v>
      </c>
      <c r="T38" s="55" t="str">
        <f t="shared" ref="T38:T47" si="1">IF(ISBLANK(B38),,B38&amp;" ")&amp;IF(ISBLANK(C38),,C38&amp;" ")&amp;IF(ISBLANK(D38),,D38&amp;" ")&amp;IF(ISBLANK(E38),,E38&amp;" ")&amp;IF(ISBLANK(F38),,F38&amp;" ")&amp;IF(ISBLANK(G38),,G38&amp;" ")&amp;IF(ISBLANK(H38),,H38&amp;" ")&amp;IF(ISBLANK(I38),,I38&amp;" ")&amp;IF(ISBLANK(J38),,J38&amp;" ")&amp;IF(ISBLANK(K38),,K38&amp;" ")&amp;IF(ISBLANK(L38),,L38&amp;" ")&amp;IF(ISBLANK(M38),,M38&amp;" ")&amp;IF(ISBLANK(N38),,N38&amp;" ")&amp;IF(ISBLANK(O38),,O38&amp;" ")&amp;IF(ISBLANK(P38),,P38&amp;" ")&amp;IF(ISBLANK(Q38),,Q38&amp;" ")&amp;IF(ISBLANK(R38),,R38&amp;" ")&amp;IF(ISBLANK(S38),,S38)</f>
        <v>aa 00 03 73 28 10 AE 55</v>
      </c>
      <c r="U38" s="577" t="s">
        <v>479</v>
      </c>
      <c r="V38" s="578"/>
      <c r="W38" s="578"/>
      <c r="X38" s="578"/>
      <c r="Y38" s="578"/>
      <c r="Z38" s="578"/>
      <c r="AA38" s="578"/>
      <c r="AB38" s="579"/>
    </row>
    <row r="39" spans="2:28" x14ac:dyDescent="0.25">
      <c r="B39" s="84" t="s">
        <v>0</v>
      </c>
      <c r="C39" s="75" t="s">
        <v>1</v>
      </c>
      <c r="D39" s="75" t="s">
        <v>8</v>
      </c>
      <c r="E39" s="76" t="s">
        <v>477</v>
      </c>
      <c r="F39" s="76" t="s">
        <v>1</v>
      </c>
      <c r="G39" s="76" t="s">
        <v>158</v>
      </c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84" t="str">
        <f t="shared" si="0"/>
        <v>87</v>
      </c>
      <c r="S39" s="84" t="s">
        <v>5</v>
      </c>
      <c r="T39" s="55" t="str">
        <f t="shared" si="1"/>
        <v>aa 00 03 73 00 11 87 55</v>
      </c>
      <c r="U39" s="577" t="s">
        <v>480</v>
      </c>
      <c r="V39" s="578"/>
      <c r="W39" s="578"/>
      <c r="X39" s="578"/>
      <c r="Y39" s="578"/>
      <c r="Z39" s="578"/>
      <c r="AA39" s="578"/>
      <c r="AB39" s="579"/>
    </row>
    <row r="40" spans="2:28" x14ac:dyDescent="0.25">
      <c r="B40" s="84" t="s">
        <v>0</v>
      </c>
      <c r="C40" s="75" t="s">
        <v>1</v>
      </c>
      <c r="D40" s="75" t="s">
        <v>8</v>
      </c>
      <c r="E40" s="76" t="s">
        <v>477</v>
      </c>
      <c r="F40" s="76" t="s">
        <v>1</v>
      </c>
      <c r="G40" s="76" t="s">
        <v>159</v>
      </c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84" t="str">
        <f t="shared" si="0"/>
        <v>88</v>
      </c>
      <c r="S40" s="84" t="s">
        <v>5</v>
      </c>
      <c r="T40" s="55" t="str">
        <f t="shared" si="1"/>
        <v>aa 00 03 73 00 12 88 55</v>
      </c>
      <c r="U40" s="577" t="s">
        <v>656</v>
      </c>
      <c r="V40" s="578"/>
      <c r="W40" s="578"/>
      <c r="X40" s="578"/>
      <c r="Y40" s="578"/>
      <c r="Z40" s="578"/>
      <c r="AA40" s="578"/>
      <c r="AB40" s="579"/>
    </row>
    <row r="41" spans="2:28" x14ac:dyDescent="0.25">
      <c r="B41" s="84" t="s">
        <v>0</v>
      </c>
      <c r="C41" s="75" t="s">
        <v>1</v>
      </c>
      <c r="D41" s="75" t="s">
        <v>8</v>
      </c>
      <c r="E41" s="76" t="s">
        <v>477</v>
      </c>
      <c r="F41" s="76" t="s">
        <v>726</v>
      </c>
      <c r="G41" s="76" t="s">
        <v>160</v>
      </c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84" t="str">
        <f t="shared" si="0"/>
        <v>89</v>
      </c>
      <c r="S41" s="84" t="s">
        <v>5</v>
      </c>
      <c r="T41" s="55" t="str">
        <f t="shared" si="1"/>
        <v>aa 00 03 73 00 13 89 55</v>
      </c>
      <c r="U41" s="577" t="s">
        <v>487</v>
      </c>
      <c r="V41" s="578"/>
      <c r="W41" s="578"/>
      <c r="X41" s="578"/>
      <c r="Y41" s="578"/>
      <c r="Z41" s="578"/>
      <c r="AA41" s="578"/>
      <c r="AB41" s="579"/>
    </row>
    <row r="42" spans="2:28" x14ac:dyDescent="0.25">
      <c r="B42" s="84" t="s">
        <v>0</v>
      </c>
      <c r="C42" s="75" t="s">
        <v>1</v>
      </c>
      <c r="D42" s="75" t="s">
        <v>8</v>
      </c>
      <c r="E42" s="76" t="s">
        <v>477</v>
      </c>
      <c r="F42" s="76" t="s">
        <v>1</v>
      </c>
      <c r="G42" s="76" t="s">
        <v>53</v>
      </c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84" t="str">
        <f t="shared" si="0"/>
        <v>96</v>
      </c>
      <c r="S42" s="84" t="s">
        <v>5</v>
      </c>
      <c r="T42" s="55" t="str">
        <f t="shared" si="1"/>
        <v>aa 00 03 73 00 20 96 55</v>
      </c>
      <c r="U42" s="577" t="s">
        <v>481</v>
      </c>
      <c r="V42" s="578"/>
      <c r="W42" s="578"/>
      <c r="X42" s="578"/>
      <c r="Y42" s="578"/>
      <c r="Z42" s="578"/>
      <c r="AA42" s="578"/>
      <c r="AB42" s="579"/>
    </row>
    <row r="43" spans="2:28" x14ac:dyDescent="0.25">
      <c r="B43" s="84" t="s">
        <v>0</v>
      </c>
      <c r="C43" s="75" t="s">
        <v>1</v>
      </c>
      <c r="D43" s="75" t="s">
        <v>8</v>
      </c>
      <c r="E43" s="76" t="s">
        <v>477</v>
      </c>
      <c r="F43" s="76" t="s">
        <v>1</v>
      </c>
      <c r="G43" s="76" t="s">
        <v>168</v>
      </c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84" t="str">
        <f t="shared" si="0"/>
        <v>97</v>
      </c>
      <c r="S43" s="84" t="s">
        <v>5</v>
      </c>
      <c r="T43" s="55" t="str">
        <f t="shared" si="1"/>
        <v>aa 00 03 73 00 21 97 55</v>
      </c>
      <c r="U43" s="577" t="s">
        <v>765</v>
      </c>
      <c r="V43" s="578"/>
      <c r="W43" s="578"/>
      <c r="X43" s="578"/>
      <c r="Y43" s="578"/>
      <c r="Z43" s="578"/>
      <c r="AA43" s="578"/>
      <c r="AB43" s="579"/>
    </row>
    <row r="44" spans="2:28" x14ac:dyDescent="0.25">
      <c r="B44" s="84" t="s">
        <v>0</v>
      </c>
      <c r="C44" s="75" t="s">
        <v>1</v>
      </c>
      <c r="D44" s="75" t="s">
        <v>8</v>
      </c>
      <c r="E44" s="76" t="s">
        <v>477</v>
      </c>
      <c r="F44" s="76" t="s">
        <v>1</v>
      </c>
      <c r="G44" s="76" t="s">
        <v>169</v>
      </c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84" t="str">
        <f t="shared" si="0"/>
        <v>98</v>
      </c>
      <c r="S44" s="84" t="s">
        <v>5</v>
      </c>
      <c r="T44" s="55" t="str">
        <f t="shared" si="1"/>
        <v>aa 00 03 73 00 22 98 55</v>
      </c>
      <c r="U44" s="577" t="s">
        <v>766</v>
      </c>
      <c r="V44" s="578"/>
      <c r="W44" s="578"/>
      <c r="X44" s="578"/>
      <c r="Y44" s="578"/>
      <c r="Z44" s="578"/>
      <c r="AA44" s="578"/>
      <c r="AB44" s="579"/>
    </row>
    <row r="45" spans="2:28" x14ac:dyDescent="0.25">
      <c r="B45" s="84" t="s">
        <v>0</v>
      </c>
      <c r="C45" s="75" t="s">
        <v>1</v>
      </c>
      <c r="D45" s="75" t="s">
        <v>8</v>
      </c>
      <c r="E45" s="76" t="s">
        <v>477</v>
      </c>
      <c r="F45" s="76" t="s">
        <v>1</v>
      </c>
      <c r="G45" s="76" t="s">
        <v>773</v>
      </c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84" t="str">
        <f t="shared" ref="R45" si="2">DEC2HEX(MOD(HEX2DEC(C45)+HEX2DEC(D45)+HEX2DEC(E45)+HEX2DEC(F45)+HEX2DEC(G45)+HEX2DEC(H45)+HEX2DEC(I45)+HEX2DEC(J45)+HEX2DEC(K45)+HEX2DEC(L45)+HEX2DEC(M45)+HEX2DEC(N45)+HEX2DEC(O45)+HEX2DEC(P45)+HEX2DEC(Q45),256),2)</f>
        <v>9C</v>
      </c>
      <c r="S45" s="84" t="s">
        <v>5</v>
      </c>
      <c r="T45" s="55" t="str">
        <f t="shared" ref="T45" si="3">IF(ISBLANK(B45),,B45&amp;" ")&amp;IF(ISBLANK(C45),,C45&amp;" ")&amp;IF(ISBLANK(D45),,D45&amp;" ")&amp;IF(ISBLANK(E45),,E45&amp;" ")&amp;IF(ISBLANK(F45),,F45&amp;" ")&amp;IF(ISBLANK(G45),,G45&amp;" ")&amp;IF(ISBLANK(H45),,H45&amp;" ")&amp;IF(ISBLANK(I45),,I45&amp;" ")&amp;IF(ISBLANK(J45),,J45&amp;" ")&amp;IF(ISBLANK(K45),,K45&amp;" ")&amp;IF(ISBLANK(L45),,L45&amp;" ")&amp;IF(ISBLANK(M45),,M45&amp;" ")&amp;IF(ISBLANK(N45),,N45&amp;" ")&amp;IF(ISBLANK(O45),,O45&amp;" ")&amp;IF(ISBLANK(P45),,P45&amp;" ")&amp;IF(ISBLANK(Q45),,Q45&amp;" ")&amp;IF(ISBLANK(R45),,R45&amp;" ")&amp;IF(ISBLANK(S45),,S45)</f>
        <v>aa 00 03 73 00 26 9C 55</v>
      </c>
      <c r="U45" s="577" t="s">
        <v>774</v>
      </c>
      <c r="V45" s="578"/>
      <c r="W45" s="578"/>
      <c r="X45" s="578"/>
      <c r="Y45" s="578"/>
      <c r="Z45" s="578"/>
      <c r="AA45" s="578"/>
      <c r="AB45" s="579"/>
    </row>
    <row r="46" spans="2:28" x14ac:dyDescent="0.25">
      <c r="B46" s="84" t="s">
        <v>0</v>
      </c>
      <c r="C46" s="75" t="s">
        <v>1</v>
      </c>
      <c r="D46" s="75" t="s">
        <v>8</v>
      </c>
      <c r="E46" s="76" t="s">
        <v>477</v>
      </c>
      <c r="F46" s="76" t="s">
        <v>1</v>
      </c>
      <c r="G46" s="76" t="s">
        <v>170</v>
      </c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84" t="str">
        <f t="shared" si="0"/>
        <v>99</v>
      </c>
      <c r="S46" s="84" t="s">
        <v>5</v>
      </c>
      <c r="T46" s="55" t="str">
        <f t="shared" si="1"/>
        <v>aa 00 03 73 00 23 99 55</v>
      </c>
      <c r="U46" s="577" t="s">
        <v>767</v>
      </c>
      <c r="V46" s="578"/>
      <c r="W46" s="578"/>
      <c r="X46" s="578"/>
      <c r="Y46" s="578"/>
      <c r="Z46" s="578"/>
      <c r="AA46" s="578"/>
      <c r="AB46" s="579"/>
    </row>
    <row r="47" spans="2:28" x14ac:dyDescent="0.25">
      <c r="B47" s="84" t="s">
        <v>0</v>
      </c>
      <c r="C47" s="75" t="s">
        <v>1</v>
      </c>
      <c r="D47" s="75" t="s">
        <v>8</v>
      </c>
      <c r="E47" s="76" t="s">
        <v>477</v>
      </c>
      <c r="F47" s="76" t="s">
        <v>1</v>
      </c>
      <c r="G47" s="76" t="s">
        <v>171</v>
      </c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84" t="str">
        <f t="shared" si="0"/>
        <v>9A</v>
      </c>
      <c r="S47" s="84" t="s">
        <v>5</v>
      </c>
      <c r="T47" s="55" t="str">
        <f t="shared" si="1"/>
        <v>aa 00 03 73 00 24 9A 55</v>
      </c>
      <c r="U47" s="577" t="s">
        <v>768</v>
      </c>
      <c r="V47" s="578"/>
      <c r="W47" s="578"/>
      <c r="X47" s="578"/>
      <c r="Y47" s="578"/>
      <c r="Z47" s="578"/>
      <c r="AA47" s="578"/>
      <c r="AB47" s="579"/>
    </row>
    <row r="48" spans="2:28" x14ac:dyDescent="0.25">
      <c r="B48" s="84" t="s">
        <v>0</v>
      </c>
      <c r="C48" s="75" t="s">
        <v>1</v>
      </c>
      <c r="D48" s="75" t="s">
        <v>8</v>
      </c>
      <c r="E48" s="76" t="s">
        <v>477</v>
      </c>
      <c r="F48" s="76" t="s">
        <v>1</v>
      </c>
      <c r="G48" s="76" t="s">
        <v>172</v>
      </c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84" t="str">
        <f t="shared" ref="R48" si="4">DEC2HEX(MOD(HEX2DEC(C48)+HEX2DEC(D48)+HEX2DEC(E48)+HEX2DEC(F48)+HEX2DEC(G48)+HEX2DEC(H48)+HEX2DEC(I48)+HEX2DEC(J48)+HEX2DEC(K48)+HEX2DEC(L48)+HEX2DEC(M48)+HEX2DEC(N48)+HEX2DEC(O48)+HEX2DEC(P48)+HEX2DEC(Q48),256),2)</f>
        <v>9B</v>
      </c>
      <c r="S48" s="84" t="s">
        <v>5</v>
      </c>
      <c r="T48" s="55" t="str">
        <f t="shared" ref="T48" si="5">IF(ISBLANK(B48),,B48&amp;" ")&amp;IF(ISBLANK(C48),,C48&amp;" ")&amp;IF(ISBLANK(D48),,D48&amp;" ")&amp;IF(ISBLANK(E48),,E48&amp;" ")&amp;IF(ISBLANK(F48),,F48&amp;" ")&amp;IF(ISBLANK(G48),,G48&amp;" ")&amp;IF(ISBLANK(H48),,H48&amp;" ")&amp;IF(ISBLANK(I48),,I48&amp;" ")&amp;IF(ISBLANK(J48),,J48&amp;" ")&amp;IF(ISBLANK(K48),,K48&amp;" ")&amp;IF(ISBLANK(L48),,L48&amp;" ")&amp;IF(ISBLANK(M48),,M48&amp;" ")&amp;IF(ISBLANK(N48),,N48&amp;" ")&amp;IF(ISBLANK(O48),,O48&amp;" ")&amp;IF(ISBLANK(P48),,P48&amp;" ")&amp;IF(ISBLANK(Q48),,Q48&amp;" ")&amp;IF(ISBLANK(R48),,R48&amp;" ")&amp;IF(ISBLANK(S48),,S48)</f>
        <v>aa 00 03 73 00 25 9B 55</v>
      </c>
      <c r="U48" s="577" t="s">
        <v>769</v>
      </c>
      <c r="V48" s="578"/>
      <c r="W48" s="578"/>
      <c r="X48" s="578"/>
      <c r="Y48" s="578"/>
      <c r="Z48" s="578"/>
      <c r="AA48" s="578"/>
      <c r="AB48" s="579"/>
    </row>
    <row r="49" spans="2:28" x14ac:dyDescent="0.25">
      <c r="B49" s="498" t="s">
        <v>757</v>
      </c>
      <c r="C49" s="498"/>
      <c r="D49" s="498"/>
      <c r="E49" s="498"/>
      <c r="F49" s="498"/>
      <c r="G49" s="498"/>
      <c r="H49" s="498"/>
      <c r="I49" s="498"/>
      <c r="J49" s="498"/>
      <c r="K49" s="498"/>
      <c r="L49" s="498"/>
      <c r="M49" s="498"/>
      <c r="N49" s="498"/>
      <c r="O49" s="498"/>
      <c r="P49" s="498"/>
      <c r="Q49" s="498"/>
      <c r="R49" s="498"/>
      <c r="S49" s="498"/>
      <c r="T49" s="498"/>
      <c r="U49" s="498"/>
      <c r="V49" s="498"/>
      <c r="W49" s="498"/>
      <c r="X49" s="498"/>
      <c r="Y49" s="498"/>
      <c r="Z49" s="498"/>
      <c r="AA49" s="498"/>
      <c r="AB49" s="498"/>
    </row>
    <row r="50" spans="2:28" x14ac:dyDescent="0.25">
      <c r="B50" s="498"/>
      <c r="C50" s="498"/>
      <c r="D50" s="498"/>
      <c r="E50" s="498"/>
      <c r="F50" s="498"/>
      <c r="G50" s="498"/>
      <c r="H50" s="498"/>
      <c r="I50" s="498"/>
      <c r="J50" s="498"/>
      <c r="K50" s="498"/>
      <c r="L50" s="498"/>
      <c r="M50" s="498"/>
      <c r="N50" s="498"/>
      <c r="O50" s="498"/>
      <c r="P50" s="498"/>
      <c r="Q50" s="498"/>
      <c r="R50" s="498"/>
      <c r="S50" s="498"/>
      <c r="T50" s="498"/>
      <c r="U50" s="498"/>
      <c r="V50" s="498"/>
      <c r="W50" s="498"/>
      <c r="X50" s="498"/>
      <c r="Y50" s="498"/>
      <c r="Z50" s="498"/>
      <c r="AA50" s="498"/>
      <c r="AB50" s="498"/>
    </row>
    <row r="51" spans="2:28" x14ac:dyDescent="0.25">
      <c r="B51" s="435" t="s">
        <v>275</v>
      </c>
      <c r="C51" s="435"/>
      <c r="D51" s="435"/>
      <c r="E51" s="435"/>
      <c r="F51" s="435"/>
      <c r="G51" s="435"/>
      <c r="H51" s="435"/>
      <c r="I51" s="435"/>
      <c r="J51" s="435"/>
      <c r="K51" s="435"/>
      <c r="L51" s="435"/>
      <c r="M51" s="435"/>
      <c r="N51" s="435"/>
      <c r="O51" s="435"/>
      <c r="P51" s="435"/>
      <c r="Q51" s="435"/>
      <c r="R51" s="435"/>
      <c r="S51" s="435"/>
      <c r="T51" s="306" t="s">
        <v>266</v>
      </c>
      <c r="U51" s="435" t="s">
        <v>267</v>
      </c>
      <c r="V51" s="435"/>
      <c r="W51" s="435"/>
      <c r="X51" s="435"/>
      <c r="Y51" s="435" t="s">
        <v>268</v>
      </c>
      <c r="Z51" s="435"/>
      <c r="AA51" s="435"/>
      <c r="AB51" s="435"/>
    </row>
    <row r="52" spans="2:28" ht="16.8" x14ac:dyDescent="0.25">
      <c r="B52" s="86" t="s">
        <v>77</v>
      </c>
      <c r="C52" s="307" t="s">
        <v>78</v>
      </c>
      <c r="D52" s="307" t="s">
        <v>10</v>
      </c>
      <c r="E52" s="307" t="s">
        <v>79</v>
      </c>
      <c r="F52" s="307" t="s">
        <v>80</v>
      </c>
      <c r="G52" s="307" t="s">
        <v>11</v>
      </c>
      <c r="H52" s="436" t="s">
        <v>83</v>
      </c>
      <c r="I52" s="436"/>
      <c r="J52" s="436"/>
      <c r="K52" s="436"/>
      <c r="L52" s="436"/>
      <c r="M52" s="436"/>
      <c r="N52" s="436"/>
      <c r="O52" s="436"/>
      <c r="P52" s="436"/>
      <c r="Q52" s="436"/>
      <c r="R52" s="83" t="s">
        <v>81</v>
      </c>
      <c r="S52" s="83" t="s">
        <v>82</v>
      </c>
      <c r="T52" s="51" t="s">
        <v>276</v>
      </c>
      <c r="U52" s="45" t="s">
        <v>417</v>
      </c>
      <c r="V52" s="45" t="s">
        <v>418</v>
      </c>
      <c r="W52" s="439" t="s">
        <v>6</v>
      </c>
      <c r="X52" s="439"/>
      <c r="Y52" s="439"/>
      <c r="Z52" s="439"/>
      <c r="AA52" s="439"/>
      <c r="AB52" s="439"/>
    </row>
    <row r="53" spans="2:28" x14ac:dyDescent="0.25">
      <c r="B53" s="84" t="s">
        <v>0</v>
      </c>
      <c r="C53" s="75" t="s">
        <v>1</v>
      </c>
      <c r="D53" s="75" t="s">
        <v>8</v>
      </c>
      <c r="E53" s="76" t="s">
        <v>477</v>
      </c>
      <c r="F53" s="76" t="s">
        <v>1</v>
      </c>
      <c r="G53" s="76" t="s">
        <v>759</v>
      </c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84" t="str">
        <f>DEC2HEX(MOD(HEX2DEC(C53)+HEX2DEC(D53)+HEX2DEC(E53)+HEX2DEC(F53)+HEX2DEC(G53)+HEX2DEC(H53)+HEX2DEC(I53)+HEX2DEC(J53)+HEX2DEC(K53)+HEX2DEC(L53)+HEX2DEC(M53)+HEX2DEC(N53)+HEX2DEC(Q53),256),2)</f>
        <v>A1</v>
      </c>
      <c r="S53" s="84" t="s">
        <v>5</v>
      </c>
      <c r="T53" s="55" t="str">
        <f>IF(ISBLANK(B53),,B53&amp;" ")&amp;IF(ISBLANK(C53),,C53&amp;" ")&amp;IF(ISBLANK(D53),,D53&amp;" ")&amp;IF(ISBLANK(E53),,E53&amp;" ")&amp;IF(ISBLANK(F53),,F53&amp;" ")&amp;IF(ISBLANK(G53),,G53&amp;" ")&amp;IF(ISBLANK(H53),,H53&amp;" ")&amp;IF(ISBLANK(I53),,I53&amp;" ")&amp;IF(ISBLANK(J53),,J53&amp;" ")&amp;IF(ISBLANK(K53),,K53&amp;" ")&amp;IF(ISBLANK(L53),,L53&amp;" ")&amp;IF(ISBLANK(M53),,M53&amp;" ")&amp;IF(ISBLANK(N53),,N53&amp;" ")&amp;IF(ISBLANK(Q53),,Q53&amp;" ")&amp;IF(ISBLANK(R53),,R53&amp;" ")&amp;IF(ISBLANK(S53),,S53)</f>
        <v>aa 00 03 73 00 2b A1 55</v>
      </c>
      <c r="U53" s="440" t="s">
        <v>761</v>
      </c>
      <c r="V53" s="440"/>
      <c r="W53" s="440"/>
      <c r="X53" s="440"/>
      <c r="Y53" s="440"/>
      <c r="Z53" s="440"/>
      <c r="AA53" s="440"/>
      <c r="AB53" s="440"/>
    </row>
    <row r="54" spans="2:28" x14ac:dyDescent="0.25">
      <c r="B54" s="84" t="s">
        <v>0</v>
      </c>
      <c r="C54" s="75" t="s">
        <v>1</v>
      </c>
      <c r="D54" s="75" t="s">
        <v>8</v>
      </c>
      <c r="E54" s="76" t="s">
        <v>477</v>
      </c>
      <c r="F54" s="76" t="s">
        <v>1</v>
      </c>
      <c r="G54" s="76" t="s">
        <v>760</v>
      </c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84" t="str">
        <f>DEC2HEX(MOD(HEX2DEC(C54)+HEX2DEC(D54)+HEX2DEC(E54)+HEX2DEC(F54)+HEX2DEC(G54)+HEX2DEC(H54)+HEX2DEC(I54)+HEX2DEC(J54)+HEX2DEC(K54)+HEX2DEC(L54)+HEX2DEC(M54)+HEX2DEC(N54)+HEX2DEC(Q54),256),2)</f>
        <v>A2</v>
      </c>
      <c r="S54" s="84" t="s">
        <v>5</v>
      </c>
      <c r="T54" s="55" t="str">
        <f>IF(ISBLANK(B54),,B54&amp;" ")&amp;IF(ISBLANK(C54),,C54&amp;" ")&amp;IF(ISBLANK(D54),,D54&amp;" ")&amp;IF(ISBLANK(E54),,E54&amp;" ")&amp;IF(ISBLANK(F54),,F54&amp;" ")&amp;IF(ISBLANK(G54),,G54&amp;" ")&amp;IF(ISBLANK(H54),,H54&amp;" ")&amp;IF(ISBLANK(I54),,I54&amp;" ")&amp;IF(ISBLANK(J54),,J54&amp;" ")&amp;IF(ISBLANK(K54),,K54&amp;" ")&amp;IF(ISBLANK(L54),,L54&amp;" ")&amp;IF(ISBLANK(M54),,M54&amp;" ")&amp;IF(ISBLANK(N54),,N54&amp;" ")&amp;IF(ISBLANK(Q54),,Q54&amp;" ")&amp;IF(ISBLANK(R54),,R54&amp;" ")&amp;IF(ISBLANK(S54),,S54)</f>
        <v>aa 00 03 73 00 2c A2 55</v>
      </c>
      <c r="U54" s="440" t="s">
        <v>770</v>
      </c>
      <c r="V54" s="440"/>
      <c r="W54" s="440"/>
      <c r="X54" s="440"/>
      <c r="Y54" s="440"/>
      <c r="Z54" s="440"/>
      <c r="AA54" s="440"/>
      <c r="AB54" s="440"/>
    </row>
    <row r="55" spans="2:28" x14ac:dyDescent="0.25">
      <c r="B55" s="84" t="s">
        <v>0</v>
      </c>
      <c r="C55" s="75" t="s">
        <v>1</v>
      </c>
      <c r="D55" s="75" t="s">
        <v>8</v>
      </c>
      <c r="E55" s="76" t="s">
        <v>477</v>
      </c>
      <c r="F55" s="76" t="s">
        <v>1</v>
      </c>
      <c r="G55" s="76" t="s">
        <v>763</v>
      </c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84" t="str">
        <f t="shared" ref="R55" si="6">DEC2HEX(MOD(HEX2DEC(C55)+HEX2DEC(D55)+HEX2DEC(E55)+HEX2DEC(F55)+HEX2DEC(G55)+HEX2DEC(H55)+HEX2DEC(I55)+HEX2DEC(J55)+HEX2DEC(K55)+HEX2DEC(L55)+HEX2DEC(M55)+HEX2DEC(N55)+HEX2DEC(O55)+HEX2DEC(P55)+HEX2DEC(Q55),256),2)</f>
        <v>8E</v>
      </c>
      <c r="S55" s="84" t="s">
        <v>5</v>
      </c>
      <c r="T55" s="55" t="str">
        <f t="shared" ref="T55" si="7">IF(ISBLANK(B55),,B55&amp;" ")&amp;IF(ISBLANK(C55),,C55&amp;" ")&amp;IF(ISBLANK(D55),,D55&amp;" ")&amp;IF(ISBLANK(E55),,E55&amp;" ")&amp;IF(ISBLANK(F55),,F55&amp;" ")&amp;IF(ISBLANK(G55),,G55&amp;" ")&amp;IF(ISBLANK(H55),,H55&amp;" ")&amp;IF(ISBLANK(I55),,I55&amp;" ")&amp;IF(ISBLANK(J55),,J55&amp;" ")&amp;IF(ISBLANK(K55),,K55&amp;" ")&amp;IF(ISBLANK(L55),,L55&amp;" ")&amp;IF(ISBLANK(M55),,M55&amp;" ")&amp;IF(ISBLANK(N55),,N55&amp;" ")&amp;IF(ISBLANK(O55),,O55&amp;" ")&amp;IF(ISBLANK(P55),,P55&amp;" ")&amp;IF(ISBLANK(Q55),,Q55&amp;" ")&amp;IF(ISBLANK(R55),,R55&amp;" ")&amp;IF(ISBLANK(S55),,S55)</f>
        <v>aa 00 03 73 00 18 8E 55</v>
      </c>
      <c r="U55" s="577" t="s">
        <v>762</v>
      </c>
      <c r="V55" s="578"/>
      <c r="W55" s="578"/>
      <c r="X55" s="578"/>
      <c r="Y55" s="578"/>
      <c r="Z55" s="578"/>
      <c r="AA55" s="578"/>
      <c r="AB55" s="579"/>
    </row>
    <row r="57" spans="2:28" x14ac:dyDescent="0.25">
      <c r="B57" s="498" t="s">
        <v>488</v>
      </c>
      <c r="C57" s="498"/>
      <c r="D57" s="498"/>
      <c r="E57" s="498"/>
      <c r="F57" s="498"/>
      <c r="G57" s="498"/>
      <c r="H57" s="498"/>
      <c r="I57" s="498"/>
      <c r="J57" s="498"/>
      <c r="K57" s="498"/>
      <c r="L57" s="498"/>
      <c r="M57" s="498"/>
      <c r="N57" s="498"/>
      <c r="O57" s="498"/>
      <c r="P57" s="498"/>
      <c r="Q57" s="498"/>
      <c r="R57" s="498"/>
      <c r="S57" s="498"/>
      <c r="T57" s="498"/>
      <c r="U57" s="498"/>
      <c r="V57" s="498"/>
      <c r="W57" s="498"/>
      <c r="X57" s="498"/>
      <c r="Y57" s="498"/>
      <c r="Z57" s="498"/>
      <c r="AA57" s="498"/>
      <c r="AB57" s="498"/>
    </row>
    <row r="58" spans="2:28" x14ac:dyDescent="0.25">
      <c r="B58" s="498"/>
      <c r="C58" s="498"/>
      <c r="D58" s="498"/>
      <c r="E58" s="498"/>
      <c r="F58" s="498"/>
      <c r="G58" s="498"/>
      <c r="H58" s="498"/>
      <c r="I58" s="498"/>
      <c r="J58" s="498"/>
      <c r="K58" s="498"/>
      <c r="L58" s="498"/>
      <c r="M58" s="498"/>
      <c r="N58" s="498"/>
      <c r="O58" s="498"/>
      <c r="P58" s="498"/>
      <c r="Q58" s="498"/>
      <c r="R58" s="498"/>
      <c r="S58" s="498"/>
      <c r="T58" s="498"/>
      <c r="U58" s="498"/>
      <c r="V58" s="498"/>
      <c r="W58" s="498"/>
      <c r="X58" s="498"/>
      <c r="Y58" s="498"/>
      <c r="Z58" s="498"/>
      <c r="AA58" s="498"/>
      <c r="AB58" s="498"/>
    </row>
    <row r="59" spans="2:28" x14ac:dyDescent="0.25">
      <c r="B59" s="435" t="s">
        <v>275</v>
      </c>
      <c r="C59" s="435"/>
      <c r="D59" s="435"/>
      <c r="E59" s="435"/>
      <c r="F59" s="435"/>
      <c r="G59" s="435"/>
      <c r="H59" s="435"/>
      <c r="I59" s="435"/>
      <c r="J59" s="435"/>
      <c r="K59" s="435"/>
      <c r="L59" s="435"/>
      <c r="M59" s="435"/>
      <c r="N59" s="435"/>
      <c r="O59" s="435"/>
      <c r="P59" s="435"/>
      <c r="Q59" s="435"/>
      <c r="R59" s="435"/>
      <c r="S59" s="435"/>
      <c r="T59" s="233" t="s">
        <v>266</v>
      </c>
      <c r="U59" s="480" t="s">
        <v>268</v>
      </c>
      <c r="V59" s="481"/>
      <c r="W59" s="481"/>
      <c r="X59" s="481"/>
      <c r="Y59" s="481"/>
      <c r="Z59" s="481"/>
      <c r="AA59" s="481"/>
      <c r="AB59" s="482"/>
    </row>
    <row r="60" spans="2:28" ht="16.8" x14ac:dyDescent="0.25">
      <c r="B60" s="86" t="s">
        <v>77</v>
      </c>
      <c r="C60" s="234" t="s">
        <v>78</v>
      </c>
      <c r="D60" s="234" t="s">
        <v>10</v>
      </c>
      <c r="E60" s="234" t="s">
        <v>79</v>
      </c>
      <c r="F60" s="234" t="s">
        <v>80</v>
      </c>
      <c r="G60" s="234" t="s">
        <v>11</v>
      </c>
      <c r="H60" s="436" t="s">
        <v>83</v>
      </c>
      <c r="I60" s="436"/>
      <c r="J60" s="436"/>
      <c r="K60" s="436"/>
      <c r="L60" s="436"/>
      <c r="M60" s="436"/>
      <c r="N60" s="436"/>
      <c r="O60" s="436"/>
      <c r="P60" s="436"/>
      <c r="Q60" s="436"/>
      <c r="R60" s="83" t="s">
        <v>81</v>
      </c>
      <c r="S60" s="83" t="s">
        <v>82</v>
      </c>
      <c r="T60" s="51" t="s">
        <v>276</v>
      </c>
      <c r="U60" s="587"/>
      <c r="V60" s="587"/>
      <c r="W60" s="587"/>
      <c r="X60" s="587"/>
      <c r="Y60" s="587"/>
      <c r="Z60" s="587"/>
      <c r="AA60" s="587"/>
      <c r="AB60" s="587"/>
    </row>
    <row r="61" spans="2:28" x14ac:dyDescent="0.25">
      <c r="B61" s="84" t="s">
        <v>0</v>
      </c>
      <c r="C61" s="75" t="s">
        <v>1</v>
      </c>
      <c r="D61" s="75" t="s">
        <v>8</v>
      </c>
      <c r="E61" s="76" t="s">
        <v>28</v>
      </c>
      <c r="F61" s="76" t="s">
        <v>1</v>
      </c>
      <c r="G61" s="76" t="s">
        <v>3</v>
      </c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84" t="str">
        <f t="shared" ref="R61" si="8">DEC2HEX(MOD(HEX2DEC(C61)+HEX2DEC(D61)+HEX2DEC(E61)+HEX2DEC(F61)+HEX2DEC(G61)+HEX2DEC(H61)+HEX2DEC(I61)+HEX2DEC(J61)+HEX2DEC(K61)+HEX2DEC(L61)+HEX2DEC(M61)+HEX2DEC(N61)+HEX2DEC(O61)+HEX2DEC(P61)+HEX2DEC(Q61),256),2)</f>
        <v>35</v>
      </c>
      <c r="S61" s="84" t="s">
        <v>5</v>
      </c>
      <c r="T61" s="55" t="str">
        <f t="shared" ref="T61:T71" si="9">IF(ISBLANK(B61),,B61&amp;" ")&amp;IF(ISBLANK(C61),,C61&amp;" ")&amp;IF(ISBLANK(D61),,D61&amp;" ")&amp;IF(ISBLANK(E61),,E61&amp;" ")&amp;IF(ISBLANK(F61),,F61&amp;" ")&amp;IF(ISBLANK(G61),,G61&amp;" ")&amp;IF(ISBLANK(H61),,H61&amp;" ")&amp;IF(ISBLANK(I61),,I61&amp;" ")&amp;IF(ISBLANK(J61),,J61&amp;" ")&amp;IF(ISBLANK(K61),,K61&amp;" ")&amp;IF(ISBLANK(L61),,L61&amp;" ")&amp;IF(ISBLANK(M61),,M61&amp;" ")&amp;IF(ISBLANK(N61),,N61&amp;" ")&amp;IF(ISBLANK(O61),,O61&amp;" ")&amp;IF(ISBLANK(P61),,P61&amp;" ")&amp;IF(ISBLANK(Q61),,Q61&amp;" ")&amp;IF(ISBLANK(R61),,R61&amp;" ")&amp;IF(ISBLANK(S61),,S61)</f>
        <v>aa 00 03 11 00 21 35 55</v>
      </c>
      <c r="U61" s="580" t="s">
        <v>647</v>
      </c>
      <c r="V61" s="580"/>
      <c r="W61" s="580"/>
      <c r="X61" s="580"/>
      <c r="Y61" s="580"/>
      <c r="Z61" s="580"/>
      <c r="AA61" s="580"/>
      <c r="AB61" s="580"/>
    </row>
    <row r="62" spans="2:28" x14ac:dyDescent="0.25">
      <c r="B62" s="84" t="s">
        <v>0</v>
      </c>
      <c r="C62" s="75" t="s">
        <v>1</v>
      </c>
      <c r="D62" s="75" t="s">
        <v>8</v>
      </c>
      <c r="E62" s="76" t="s">
        <v>28</v>
      </c>
      <c r="F62" s="76" t="s">
        <v>1</v>
      </c>
      <c r="G62" s="76" t="s">
        <v>56</v>
      </c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84" t="str">
        <f t="shared" ref="R62:R71" si="10">DEC2HEX(MOD(HEX2DEC(C62)+HEX2DEC(D62)+HEX2DEC(E62)+HEX2DEC(F62)+HEX2DEC(G62)+HEX2DEC(H62)+HEX2DEC(I62)+HEX2DEC(J62)+HEX2DEC(K62)+HEX2DEC(L62)+HEX2DEC(M62)+HEX2DEC(N62)+HEX2DEC(O62)+HEX2DEC(P62)+HEX2DEC(Q62),256),2)</f>
        <v>36</v>
      </c>
      <c r="S62" s="84" t="s">
        <v>5</v>
      </c>
      <c r="T62" s="55" t="str">
        <f t="shared" si="9"/>
        <v>aa 00 03 11 00 22 36 55</v>
      </c>
      <c r="U62" s="580" t="s">
        <v>634</v>
      </c>
      <c r="V62" s="580"/>
      <c r="W62" s="580"/>
      <c r="X62" s="580"/>
      <c r="Y62" s="580"/>
      <c r="Z62" s="580"/>
      <c r="AA62" s="580"/>
      <c r="AB62" s="580"/>
    </row>
    <row r="64" spans="2:28" x14ac:dyDescent="0.25">
      <c r="B64" s="84" t="s">
        <v>0</v>
      </c>
      <c r="C64" s="75" t="s">
        <v>1</v>
      </c>
      <c r="D64" s="75" t="str">
        <f>DEC2HEX( COUNTA(E64:Q64),2)</f>
        <v>06</v>
      </c>
      <c r="E64" s="76" t="s">
        <v>28</v>
      </c>
      <c r="F64" s="76" t="s">
        <v>1</v>
      </c>
      <c r="G64" s="113" t="s">
        <v>1</v>
      </c>
      <c r="H64" s="302" t="s">
        <v>4</v>
      </c>
      <c r="I64" s="302" t="s">
        <v>4</v>
      </c>
      <c r="J64" s="302" t="s">
        <v>1</v>
      </c>
      <c r="K64" s="302"/>
      <c r="L64" s="302"/>
      <c r="M64" s="302"/>
      <c r="N64" s="302"/>
      <c r="O64" s="302"/>
      <c r="P64" s="302"/>
      <c r="Q64" s="302"/>
      <c r="R64" s="84" t="str">
        <f t="shared" ref="R64" si="11">DEC2HEX(MOD(HEX2DEC(C64)+HEX2DEC(D64)+HEX2DEC(E64)+HEX2DEC(F64)+HEX2DEC(G64)+HEX2DEC(H64)+HEX2DEC(I64)+HEX2DEC(J64)+HEX2DEC(K64)+HEX2DEC(L64)+HEX2DEC(M64)+HEX2DEC(N64)+HEX2DEC(O64)+HEX2DEC(P64)+HEX2DEC(Q64),256),2)</f>
        <v>19</v>
      </c>
      <c r="S64" s="84" t="s">
        <v>5</v>
      </c>
      <c r="T64" s="55" t="str">
        <f t="shared" ref="T64" si="12">IF(ISBLANK(B64),,B64&amp;" ")&amp;IF(ISBLANK(C64),,C64&amp;" ")&amp;IF(ISBLANK(D64),,D64&amp;" ")&amp;IF(ISBLANK(E64),,E64&amp;" ")&amp;IF(ISBLANK(F64),,F64&amp;" ")&amp;IF(ISBLANK(G64),,G64&amp;" ")&amp;IF(ISBLANK(H64),,H64&amp;" ")&amp;IF(ISBLANK(I64),,I64&amp;" ")&amp;IF(ISBLANK(J64),,J64&amp;" ")&amp;IF(ISBLANK(K64),,K64&amp;" ")&amp;IF(ISBLANK(L64),,L64&amp;" ")&amp;IF(ISBLANK(M64),,M64&amp;" ")&amp;IF(ISBLANK(N64),,N64&amp;" ")&amp;IF(ISBLANK(O64),,O64&amp;" ")&amp;IF(ISBLANK(P64),,P64&amp;" ")&amp;IF(ISBLANK(Q64),,Q64&amp;" ")&amp;IF(ISBLANK(R64),,R64&amp;" ")&amp;IF(ISBLANK(S64),,S64)</f>
        <v>aa 00 06 11 00 00 01 01 00 19 55</v>
      </c>
      <c r="U64" s="170"/>
      <c r="V64" s="171"/>
      <c r="W64" s="581" t="s">
        <v>752</v>
      </c>
      <c r="X64" s="582"/>
      <c r="Y64" s="582"/>
      <c r="Z64" s="582"/>
      <c r="AA64" s="582"/>
      <c r="AB64" s="582"/>
    </row>
    <row r="65" spans="2:28" x14ac:dyDescent="0.25">
      <c r="B65" s="84" t="s">
        <v>0</v>
      </c>
      <c r="C65" s="75" t="s">
        <v>1</v>
      </c>
      <c r="D65" s="75" t="str">
        <f>DEC2HEX( COUNTA(E65:Q65),2)</f>
        <v>06</v>
      </c>
      <c r="E65" s="76" t="s">
        <v>28</v>
      </c>
      <c r="F65" s="76" t="s">
        <v>1</v>
      </c>
      <c r="G65" s="113" t="s">
        <v>23</v>
      </c>
      <c r="H65" s="236" t="s">
        <v>598</v>
      </c>
      <c r="I65" s="236" t="s">
        <v>598</v>
      </c>
      <c r="J65" s="303" t="s">
        <v>754</v>
      </c>
      <c r="K65" s="236"/>
      <c r="L65" s="236"/>
      <c r="M65" s="236"/>
      <c r="N65" s="236"/>
      <c r="O65" s="236"/>
      <c r="P65" s="236"/>
      <c r="Q65" s="236"/>
      <c r="R65" s="84" t="str">
        <f t="shared" si="10"/>
        <v>1C</v>
      </c>
      <c r="S65" s="84" t="s">
        <v>5</v>
      </c>
      <c r="T65" s="55" t="str">
        <f t="shared" si="9"/>
        <v>aa 00 06 11 00 00 01 01 03 1C 55</v>
      </c>
      <c r="U65" s="170"/>
      <c r="V65" s="171"/>
      <c r="W65" s="581" t="s">
        <v>753</v>
      </c>
      <c r="X65" s="582"/>
      <c r="Y65" s="582"/>
      <c r="Z65" s="582"/>
      <c r="AA65" s="582"/>
      <c r="AB65" s="582"/>
    </row>
    <row r="66" spans="2:28" x14ac:dyDescent="0.25">
      <c r="B66" s="84" t="s">
        <v>0</v>
      </c>
      <c r="C66" s="75" t="s">
        <v>1</v>
      </c>
      <c r="D66" s="75" t="str">
        <f>DEC2HEX( COUNTA(E66:Q66),2)</f>
        <v>07</v>
      </c>
      <c r="E66" s="76" t="s">
        <v>28</v>
      </c>
      <c r="F66" s="76" t="s">
        <v>1</v>
      </c>
      <c r="G66" s="113" t="s">
        <v>1</v>
      </c>
      <c r="H66" s="308" t="s">
        <v>4</v>
      </c>
      <c r="I66" s="308" t="s">
        <v>4</v>
      </c>
      <c r="J66" s="308" t="s">
        <v>8</v>
      </c>
      <c r="K66" s="308" t="s">
        <v>756</v>
      </c>
      <c r="L66" s="308"/>
      <c r="M66" s="308"/>
      <c r="N66" s="308"/>
      <c r="O66" s="308"/>
      <c r="P66" s="308"/>
      <c r="Q66" s="308"/>
      <c r="R66" s="84" t="str">
        <f t="shared" ref="R66" si="13">DEC2HEX(MOD(HEX2DEC(C66)+HEX2DEC(D66)+HEX2DEC(E66)+HEX2DEC(F66)+HEX2DEC(G66)+HEX2DEC(H66)+HEX2DEC(I66)+HEX2DEC(J66)+HEX2DEC(K66)+HEX2DEC(L66)+HEX2DEC(M66)+HEX2DEC(N66)+HEX2DEC(O66)+HEX2DEC(P66)+HEX2DEC(Q66),256),2)</f>
        <v>1D</v>
      </c>
      <c r="S66" s="84" t="s">
        <v>5</v>
      </c>
      <c r="T66" s="55" t="str">
        <f t="shared" si="9"/>
        <v>aa 00 07 11 00 00 01 01 03 00 1D 55</v>
      </c>
      <c r="U66" s="309"/>
      <c r="V66" s="310"/>
      <c r="W66" s="584" t="s">
        <v>755</v>
      </c>
      <c r="X66" s="584"/>
      <c r="Y66" s="584"/>
      <c r="Z66" s="584"/>
      <c r="AA66" s="584"/>
      <c r="AB66" s="585"/>
    </row>
    <row r="67" spans="2:28" x14ac:dyDescent="0.25">
      <c r="B67" s="84" t="s">
        <v>0</v>
      </c>
      <c r="C67" s="75" t="s">
        <v>1</v>
      </c>
      <c r="D67" s="75" t="s">
        <v>8</v>
      </c>
      <c r="E67" s="76" t="s">
        <v>28</v>
      </c>
      <c r="F67" s="76" t="s">
        <v>1</v>
      </c>
      <c r="G67" s="76" t="s">
        <v>4</v>
      </c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84" t="str">
        <f t="shared" si="10"/>
        <v>15</v>
      </c>
      <c r="S67" s="84" t="s">
        <v>5</v>
      </c>
      <c r="T67" s="55" t="str">
        <f t="shared" si="9"/>
        <v>aa 00 03 11 00 01 15 55</v>
      </c>
      <c r="U67" s="571" t="s">
        <v>608</v>
      </c>
      <c r="V67" s="572"/>
      <c r="W67" s="572"/>
      <c r="X67" s="572"/>
      <c r="Y67" s="572"/>
      <c r="Z67" s="572"/>
      <c r="AA67" s="572"/>
      <c r="AB67" s="573"/>
    </row>
    <row r="68" spans="2:28" x14ac:dyDescent="0.25">
      <c r="B68" s="84" t="s">
        <v>0</v>
      </c>
      <c r="C68" s="75" t="s">
        <v>1</v>
      </c>
      <c r="D68" s="75" t="s">
        <v>8</v>
      </c>
      <c r="E68" s="76" t="s">
        <v>28</v>
      </c>
      <c r="F68" s="76" t="s">
        <v>1</v>
      </c>
      <c r="G68" s="76" t="s">
        <v>7</v>
      </c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84" t="str">
        <f t="shared" si="10"/>
        <v>16</v>
      </c>
      <c r="S68" s="84" t="s">
        <v>5</v>
      </c>
      <c r="T68" s="55" t="str">
        <f t="shared" si="9"/>
        <v>aa 00 03 11 00 02 16 55</v>
      </c>
      <c r="U68" s="577" t="s">
        <v>497</v>
      </c>
      <c r="V68" s="578"/>
      <c r="W68" s="578"/>
      <c r="X68" s="578"/>
      <c r="Y68" s="578"/>
      <c r="Z68" s="578"/>
      <c r="AA68" s="578"/>
      <c r="AB68" s="579"/>
    </row>
    <row r="69" spans="2:28" x14ac:dyDescent="0.25">
      <c r="B69" s="84" t="s">
        <v>0</v>
      </c>
      <c r="C69" s="75" t="s">
        <v>1</v>
      </c>
      <c r="D69" s="75" t="s">
        <v>8</v>
      </c>
      <c r="E69" s="76" t="s">
        <v>28</v>
      </c>
      <c r="F69" s="76" t="s">
        <v>1</v>
      </c>
      <c r="G69" s="76" t="s">
        <v>617</v>
      </c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84" t="str">
        <f t="shared" si="10"/>
        <v>17</v>
      </c>
      <c r="S69" s="84" t="s">
        <v>5</v>
      </c>
      <c r="T69" s="55" t="str">
        <f t="shared" si="9"/>
        <v>aa 00 03 11 00 03 17 55</v>
      </c>
      <c r="U69" s="577" t="s">
        <v>490</v>
      </c>
      <c r="V69" s="578"/>
      <c r="W69" s="578"/>
      <c r="X69" s="578"/>
      <c r="Y69" s="578"/>
      <c r="Z69" s="578"/>
      <c r="AA69" s="578"/>
      <c r="AB69" s="579"/>
    </row>
    <row r="70" spans="2:28" x14ac:dyDescent="0.25">
      <c r="B70" s="84" t="s">
        <v>0</v>
      </c>
      <c r="C70" s="75" t="s">
        <v>1</v>
      </c>
      <c r="D70" s="75" t="s">
        <v>8</v>
      </c>
      <c r="E70" s="76" t="s">
        <v>28</v>
      </c>
      <c r="F70" s="76" t="s">
        <v>1</v>
      </c>
      <c r="G70" s="76" t="s">
        <v>377</v>
      </c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84" t="str">
        <f t="shared" si="10"/>
        <v>27</v>
      </c>
      <c r="S70" s="84" t="s">
        <v>5</v>
      </c>
      <c r="T70" s="55" t="str">
        <f t="shared" si="9"/>
        <v>aa 00 03 11 00 13 27 55</v>
      </c>
      <c r="U70" s="577" t="s">
        <v>491</v>
      </c>
      <c r="V70" s="578"/>
      <c r="W70" s="578"/>
      <c r="X70" s="578"/>
      <c r="Y70" s="578"/>
      <c r="Z70" s="578"/>
      <c r="AA70" s="578"/>
      <c r="AB70" s="579"/>
    </row>
    <row r="71" spans="2:28" x14ac:dyDescent="0.25">
      <c r="B71" s="84" t="s">
        <v>254</v>
      </c>
      <c r="C71" s="75" t="s">
        <v>1</v>
      </c>
      <c r="D71" s="75" t="s">
        <v>8</v>
      </c>
      <c r="E71" s="76" t="s">
        <v>28</v>
      </c>
      <c r="F71" s="76" t="s">
        <v>1</v>
      </c>
      <c r="G71" s="76" t="s">
        <v>244</v>
      </c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84" t="str">
        <f t="shared" si="10"/>
        <v>28</v>
      </c>
      <c r="S71" s="84" t="s">
        <v>5</v>
      </c>
      <c r="T71" s="55" t="str">
        <f t="shared" si="9"/>
        <v>aa 00 03 11 00 14 28 55</v>
      </c>
      <c r="U71" s="577" t="s">
        <v>492</v>
      </c>
      <c r="V71" s="578"/>
      <c r="W71" s="578"/>
      <c r="X71" s="578"/>
      <c r="Y71" s="578"/>
      <c r="Z71" s="578"/>
      <c r="AA71" s="578"/>
      <c r="AB71" s="579"/>
    </row>
    <row r="72" spans="2:28" x14ac:dyDescent="0.25">
      <c r="B72" s="84" t="s">
        <v>254</v>
      </c>
      <c r="C72" s="75" t="s">
        <v>1</v>
      </c>
      <c r="D72" s="75" t="s">
        <v>8</v>
      </c>
      <c r="E72" s="76" t="s">
        <v>28</v>
      </c>
      <c r="F72" s="76" t="s">
        <v>1</v>
      </c>
      <c r="G72" s="76" t="s">
        <v>53</v>
      </c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84" t="str">
        <f t="shared" ref="R72" si="14">DEC2HEX(MOD(HEX2DEC(C72)+HEX2DEC(D72)+HEX2DEC(E72)+HEX2DEC(F72)+HEX2DEC(G72)+HEX2DEC(H72)+HEX2DEC(I72)+HEX2DEC(J72)+HEX2DEC(K72)+HEX2DEC(L72)+HEX2DEC(M72)+HEX2DEC(N72)+HEX2DEC(O72)+HEX2DEC(P72)+HEX2DEC(Q72),256),2)</f>
        <v>34</v>
      </c>
      <c r="S72" s="84" t="s">
        <v>5</v>
      </c>
      <c r="T72" s="55" t="str">
        <f>IF(ISBLANK(B72),,B72&amp;" ")&amp;IF(ISBLANK(C72),,C72&amp;" ")&amp;IF(ISBLANK(D72),,D72&amp;" ")&amp;IF(ISBLANK(E72),,E72&amp;" ")&amp;IF(ISBLANK(F72),,F72&amp;" ")&amp;IF(ISBLANK(G72),,G72&amp;" ")&amp;IF(ISBLANK(H72),,H72&amp;" ")&amp;IF(ISBLANK(I72),,I72&amp;" ")&amp;IF(ISBLANK(J72),,J72&amp;" ")&amp;IF(ISBLANK(K72),,K72&amp;" ")&amp;IF(ISBLANK(L72),,L72&amp;" ")&amp;IF(ISBLANK(M72),,M72&amp;" ")&amp;IF(ISBLANK(N72),,N72&amp;" ")&amp;IF(ISBLANK(O72),,O72&amp;" ")&amp;IF(ISBLANK(P72),,P72&amp;" ")&amp;IF(ISBLANK(Q72),,Q72&amp;" ")&amp;IF(ISBLANK(R72),,R72&amp;" ")&amp;IF(ISBLANK(S72),,S72)</f>
        <v>aa 00 03 11 00 20 34 55</v>
      </c>
      <c r="U72" s="577" t="s">
        <v>493</v>
      </c>
      <c r="V72" s="578"/>
      <c r="W72" s="578"/>
      <c r="X72" s="578"/>
      <c r="Y72" s="578"/>
      <c r="Z72" s="578"/>
      <c r="AA72" s="578"/>
      <c r="AB72" s="579"/>
    </row>
    <row r="73" spans="2:28" x14ac:dyDescent="0.25">
      <c r="B73" s="84"/>
      <c r="C73" s="75"/>
      <c r="D73" s="75"/>
      <c r="E73" s="76"/>
      <c r="F73" s="76"/>
      <c r="G73" s="76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84"/>
      <c r="S73" s="84"/>
      <c r="T73" s="55"/>
      <c r="U73" s="235"/>
      <c r="V73" s="235"/>
      <c r="W73" s="235"/>
      <c r="X73" s="235"/>
      <c r="Y73" s="235"/>
      <c r="Z73" s="235"/>
      <c r="AA73" s="235"/>
      <c r="AB73" s="235"/>
    </row>
    <row r="75" spans="2:28" x14ac:dyDescent="0.25">
      <c r="B75" s="84" t="s">
        <v>0</v>
      </c>
      <c r="C75" s="75" t="s">
        <v>1</v>
      </c>
      <c r="D75" s="75" t="str">
        <f t="shared" ref="D75" si="15">DEC2HEX( COUNTA(E75:Q75),2)</f>
        <v>03</v>
      </c>
      <c r="E75" s="76" t="s">
        <v>28</v>
      </c>
      <c r="F75" s="76" t="s">
        <v>1</v>
      </c>
      <c r="G75" s="76" t="s">
        <v>20</v>
      </c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84" t="str">
        <f t="shared" ref="R75" si="16">DEC2HEX(MOD(HEX2DEC(C75)+HEX2DEC(D75)+HEX2DEC(E75)+HEX2DEC(F75)+HEX2DEC(G75)+HEX2DEC(H75)+HEX2DEC(I75)+HEX2DEC(J75)+HEX2DEC(K75)+HEX2DEC(L75)+HEX2DEC(M75)+HEX2DEC(N75)+HEX2DEC(O75)+HEX2DEC(P75)+HEX2DEC(Q75),256),2)</f>
        <v>44</v>
      </c>
      <c r="S75" s="84" t="s">
        <v>5</v>
      </c>
      <c r="T75" s="55" t="str">
        <f t="shared" ref="T75:T86" si="17">IF(ISBLANK(B75),,B75&amp;" ")&amp;IF(ISBLANK(C75),,C75&amp;" ")&amp;IF(ISBLANK(D75),,D75&amp;" ")&amp;IF(ISBLANK(E75),,E75&amp;" ")&amp;IF(ISBLANK(F75),,F75&amp;" ")&amp;IF(ISBLANK(G75),,G75&amp;" ")&amp;IF(ISBLANK(H75),,H75&amp;" ")&amp;IF(ISBLANK(I75),,I75&amp;" ")&amp;IF(ISBLANK(J75),,J75&amp;" ")&amp;IF(ISBLANK(K75),,K75&amp;" ")&amp;IF(ISBLANK(L75),,L75&amp;" ")&amp;IF(ISBLANK(M75),,M75&amp;" ")&amp;IF(ISBLANK(N75),,N75&amp;" ")&amp;IF(ISBLANK(O75),,O75&amp;" ")&amp;IF(ISBLANK(P75),,P75&amp;" ")&amp;IF(ISBLANK(Q75),,Q75&amp;" ")&amp;IF(ISBLANK(R75),,R75&amp;" ")&amp;IF(ISBLANK(S75),,S75)</f>
        <v>aa 00 03 11 00 30 44 55</v>
      </c>
      <c r="U75" s="438" t="s">
        <v>500</v>
      </c>
      <c r="V75" s="438"/>
      <c r="W75" s="438"/>
      <c r="X75" s="438"/>
      <c r="Y75" s="438"/>
      <c r="Z75" s="438"/>
      <c r="AA75" s="438"/>
      <c r="AB75" s="438"/>
    </row>
    <row r="76" spans="2:28" x14ac:dyDescent="0.25">
      <c r="B76" s="84"/>
      <c r="C76" s="75"/>
      <c r="D76" s="75"/>
      <c r="E76" s="76"/>
      <c r="F76" s="76"/>
      <c r="G76" s="76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84"/>
      <c r="S76" s="84"/>
      <c r="T76" s="55"/>
      <c r="U76" s="438"/>
      <c r="V76" s="438"/>
      <c r="W76" s="438"/>
      <c r="X76" s="438"/>
      <c r="Y76" s="438"/>
      <c r="Z76" s="438"/>
      <c r="AA76" s="438"/>
      <c r="AB76" s="438"/>
    </row>
    <row r="77" spans="2:28" x14ac:dyDescent="0.25">
      <c r="B77" s="84"/>
      <c r="C77" s="75"/>
      <c r="D77" s="75"/>
      <c r="E77" s="76"/>
      <c r="F77" s="76"/>
      <c r="G77" s="76"/>
      <c r="H77" s="442"/>
      <c r="I77" s="442"/>
      <c r="J77" s="442"/>
      <c r="K77" s="442"/>
      <c r="L77" s="442"/>
      <c r="M77" s="442"/>
      <c r="N77" s="442"/>
      <c r="O77" s="442"/>
      <c r="P77" s="442"/>
      <c r="Q77" s="442"/>
      <c r="R77" s="84"/>
      <c r="S77" s="84"/>
      <c r="T77" s="55"/>
      <c r="U77" s="440"/>
      <c r="V77" s="440"/>
      <c r="W77" s="440"/>
      <c r="X77" s="440"/>
      <c r="Y77" s="440"/>
      <c r="Z77" s="440"/>
      <c r="AA77" s="440"/>
      <c r="AB77" s="440"/>
    </row>
    <row r="78" spans="2:28" x14ac:dyDescent="0.25">
      <c r="B78" s="84" t="s">
        <v>0</v>
      </c>
      <c r="C78" s="75" t="s">
        <v>1</v>
      </c>
      <c r="D78" s="75" t="str">
        <f t="shared" ref="D78:D79" si="18">DEC2HEX( COUNTA(E78:Q78),2)</f>
        <v>03</v>
      </c>
      <c r="E78" s="76" t="s">
        <v>28</v>
      </c>
      <c r="F78" s="76" t="s">
        <v>1</v>
      </c>
      <c r="G78" s="76" t="s">
        <v>601</v>
      </c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84" t="str">
        <f t="shared" ref="R78:R85" si="19">DEC2HEX(MOD(HEX2DEC(C78)+HEX2DEC(D78)+HEX2DEC(E78)+HEX2DEC(F78)+HEX2DEC(G78)+HEX2DEC(H78)+HEX2DEC(I78)+HEX2DEC(J78)+HEX2DEC(K78)+HEX2DEC(L78)+HEX2DEC(M78)+HEX2DEC(N78)+HEX2DEC(O78)+HEX2DEC(P78)+HEX2DEC(Q78),256),2)</f>
        <v>49</v>
      </c>
      <c r="S78" s="84" t="s">
        <v>5</v>
      </c>
      <c r="T78" s="55" t="str">
        <f t="shared" si="17"/>
        <v>aa 00 03 11 00 35 49 55</v>
      </c>
      <c r="U78" s="440" t="s">
        <v>600</v>
      </c>
      <c r="V78" s="440"/>
      <c r="W78" s="440"/>
      <c r="X78" s="440"/>
      <c r="Y78" s="440"/>
      <c r="Z78" s="440"/>
      <c r="AA78" s="440"/>
      <c r="AB78" s="440"/>
    </row>
    <row r="79" spans="2:28" x14ac:dyDescent="0.25">
      <c r="B79" s="84" t="s">
        <v>0</v>
      </c>
      <c r="C79" s="75" t="s">
        <v>1</v>
      </c>
      <c r="D79" s="75" t="str">
        <f t="shared" si="18"/>
        <v>03</v>
      </c>
      <c r="E79" s="76" t="s">
        <v>28</v>
      </c>
      <c r="F79" s="76" t="s">
        <v>1</v>
      </c>
      <c r="G79" s="76" t="s">
        <v>604</v>
      </c>
      <c r="H79" s="312"/>
      <c r="I79" s="57"/>
      <c r="J79" s="57"/>
      <c r="K79" s="57"/>
      <c r="L79" s="57"/>
      <c r="M79" s="57"/>
      <c r="N79" s="57"/>
      <c r="O79" s="57"/>
      <c r="P79" s="57"/>
      <c r="Q79" s="57"/>
      <c r="R79" s="84" t="str">
        <f t="shared" ref="R79" si="20">DEC2HEX(MOD(HEX2DEC(C79)+HEX2DEC(D79)+HEX2DEC(E79)+HEX2DEC(F79)+HEX2DEC(G79)+HEX2DEC(H79)+HEX2DEC(I79)+HEX2DEC(J79)+HEX2DEC(K79)+HEX2DEC(L79)+HEX2DEC(M79)+HEX2DEC(N79)+HEX2DEC(O79)+HEX2DEC(P79)+HEX2DEC(Q79),256),2)</f>
        <v>4A</v>
      </c>
      <c r="S79" s="84" t="s">
        <v>5</v>
      </c>
      <c r="T79" s="55" t="str">
        <f t="shared" ref="T79" si="21">IF(ISBLANK(B79),,B79&amp;" ")&amp;IF(ISBLANK(C79),,C79&amp;" ")&amp;IF(ISBLANK(D79),,D79&amp;" ")&amp;IF(ISBLANK(E79),,E79&amp;" ")&amp;IF(ISBLANK(F79),,F79&amp;" ")&amp;IF(ISBLANK(G79),,G79&amp;" ")&amp;IF(ISBLANK(H79),,H79&amp;" ")&amp;IF(ISBLANK(I79),,I79&amp;" ")&amp;IF(ISBLANK(J79),,J79&amp;" ")&amp;IF(ISBLANK(K79),,K79&amp;" ")&amp;IF(ISBLANK(L79),,L79&amp;" ")&amp;IF(ISBLANK(M79),,M79&amp;" ")&amp;IF(ISBLANK(N79),,N79&amp;" ")&amp;IF(ISBLANK(O79),,O79&amp;" ")&amp;IF(ISBLANK(P79),,P79&amp;" ")&amp;IF(ISBLANK(Q79),,Q79&amp;" ")&amp;IF(ISBLANK(R79),,R79&amp;" ")&amp;IF(ISBLANK(S79),,S79)</f>
        <v>aa 00 03 11 00 36 4A 55</v>
      </c>
      <c r="U79" s="438" t="s">
        <v>635</v>
      </c>
      <c r="V79" s="438"/>
      <c r="W79" s="438"/>
      <c r="X79" s="438"/>
      <c r="Y79" s="438"/>
      <c r="Z79" s="438"/>
      <c r="AA79" s="438"/>
      <c r="AB79" s="438"/>
    </row>
    <row r="80" spans="2:28" x14ac:dyDescent="0.25">
      <c r="B80" s="84" t="s">
        <v>0</v>
      </c>
      <c r="C80" s="75" t="s">
        <v>1</v>
      </c>
      <c r="D80" s="75" t="str">
        <f t="shared" ref="D80:D86" si="22">DEC2HEX( COUNTA(E80:Q80),2)</f>
        <v>04</v>
      </c>
      <c r="E80" s="76" t="s">
        <v>28</v>
      </c>
      <c r="F80" s="76" t="s">
        <v>1</v>
      </c>
      <c r="G80" s="76" t="s">
        <v>604</v>
      </c>
      <c r="H80" s="262" t="s">
        <v>605</v>
      </c>
      <c r="I80" s="57"/>
      <c r="J80" s="57"/>
      <c r="K80" s="57"/>
      <c r="L80" s="57"/>
      <c r="M80" s="57"/>
      <c r="N80" s="57"/>
      <c r="O80" s="57"/>
      <c r="P80" s="57"/>
      <c r="Q80" s="57"/>
      <c r="R80" s="84" t="str">
        <f t="shared" si="19"/>
        <v>4C</v>
      </c>
      <c r="S80" s="84" t="s">
        <v>5</v>
      </c>
      <c r="T80" s="55" t="str">
        <f t="shared" si="17"/>
        <v>aa 00 04 11 00 36 01 4C 55</v>
      </c>
      <c r="U80" s="438" t="s">
        <v>635</v>
      </c>
      <c r="V80" s="438"/>
      <c r="W80" s="438"/>
      <c r="X80" s="438"/>
      <c r="Y80" s="438"/>
      <c r="Z80" s="438"/>
      <c r="AA80" s="438"/>
      <c r="AB80" s="438"/>
    </row>
    <row r="81" spans="2:28" x14ac:dyDescent="0.25">
      <c r="B81" s="84" t="s">
        <v>0</v>
      </c>
      <c r="C81" s="75" t="s">
        <v>1</v>
      </c>
      <c r="D81" s="75" t="str">
        <f t="shared" si="22"/>
        <v>04</v>
      </c>
      <c r="E81" s="76" t="s">
        <v>28</v>
      </c>
      <c r="F81" s="76" t="s">
        <v>1</v>
      </c>
      <c r="G81" s="76" t="s">
        <v>604</v>
      </c>
      <c r="H81" s="262" t="s">
        <v>15</v>
      </c>
      <c r="I81" s="57"/>
      <c r="J81" s="57"/>
      <c r="K81" s="57"/>
      <c r="L81" s="57"/>
      <c r="M81" s="57"/>
      <c r="N81" s="57"/>
      <c r="O81" s="57"/>
      <c r="P81" s="57"/>
      <c r="Q81" s="57"/>
      <c r="R81" s="84" t="str">
        <f t="shared" si="19"/>
        <v>4D</v>
      </c>
      <c r="S81" s="84" t="s">
        <v>5</v>
      </c>
      <c r="T81" s="55" t="str">
        <f t="shared" si="17"/>
        <v>aa 00 04 11 00 36 02 4D 55</v>
      </c>
      <c r="U81" s="438" t="s">
        <v>648</v>
      </c>
      <c r="V81" s="438"/>
      <c r="W81" s="438"/>
      <c r="X81" s="438"/>
      <c r="Y81" s="438"/>
      <c r="Z81" s="438"/>
      <c r="AA81" s="438"/>
      <c r="AB81" s="438"/>
    </row>
    <row r="82" spans="2:28" x14ac:dyDescent="0.25">
      <c r="B82" s="84" t="s">
        <v>0</v>
      </c>
      <c r="C82" s="75" t="s">
        <v>1</v>
      </c>
      <c r="D82" s="75" t="str">
        <f t="shared" si="22"/>
        <v>04</v>
      </c>
      <c r="E82" s="76" t="s">
        <v>28</v>
      </c>
      <c r="F82" s="76" t="s">
        <v>1</v>
      </c>
      <c r="G82" s="76" t="s">
        <v>604</v>
      </c>
      <c r="H82" s="262" t="s">
        <v>13</v>
      </c>
      <c r="I82" s="57"/>
      <c r="J82" s="57"/>
      <c r="K82" s="57"/>
      <c r="L82" s="57"/>
      <c r="M82" s="57"/>
      <c r="N82" s="57"/>
      <c r="O82" s="57"/>
      <c r="P82" s="57"/>
      <c r="Q82" s="57"/>
      <c r="R82" s="84" t="str">
        <f t="shared" si="19"/>
        <v>4E</v>
      </c>
      <c r="S82" s="84" t="s">
        <v>5</v>
      </c>
      <c r="T82" s="55" t="str">
        <f t="shared" si="17"/>
        <v>aa 00 04 11 00 36 03 4E 55</v>
      </c>
      <c r="U82" s="438" t="s">
        <v>636</v>
      </c>
      <c r="V82" s="438"/>
      <c r="W82" s="438"/>
      <c r="X82" s="438"/>
      <c r="Y82" s="438"/>
      <c r="Z82" s="438"/>
      <c r="AA82" s="438"/>
      <c r="AB82" s="438"/>
    </row>
    <row r="83" spans="2:28" x14ac:dyDescent="0.25">
      <c r="B83" s="84" t="s">
        <v>0</v>
      </c>
      <c r="C83" s="75" t="s">
        <v>1</v>
      </c>
      <c r="D83" s="75" t="str">
        <f t="shared" si="22"/>
        <v>04</v>
      </c>
      <c r="E83" s="76" t="s">
        <v>28</v>
      </c>
      <c r="F83" s="76" t="s">
        <v>1</v>
      </c>
      <c r="G83" s="76" t="s">
        <v>604</v>
      </c>
      <c r="H83" s="262" t="s">
        <v>18</v>
      </c>
      <c r="I83" s="57"/>
      <c r="J83" s="57"/>
      <c r="K83" s="57"/>
      <c r="L83" s="57"/>
      <c r="M83" s="57"/>
      <c r="N83" s="57"/>
      <c r="O83" s="57"/>
      <c r="P83" s="57"/>
      <c r="Q83" s="57"/>
      <c r="R83" s="84" t="str">
        <f t="shared" si="19"/>
        <v>4F</v>
      </c>
      <c r="S83" s="84" t="s">
        <v>5</v>
      </c>
      <c r="T83" s="55" t="str">
        <f t="shared" si="17"/>
        <v>aa 00 04 11 00 36 04 4F 55</v>
      </c>
      <c r="U83" s="438" t="s">
        <v>637</v>
      </c>
      <c r="V83" s="438"/>
      <c r="W83" s="438"/>
      <c r="X83" s="438"/>
      <c r="Y83" s="438"/>
      <c r="Z83" s="438"/>
      <c r="AA83" s="438"/>
      <c r="AB83" s="438"/>
    </row>
    <row r="84" spans="2:28" x14ac:dyDescent="0.25">
      <c r="B84" s="84" t="s">
        <v>0</v>
      </c>
      <c r="C84" s="75" t="s">
        <v>1</v>
      </c>
      <c r="D84" s="75" t="str">
        <f t="shared" si="22"/>
        <v>04</v>
      </c>
      <c r="E84" s="76" t="s">
        <v>28</v>
      </c>
      <c r="F84" s="76" t="s">
        <v>1</v>
      </c>
      <c r="G84" s="76" t="s">
        <v>604</v>
      </c>
      <c r="H84" s="262" t="s">
        <v>122</v>
      </c>
      <c r="I84" s="57"/>
      <c r="J84" s="57"/>
      <c r="K84" s="57"/>
      <c r="L84" s="57"/>
      <c r="M84" s="57"/>
      <c r="N84" s="57"/>
      <c r="O84" s="57"/>
      <c r="P84" s="57"/>
      <c r="Q84" s="57"/>
      <c r="R84" s="84" t="str">
        <f t="shared" si="19"/>
        <v>50</v>
      </c>
      <c r="S84" s="84" t="s">
        <v>5</v>
      </c>
      <c r="T84" s="55" t="str">
        <f t="shared" si="17"/>
        <v>aa 00 04 11 00 36 05 50 55</v>
      </c>
      <c r="U84" s="438" t="s">
        <v>638</v>
      </c>
      <c r="V84" s="438"/>
      <c r="W84" s="438"/>
      <c r="X84" s="438"/>
      <c r="Y84" s="438"/>
      <c r="Z84" s="438"/>
      <c r="AA84" s="438"/>
      <c r="AB84" s="438"/>
    </row>
    <row r="85" spans="2:28" x14ac:dyDescent="0.25">
      <c r="B85" s="84" t="s">
        <v>0</v>
      </c>
      <c r="C85" s="75" t="s">
        <v>1</v>
      </c>
      <c r="D85" s="75" t="str">
        <f t="shared" si="22"/>
        <v>04</v>
      </c>
      <c r="E85" s="76" t="s">
        <v>28</v>
      </c>
      <c r="F85" s="76" t="s">
        <v>1</v>
      </c>
      <c r="G85" s="76" t="s">
        <v>604</v>
      </c>
      <c r="H85" s="262" t="s">
        <v>123</v>
      </c>
      <c r="I85" s="57"/>
      <c r="J85" s="57"/>
      <c r="K85" s="57"/>
      <c r="L85" s="57"/>
      <c r="M85" s="57"/>
      <c r="N85" s="57"/>
      <c r="O85" s="57"/>
      <c r="P85" s="57"/>
      <c r="Q85" s="57"/>
      <c r="R85" s="84" t="str">
        <f t="shared" si="19"/>
        <v>51</v>
      </c>
      <c r="S85" s="84" t="s">
        <v>5</v>
      </c>
      <c r="T85" s="55" t="str">
        <f t="shared" si="17"/>
        <v>aa 00 04 11 00 36 06 51 55</v>
      </c>
      <c r="U85" s="438" t="s">
        <v>639</v>
      </c>
      <c r="V85" s="438"/>
      <c r="W85" s="438"/>
      <c r="X85" s="438"/>
      <c r="Y85" s="438"/>
      <c r="Z85" s="438"/>
      <c r="AA85" s="438"/>
      <c r="AB85" s="438"/>
    </row>
    <row r="86" spans="2:28" x14ac:dyDescent="0.25">
      <c r="B86" s="84" t="s">
        <v>0</v>
      </c>
      <c r="C86" s="75" t="s">
        <v>1</v>
      </c>
      <c r="D86" s="75" t="str">
        <f t="shared" si="22"/>
        <v>04</v>
      </c>
      <c r="E86" s="76" t="s">
        <v>28</v>
      </c>
      <c r="F86" s="76" t="s">
        <v>1</v>
      </c>
      <c r="G86" s="76" t="s">
        <v>604</v>
      </c>
      <c r="H86" s="262" t="s">
        <v>124</v>
      </c>
      <c r="I86" s="57"/>
      <c r="J86" s="57"/>
      <c r="K86" s="57"/>
      <c r="L86" s="57"/>
      <c r="M86" s="57"/>
      <c r="N86" s="57"/>
      <c r="O86" s="57"/>
      <c r="P86" s="57"/>
      <c r="Q86" s="57"/>
      <c r="R86" s="84" t="str">
        <f>DEC2HEX(MOD(HEX2DEC(C86)+HEX2DEC(D86)+HEX2DEC(E86)+HEX2DEC(F86)+HEX2DEC(G86)+HEX2DEC(H86)+HEX2DEC(I86)+HEX2DEC(J86)+HEX2DEC(K86)+HEX2DEC(L86)+HEX2DEC(M86)+HEX2DEC(N86)+HEX2DEC(O86)+HEX2DEC(P86)+HEX2DEC(Q86),256),2)</f>
        <v>52</v>
      </c>
      <c r="S86" s="84" t="s">
        <v>5</v>
      </c>
      <c r="T86" s="55" t="str">
        <f t="shared" si="17"/>
        <v>aa 00 04 11 00 36 07 52 55</v>
      </c>
      <c r="U86" s="438" t="s">
        <v>640</v>
      </c>
      <c r="V86" s="438"/>
      <c r="W86" s="438"/>
      <c r="X86" s="438"/>
      <c r="Y86" s="438"/>
      <c r="Z86" s="438"/>
      <c r="AA86" s="438"/>
      <c r="AB86" s="438"/>
    </row>
    <row r="87" spans="2:28" x14ac:dyDescent="0.25">
      <c r="B87" s="84"/>
      <c r="C87" s="75"/>
      <c r="D87" s="75"/>
      <c r="E87" s="76"/>
      <c r="F87" s="76"/>
      <c r="G87" s="76"/>
      <c r="H87" s="269"/>
      <c r="I87" s="57"/>
      <c r="J87" s="57"/>
      <c r="K87" s="57"/>
      <c r="L87" s="57"/>
      <c r="M87" s="57"/>
      <c r="N87" s="57"/>
      <c r="O87" s="57"/>
      <c r="P87" s="57"/>
      <c r="Q87" s="57"/>
      <c r="R87" s="84"/>
      <c r="S87" s="84"/>
      <c r="T87" s="55"/>
      <c r="U87" s="268"/>
      <c r="V87" s="268"/>
      <c r="W87" s="268"/>
      <c r="X87" s="268"/>
      <c r="Y87" s="268"/>
      <c r="Z87" s="268"/>
      <c r="AA87" s="268"/>
      <c r="AB87" s="268"/>
    </row>
    <row r="88" spans="2:28" x14ac:dyDescent="0.25">
      <c r="B88" s="84" t="s">
        <v>0</v>
      </c>
      <c r="C88" s="75" t="s">
        <v>1</v>
      </c>
      <c r="D88" s="75" t="str">
        <f t="shared" ref="D88" si="23">DEC2HEX( COUNTA(E88:Q88),2)</f>
        <v>04</v>
      </c>
      <c r="E88" s="76" t="s">
        <v>28</v>
      </c>
      <c r="F88" s="76" t="s">
        <v>1</v>
      </c>
      <c r="G88" s="76" t="s">
        <v>641</v>
      </c>
      <c r="H88" s="269" t="s">
        <v>649</v>
      </c>
      <c r="I88" s="57"/>
      <c r="J88" s="57"/>
      <c r="K88" s="57"/>
      <c r="L88" s="57"/>
      <c r="M88" s="57"/>
      <c r="N88" s="57"/>
      <c r="O88" s="57"/>
      <c r="P88" s="57"/>
      <c r="Q88" s="57"/>
      <c r="R88" s="84" t="str">
        <f t="shared" ref="R88" si="24">DEC2HEX(MOD(HEX2DEC(C88)+HEX2DEC(D88)+HEX2DEC(E88)+HEX2DEC(F88)+HEX2DEC(G88)+HEX2DEC(H88)+HEX2DEC(I88)+HEX2DEC(J88)+HEX2DEC(K88)+HEX2DEC(L88)+HEX2DEC(M88)+HEX2DEC(N88)+HEX2DEC(O88)+HEX2DEC(P88)+HEX2DEC(Q88),256),2)</f>
        <v>4D</v>
      </c>
      <c r="S88" s="84" t="s">
        <v>5</v>
      </c>
      <c r="T88" s="55" t="str">
        <f t="shared" ref="T88" si="25">IF(ISBLANK(B88),,B88&amp;" ")&amp;IF(ISBLANK(C88),,C88&amp;" ")&amp;IF(ISBLANK(D88),,D88&amp;" ")&amp;IF(ISBLANK(E88),,E88&amp;" ")&amp;IF(ISBLANK(F88),,F88&amp;" ")&amp;IF(ISBLANK(G88),,G88&amp;" ")&amp;IF(ISBLANK(H88),,H88&amp;" ")&amp;IF(ISBLANK(I88),,I88&amp;" ")&amp;IF(ISBLANK(J88),,J88&amp;" ")&amp;IF(ISBLANK(K88),,K88&amp;" ")&amp;IF(ISBLANK(L88),,L88&amp;" ")&amp;IF(ISBLANK(M88),,M88&amp;" ")&amp;IF(ISBLANK(N88),,N88&amp;" ")&amp;IF(ISBLANK(O88),,O88&amp;" ")&amp;IF(ISBLANK(P88),,P88&amp;" ")&amp;IF(ISBLANK(Q88),,Q88&amp;" ")&amp;IF(ISBLANK(R88),,R88&amp;" ")&amp;IF(ISBLANK(S88),,S88)</f>
        <v>aa 00 04 11 00 37 01 4D 55</v>
      </c>
      <c r="U88" s="438" t="s">
        <v>650</v>
      </c>
      <c r="V88" s="438"/>
      <c r="W88" s="438"/>
      <c r="X88" s="438"/>
      <c r="Y88" s="438"/>
      <c r="Z88" s="438"/>
      <c r="AA88" s="438"/>
      <c r="AB88" s="438"/>
    </row>
    <row r="89" spans="2:28" x14ac:dyDescent="0.25">
      <c r="B89" s="84" t="s">
        <v>0</v>
      </c>
      <c r="C89" s="75" t="s">
        <v>1</v>
      </c>
      <c r="D89" s="75" t="str">
        <f t="shared" ref="D89:D93" si="26">DEC2HEX( COUNTA(E89:Q89),2)</f>
        <v>04</v>
      </c>
      <c r="E89" s="76" t="s">
        <v>28</v>
      </c>
      <c r="F89" s="76" t="s">
        <v>1</v>
      </c>
      <c r="G89" s="76" t="s">
        <v>641</v>
      </c>
      <c r="H89" s="269" t="s">
        <v>15</v>
      </c>
      <c r="I89" s="57"/>
      <c r="J89" s="57"/>
      <c r="K89" s="57"/>
      <c r="L89" s="57"/>
      <c r="M89" s="57"/>
      <c r="N89" s="57"/>
      <c r="O89" s="57"/>
      <c r="P89" s="57"/>
      <c r="Q89" s="57"/>
      <c r="R89" s="84" t="str">
        <f t="shared" ref="R89:R93" si="27">DEC2HEX(MOD(HEX2DEC(C89)+HEX2DEC(D89)+HEX2DEC(E89)+HEX2DEC(F89)+HEX2DEC(G89)+HEX2DEC(H89)+HEX2DEC(I89)+HEX2DEC(J89)+HEX2DEC(K89)+HEX2DEC(L89)+HEX2DEC(M89)+HEX2DEC(N89)+HEX2DEC(O89)+HEX2DEC(P89)+HEX2DEC(Q89),256),2)</f>
        <v>4E</v>
      </c>
      <c r="S89" s="84" t="s">
        <v>5</v>
      </c>
      <c r="T89" s="55" t="str">
        <f t="shared" ref="T89:T93" si="28">IF(ISBLANK(B89),,B89&amp;" ")&amp;IF(ISBLANK(C89),,C89&amp;" ")&amp;IF(ISBLANK(D89),,D89&amp;" ")&amp;IF(ISBLANK(E89),,E89&amp;" ")&amp;IF(ISBLANK(F89),,F89&amp;" ")&amp;IF(ISBLANK(G89),,G89&amp;" ")&amp;IF(ISBLANK(H89),,H89&amp;" ")&amp;IF(ISBLANK(I89),,I89&amp;" ")&amp;IF(ISBLANK(J89),,J89&amp;" ")&amp;IF(ISBLANK(K89),,K89&amp;" ")&amp;IF(ISBLANK(L89),,L89&amp;" ")&amp;IF(ISBLANK(M89),,M89&amp;" ")&amp;IF(ISBLANK(N89),,N89&amp;" ")&amp;IF(ISBLANK(O89),,O89&amp;" ")&amp;IF(ISBLANK(P89),,P89&amp;" ")&amp;IF(ISBLANK(Q89),,Q89&amp;" ")&amp;IF(ISBLANK(R89),,R89&amp;" ")&amp;IF(ISBLANK(S89),,S89)</f>
        <v>aa 00 04 11 00 37 02 4E 55</v>
      </c>
      <c r="U89" s="438" t="s">
        <v>651</v>
      </c>
      <c r="V89" s="438"/>
      <c r="W89" s="438"/>
      <c r="X89" s="438"/>
      <c r="Y89" s="438"/>
      <c r="Z89" s="438"/>
      <c r="AA89" s="438"/>
      <c r="AB89" s="438"/>
    </row>
    <row r="90" spans="2:28" x14ac:dyDescent="0.25">
      <c r="B90" s="84" t="s">
        <v>0</v>
      </c>
      <c r="C90" s="75" t="s">
        <v>1</v>
      </c>
      <c r="D90" s="75" t="str">
        <f t="shared" si="26"/>
        <v>04</v>
      </c>
      <c r="E90" s="76" t="s">
        <v>28</v>
      </c>
      <c r="F90" s="76" t="s">
        <v>1</v>
      </c>
      <c r="G90" s="76" t="s">
        <v>641</v>
      </c>
      <c r="H90" s="269" t="s">
        <v>13</v>
      </c>
      <c r="I90" s="57"/>
      <c r="J90" s="57"/>
      <c r="K90" s="57"/>
      <c r="L90" s="57"/>
      <c r="M90" s="57"/>
      <c r="N90" s="57"/>
      <c r="O90" s="57"/>
      <c r="P90" s="57"/>
      <c r="Q90" s="57"/>
      <c r="R90" s="84" t="str">
        <f t="shared" si="27"/>
        <v>4F</v>
      </c>
      <c r="S90" s="84" t="s">
        <v>5</v>
      </c>
      <c r="T90" s="55" t="str">
        <f t="shared" si="28"/>
        <v>aa 00 04 11 00 37 03 4F 55</v>
      </c>
      <c r="U90" s="438" t="s">
        <v>652</v>
      </c>
      <c r="V90" s="438"/>
      <c r="W90" s="438"/>
      <c r="X90" s="438"/>
      <c r="Y90" s="438"/>
      <c r="Z90" s="438"/>
      <c r="AA90" s="438"/>
      <c r="AB90" s="438"/>
    </row>
    <row r="91" spans="2:28" x14ac:dyDescent="0.25">
      <c r="B91" s="84" t="s">
        <v>0</v>
      </c>
      <c r="C91" s="75" t="s">
        <v>1</v>
      </c>
      <c r="D91" s="75" t="str">
        <f t="shared" si="26"/>
        <v>04</v>
      </c>
      <c r="E91" s="76" t="s">
        <v>28</v>
      </c>
      <c r="F91" s="76" t="s">
        <v>1</v>
      </c>
      <c r="G91" s="76" t="s">
        <v>641</v>
      </c>
      <c r="H91" s="269" t="s">
        <v>18</v>
      </c>
      <c r="I91" s="57"/>
      <c r="J91" s="57"/>
      <c r="K91" s="57"/>
      <c r="L91" s="57"/>
      <c r="M91" s="57"/>
      <c r="N91" s="57"/>
      <c r="O91" s="57"/>
      <c r="P91" s="57"/>
      <c r="Q91" s="57"/>
      <c r="R91" s="84" t="str">
        <f t="shared" si="27"/>
        <v>50</v>
      </c>
      <c r="S91" s="84" t="s">
        <v>5</v>
      </c>
      <c r="T91" s="55" t="str">
        <f t="shared" si="28"/>
        <v>aa 00 04 11 00 37 04 50 55</v>
      </c>
      <c r="U91" s="438" t="s">
        <v>653</v>
      </c>
      <c r="V91" s="438"/>
      <c r="W91" s="438"/>
      <c r="X91" s="438"/>
      <c r="Y91" s="438"/>
      <c r="Z91" s="438"/>
      <c r="AA91" s="438"/>
      <c r="AB91" s="438"/>
    </row>
    <row r="92" spans="2:28" x14ac:dyDescent="0.25">
      <c r="B92" s="84" t="s">
        <v>0</v>
      </c>
      <c r="C92" s="75" t="s">
        <v>1</v>
      </c>
      <c r="D92" s="75" t="str">
        <f t="shared" si="26"/>
        <v>04</v>
      </c>
      <c r="E92" s="76" t="s">
        <v>28</v>
      </c>
      <c r="F92" s="76" t="s">
        <v>1</v>
      </c>
      <c r="G92" s="76" t="s">
        <v>641</v>
      </c>
      <c r="H92" s="269" t="s">
        <v>122</v>
      </c>
      <c r="I92" s="57"/>
      <c r="J92" s="57"/>
      <c r="K92" s="57"/>
      <c r="L92" s="57"/>
      <c r="M92" s="57"/>
      <c r="N92" s="57"/>
      <c r="O92" s="57"/>
      <c r="P92" s="57"/>
      <c r="Q92" s="57"/>
      <c r="R92" s="84" t="str">
        <f t="shared" si="27"/>
        <v>51</v>
      </c>
      <c r="S92" s="84" t="s">
        <v>5</v>
      </c>
      <c r="T92" s="55" t="str">
        <f t="shared" si="28"/>
        <v>aa 00 04 11 00 37 05 51 55</v>
      </c>
      <c r="U92" s="438" t="s">
        <v>654</v>
      </c>
      <c r="V92" s="438"/>
      <c r="W92" s="438"/>
      <c r="X92" s="438"/>
      <c r="Y92" s="438"/>
      <c r="Z92" s="438"/>
      <c r="AA92" s="438"/>
      <c r="AB92" s="438"/>
    </row>
    <row r="93" spans="2:28" x14ac:dyDescent="0.25">
      <c r="B93" s="84" t="s">
        <v>0</v>
      </c>
      <c r="C93" s="75" t="s">
        <v>1</v>
      </c>
      <c r="D93" s="75" t="str">
        <f t="shared" si="26"/>
        <v>04</v>
      </c>
      <c r="E93" s="76" t="s">
        <v>28</v>
      </c>
      <c r="F93" s="76" t="s">
        <v>1</v>
      </c>
      <c r="G93" s="76" t="s">
        <v>641</v>
      </c>
      <c r="H93" s="269" t="s">
        <v>123</v>
      </c>
      <c r="I93" s="57"/>
      <c r="J93" s="57"/>
      <c r="K93" s="57"/>
      <c r="L93" s="57"/>
      <c r="M93" s="57"/>
      <c r="N93" s="57"/>
      <c r="O93" s="57"/>
      <c r="P93" s="57"/>
      <c r="Q93" s="57"/>
      <c r="R93" s="84" t="str">
        <f t="shared" si="27"/>
        <v>52</v>
      </c>
      <c r="S93" s="84" t="s">
        <v>5</v>
      </c>
      <c r="T93" s="55" t="str">
        <f t="shared" si="28"/>
        <v>aa 00 04 11 00 37 06 52 55</v>
      </c>
      <c r="U93" s="438" t="s">
        <v>655</v>
      </c>
      <c r="V93" s="438"/>
      <c r="W93" s="438"/>
      <c r="X93" s="438"/>
      <c r="Y93" s="438"/>
      <c r="Z93" s="438"/>
      <c r="AA93" s="438"/>
      <c r="AB93" s="438"/>
    </row>
    <row r="94" spans="2:28" x14ac:dyDescent="0.25">
      <c r="B94" s="84"/>
      <c r="C94" s="75"/>
      <c r="D94" s="75"/>
      <c r="E94" s="76"/>
      <c r="F94" s="76"/>
      <c r="G94" s="76"/>
      <c r="H94" s="262"/>
      <c r="I94" s="57"/>
      <c r="J94" s="57"/>
      <c r="K94" s="57"/>
      <c r="L94" s="57"/>
      <c r="M94" s="57"/>
      <c r="N94" s="57"/>
      <c r="O94" s="57"/>
      <c r="P94" s="57"/>
      <c r="Q94" s="57"/>
      <c r="R94" s="84"/>
      <c r="S94" s="84"/>
      <c r="T94" s="55"/>
      <c r="U94" s="263"/>
      <c r="V94" s="263"/>
      <c r="W94" s="263"/>
      <c r="X94" s="263"/>
      <c r="Y94" s="263"/>
      <c r="Z94" s="263"/>
      <c r="AA94" s="263"/>
      <c r="AB94" s="263"/>
    </row>
    <row r="95" spans="2:28" x14ac:dyDescent="0.25">
      <c r="B95" s="84"/>
      <c r="C95" s="75"/>
      <c r="D95" s="75"/>
      <c r="E95" s="76"/>
      <c r="F95" s="76"/>
      <c r="G95" s="76"/>
      <c r="H95" s="311" t="s">
        <v>758</v>
      </c>
      <c r="I95" s="57"/>
      <c r="J95" s="57"/>
      <c r="K95" s="57"/>
      <c r="L95" s="57"/>
      <c r="M95" s="57"/>
      <c r="N95" s="57"/>
      <c r="O95" s="57"/>
      <c r="P95" s="57"/>
      <c r="Q95" s="57"/>
      <c r="R95" s="84"/>
      <c r="S95" s="84"/>
      <c r="T95" s="55"/>
      <c r="U95" s="263" t="s">
        <v>618</v>
      </c>
      <c r="V95" s="300" t="s">
        <v>750</v>
      </c>
      <c r="W95" s="263" t="s">
        <v>751</v>
      </c>
      <c r="X95" s="263" t="s">
        <v>619</v>
      </c>
      <c r="Y95" s="263"/>
      <c r="Z95" s="263"/>
      <c r="AA95" s="263"/>
      <c r="AB95" s="263"/>
    </row>
    <row r="96" spans="2:28" x14ac:dyDescent="0.25">
      <c r="B96" s="84" t="s">
        <v>0</v>
      </c>
      <c r="C96" s="75" t="s">
        <v>1</v>
      </c>
      <c r="D96" s="75" t="str">
        <f t="shared" ref="D96" si="29">DEC2HEX( COUNTA(E96:Q96),2)</f>
        <v>0A</v>
      </c>
      <c r="E96" s="76" t="s">
        <v>28</v>
      </c>
      <c r="F96" s="76" t="s">
        <v>1</v>
      </c>
      <c r="G96" s="76" t="s">
        <v>620</v>
      </c>
      <c r="H96" s="308" t="s">
        <v>7</v>
      </c>
      <c r="I96" s="3" t="str">
        <f>LEFT(RIGHT(DEC2HEX(U96,4),4),2)</f>
        <v>00</v>
      </c>
      <c r="J96" s="3" t="str">
        <f>LEFT(RIGHT(DEC2HEX(U96,4),2),2)</f>
        <v>64</v>
      </c>
      <c r="K96" s="3" t="str">
        <f>LEFT(RIGHT(DEC2HEX(V96,4),4),2)</f>
        <v>00</v>
      </c>
      <c r="L96" s="3" t="str">
        <f>LEFT(RIGHT(DEC2HEX(V96,4),2),2)</f>
        <v>64</v>
      </c>
      <c r="M96" s="3" t="str">
        <f>DEC2HEX(W96,2)</f>
        <v>1E</v>
      </c>
      <c r="N96" s="301" t="str">
        <f>DEC2HEX(X96,2)</f>
        <v>05</v>
      </c>
      <c r="O96" s="262"/>
      <c r="P96" s="57"/>
      <c r="Q96" s="57"/>
      <c r="R96" s="84" t="str">
        <f>DEC2HEX(MOD(HEX2DEC(C96)+HEX2DEC(D96)+HEX2DEC(E96)+HEX2DEC(F96)+HEX2DEC(G96)+HEX2DEC(H96)+HEX2DEC(I96)+HEX2DEC(J96)+HEX2DEC(K96)+HEX2DEC(L96)+HEX2DEC(M96)+HEX2DEC(N96)+HEX2DEC(O96)+HEX2DEC(P96)+HEX2DEC(Q96),256),2)</f>
        <v>3C</v>
      </c>
      <c r="S96" s="84" t="s">
        <v>5</v>
      </c>
      <c r="T96" s="55" t="str">
        <f>IF(ISBLANK(B96),,B96&amp;" ")&amp;IF(ISBLANK(C96),,C96&amp;" ")&amp;IF(ISBLANK(D96),,D96&amp;" ")&amp;IF(ISBLANK(E96),,E96&amp;" ")&amp;IF(ISBLANK(F96),,F96&amp;" ")&amp;IF(ISBLANK(G96),,G96&amp;" ")&amp;IF(ISBLANK(H96),,H96&amp;" ")&amp;IF(ISBLANK(I96),,I96&amp;" ")&amp;IF(ISBLANK(J96),,J96&amp;" ")&amp;IF(ISBLANK(K96),,K96&amp;" ")&amp;IF(ISBLANK(L96),,L96&amp;" ")&amp;IF(ISBLANK(M96),,M96&amp;" ")&amp;IF(ISBLANK(N96),,N96&amp;" ")&amp;IF(ISBLANK(O96),,O96&amp;" ")&amp;IF(ISBLANK(P96),,P96&amp;" ")&amp;IF(ISBLANK(Q96),,Q96&amp;" ")&amp;IF(ISBLANK(R96),,R96&amp;" ")&amp;IF(ISBLANK(S96),,S96)</f>
        <v>aa 00 0A 11 00 34 02 00 64 00 64 1E 05 3C 55</v>
      </c>
      <c r="U96" s="264">
        <v>100</v>
      </c>
      <c r="V96" s="264">
        <v>100</v>
      </c>
      <c r="W96" s="264">
        <v>30</v>
      </c>
      <c r="X96" s="264">
        <v>5</v>
      </c>
      <c r="Y96" s="454" t="s">
        <v>727</v>
      </c>
      <c r="Z96" s="455"/>
      <c r="AA96" s="455"/>
      <c r="AB96" s="583"/>
    </row>
    <row r="97" spans="2:28" x14ac:dyDescent="0.25">
      <c r="B97" s="84" t="s">
        <v>0</v>
      </c>
      <c r="C97" s="75" t="s">
        <v>1</v>
      </c>
      <c r="D97" s="75" t="str">
        <f t="shared" ref="D97" si="30">DEC2HEX( COUNTA(E97:Q97),2)</f>
        <v>03</v>
      </c>
      <c r="E97" s="76" t="s">
        <v>28</v>
      </c>
      <c r="F97" s="76" t="s">
        <v>1</v>
      </c>
      <c r="G97" s="76" t="s">
        <v>42</v>
      </c>
      <c r="H97" s="57"/>
      <c r="I97" s="57"/>
      <c r="J97" s="57"/>
      <c r="K97" s="57"/>
      <c r="L97" s="57"/>
      <c r="M97" s="57"/>
      <c r="N97" s="57"/>
      <c r="O97" s="57"/>
      <c r="P97" s="57"/>
      <c r="Q97" s="57"/>
      <c r="R97" s="84" t="str">
        <f t="shared" ref="R97:R98" si="31">DEC2HEX(MOD(HEX2DEC(C97)+HEX2DEC(D97)+HEX2DEC(E97)+HEX2DEC(F97)+HEX2DEC(G97)+HEX2DEC(H97)+HEX2DEC(I97)+HEX2DEC(J97)+HEX2DEC(K97)+HEX2DEC(L97)+HEX2DEC(M97)+HEX2DEC(N97)+HEX2DEC(O97)+HEX2DEC(P97)+HEX2DEC(Q97),256),2)</f>
        <v>54</v>
      </c>
      <c r="S97" s="84" t="s">
        <v>5</v>
      </c>
      <c r="T97" s="55" t="str">
        <f t="shared" ref="T97:T101" si="32">IF(ISBLANK(B97),,B97&amp;" ")&amp;IF(ISBLANK(C97),,C97&amp;" ")&amp;IF(ISBLANK(D97),,D97&amp;" ")&amp;IF(ISBLANK(E97),,E97&amp;" ")&amp;IF(ISBLANK(F97),,F97&amp;" ")&amp;IF(ISBLANK(G97),,G97&amp;" ")&amp;IF(ISBLANK(H97),,H97&amp;" ")&amp;IF(ISBLANK(I97),,I97&amp;" ")&amp;IF(ISBLANK(J97),,J97&amp;" ")&amp;IF(ISBLANK(K97),,K97&amp;" ")&amp;IF(ISBLANK(L97),,L97&amp;" ")&amp;IF(ISBLANK(M97),,M97&amp;" ")&amp;IF(ISBLANK(N97),,N97&amp;" ")&amp;IF(ISBLANK(O97),,O97&amp;" ")&amp;IF(ISBLANK(P97),,P97&amp;" ")&amp;IF(ISBLANK(Q97),,Q97&amp;" ")&amp;IF(ISBLANK(R97),,R97&amp;" ")&amp;IF(ISBLANK(S97),,S97)</f>
        <v>aa 00 03 11 00 40 54 55</v>
      </c>
      <c r="U97" s="440" t="s">
        <v>606</v>
      </c>
      <c r="V97" s="440"/>
      <c r="W97" s="440"/>
      <c r="X97" s="440"/>
      <c r="Y97" s="440"/>
      <c r="Z97" s="440"/>
      <c r="AA97" s="440"/>
      <c r="AB97" s="440"/>
    </row>
    <row r="98" spans="2:28" x14ac:dyDescent="0.25">
      <c r="B98" s="84" t="s">
        <v>0</v>
      </c>
      <c r="C98" s="75" t="s">
        <v>1</v>
      </c>
      <c r="D98" s="75" t="str">
        <f t="shared" ref="D98" si="33">DEC2HEX( COUNTA(E98:Q98),2)</f>
        <v>03</v>
      </c>
      <c r="E98" s="76" t="s">
        <v>28</v>
      </c>
      <c r="F98" s="76" t="s">
        <v>1</v>
      </c>
      <c r="G98" s="76" t="s">
        <v>98</v>
      </c>
      <c r="H98" s="57"/>
      <c r="I98" s="57"/>
      <c r="J98" s="57"/>
      <c r="K98" s="57"/>
      <c r="L98" s="57"/>
      <c r="M98" s="57"/>
      <c r="N98" s="57"/>
      <c r="O98" s="57"/>
      <c r="P98" s="57"/>
      <c r="Q98" s="57"/>
      <c r="R98" s="84" t="str">
        <f t="shared" si="31"/>
        <v>55</v>
      </c>
      <c r="S98" s="84" t="s">
        <v>5</v>
      </c>
      <c r="T98" s="55" t="str">
        <f t="shared" si="32"/>
        <v>aa 00 03 11 00 41 55 55</v>
      </c>
      <c r="U98" s="440" t="s">
        <v>607</v>
      </c>
      <c r="V98" s="440"/>
      <c r="W98" s="440"/>
      <c r="X98" s="440"/>
      <c r="Y98" s="440"/>
      <c r="Z98" s="440"/>
      <c r="AA98" s="440"/>
      <c r="AB98" s="440"/>
    </row>
    <row r="99" spans="2:28" x14ac:dyDescent="0.25">
      <c r="B99" s="84"/>
      <c r="C99" s="75"/>
      <c r="D99" s="75"/>
      <c r="E99" s="76"/>
      <c r="F99" s="76"/>
      <c r="G99" s="76"/>
      <c r="H99" s="262"/>
      <c r="I99" s="262"/>
      <c r="J99" s="262"/>
      <c r="K99" s="262"/>
      <c r="L99" s="262"/>
      <c r="M99" s="262"/>
      <c r="N99" s="262"/>
      <c r="O99" s="262"/>
      <c r="P99" s="262"/>
      <c r="Q99" s="262"/>
      <c r="R99" s="84"/>
      <c r="S99" s="84"/>
      <c r="T99" s="55"/>
      <c r="U99" s="263"/>
      <c r="V99" s="263"/>
      <c r="W99" s="263"/>
      <c r="X99" s="263"/>
      <c r="Y99" s="263"/>
      <c r="Z99" s="263"/>
      <c r="AA99" s="263"/>
      <c r="AB99" s="263"/>
    </row>
    <row r="100" spans="2:28" x14ac:dyDescent="0.25">
      <c r="S100" s="39"/>
      <c r="T100" s="53"/>
      <c r="U100" s="39"/>
    </row>
    <row r="101" spans="2:28" ht="15" thickBot="1" x14ac:dyDescent="0.3">
      <c r="B101" s="18" t="s">
        <v>0</v>
      </c>
      <c r="C101" s="18" t="s">
        <v>1</v>
      </c>
      <c r="D101" s="18" t="s">
        <v>8</v>
      </c>
      <c r="E101" s="19" t="s">
        <v>495</v>
      </c>
      <c r="F101" s="19" t="s">
        <v>1</v>
      </c>
      <c r="G101" s="19" t="s">
        <v>496</v>
      </c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85" t="str">
        <f t="shared" ref="R101" si="34">DEC2HEX(MOD(HEX2DEC(C101)+HEX2DEC(D101)+HEX2DEC(E101)+HEX2DEC(F101)+HEX2DEC(G101)+HEX2DEC(H101)+HEX2DEC(I101)+HEX2DEC(J101)+HEX2DEC(K101)+HEX2DEC(L101)+HEX2DEC(M101)+HEX2DEC(N101)+HEX2DEC(O101)+HEX2DEC(P101)+HEX2DEC(Q101),256),2)</f>
        <v>73</v>
      </c>
      <c r="S101" s="121" t="s">
        <v>5</v>
      </c>
      <c r="T101" s="55" t="str">
        <f t="shared" si="32"/>
        <v>aa 00 03 F0 00 80 73 55</v>
      </c>
      <c r="U101" s="574" t="s">
        <v>494</v>
      </c>
      <c r="V101" s="575"/>
      <c r="W101" s="575"/>
      <c r="X101" s="575"/>
      <c r="Y101" s="575"/>
      <c r="Z101" s="575"/>
      <c r="AA101" s="575"/>
      <c r="AB101" s="576"/>
    </row>
    <row r="107" spans="2:28" ht="15" thickBot="1" x14ac:dyDescent="0.3">
      <c r="B107" s="1" t="s">
        <v>251</v>
      </c>
      <c r="C107" s="1" t="s">
        <v>256</v>
      </c>
      <c r="D107" s="1" t="s">
        <v>208</v>
      </c>
      <c r="E107" s="2" t="s">
        <v>622</v>
      </c>
      <c r="F107" s="2" t="s">
        <v>13</v>
      </c>
      <c r="G107" s="2" t="s">
        <v>178</v>
      </c>
      <c r="H107" s="2"/>
      <c r="I107" s="4"/>
      <c r="J107" s="4" t="s">
        <v>623</v>
      </c>
      <c r="K107" s="4" t="s">
        <v>624</v>
      </c>
      <c r="L107" s="4" t="s">
        <v>625</v>
      </c>
      <c r="M107" s="4" t="s">
        <v>177</v>
      </c>
      <c r="N107" s="31" t="s">
        <v>256</v>
      </c>
      <c r="O107" s="31" t="s">
        <v>256</v>
      </c>
      <c r="P107" s="85" t="s">
        <v>626</v>
      </c>
      <c r="Q107" s="1" t="s">
        <v>627</v>
      </c>
      <c r="R107" s="55" t="s">
        <v>628</v>
      </c>
      <c r="S107" t="s">
        <v>629</v>
      </c>
      <c r="T107" s="55" t="str">
        <f>IF(ISBLANK(B107),,B107&amp;" ")&amp;IF(ISBLANK(C107),,C107&amp;" ")&amp;IF(ISBLANK(D107),,D107&amp;" ")&amp;IF(ISBLANK(E107),,E107&amp;" ")&amp;IF(ISBLANK(F107),,F107&amp;" ")&amp;IF(ISBLANK(G107),,G107&amp;" ")&amp;IF(ISBLANK(H107),,H107&amp;" ")&amp;IF(ISBLANK(I107),,I107&amp;" ")&amp;IF(ISBLANK(J107),,J107&amp;" ")&amp;IF(ISBLANK(K107),,K107&amp;" ")&amp;IF(ISBLANK(L107),,L107&amp;" ")&amp;IF(ISBLANK(M107),,M107&amp;" ")&amp;IF(ISBLANK(N107),,N107&amp;" ")&amp;IF(ISBLANK(Q107),,Q107&amp;" ")&amp;IF(ISBLANK(R107),,R107&amp;" ")&amp;IF(ISBLANK(S107),,S107)</f>
        <v>aa 00 0B 63 03 31 FF F6 B1 30 00 40 54 55</v>
      </c>
    </row>
  </sheetData>
  <mergeCells count="100">
    <mergeCell ref="U79:AB79"/>
    <mergeCell ref="U45:AB45"/>
    <mergeCell ref="W30:AB30"/>
    <mergeCell ref="U31:AB31"/>
    <mergeCell ref="U32:AB32"/>
    <mergeCell ref="B49:AB50"/>
    <mergeCell ref="B51:S51"/>
    <mergeCell ref="U51:X51"/>
    <mergeCell ref="Y51:AB51"/>
    <mergeCell ref="U61:AB61"/>
    <mergeCell ref="U38:AB38"/>
    <mergeCell ref="U39:AB39"/>
    <mergeCell ref="U40:AB40"/>
    <mergeCell ref="U41:AB41"/>
    <mergeCell ref="U42:AB42"/>
    <mergeCell ref="H37:Q37"/>
    <mergeCell ref="B12:S12"/>
    <mergeCell ref="U12:X12"/>
    <mergeCell ref="Y12:AB12"/>
    <mergeCell ref="B2:AB3"/>
    <mergeCell ref="B4:S4"/>
    <mergeCell ref="U4:X4"/>
    <mergeCell ref="Y4:AB4"/>
    <mergeCell ref="H5:Q5"/>
    <mergeCell ref="W5:AB5"/>
    <mergeCell ref="W6:AB6"/>
    <mergeCell ref="U7:AB7"/>
    <mergeCell ref="U8:AB8"/>
    <mergeCell ref="B10:AB11"/>
    <mergeCell ref="W22:AB22"/>
    <mergeCell ref="H13:Q13"/>
    <mergeCell ref="W13:AB13"/>
    <mergeCell ref="W14:AB14"/>
    <mergeCell ref="U15:AB15"/>
    <mergeCell ref="U16:AB16"/>
    <mergeCell ref="B18:AB19"/>
    <mergeCell ref="B20:S20"/>
    <mergeCell ref="U20:X20"/>
    <mergeCell ref="Y20:AB20"/>
    <mergeCell ref="H21:Q21"/>
    <mergeCell ref="W21:AB21"/>
    <mergeCell ref="U23:AB23"/>
    <mergeCell ref="U24:AB24"/>
    <mergeCell ref="B34:AB35"/>
    <mergeCell ref="B36:S36"/>
    <mergeCell ref="U36:AB36"/>
    <mergeCell ref="B26:AB27"/>
    <mergeCell ref="B28:S28"/>
    <mergeCell ref="U28:X28"/>
    <mergeCell ref="Y28:AB28"/>
    <mergeCell ref="H29:Q29"/>
    <mergeCell ref="W29:AB29"/>
    <mergeCell ref="U37:AB37"/>
    <mergeCell ref="B57:AB58"/>
    <mergeCell ref="B59:S59"/>
    <mergeCell ref="U59:AB59"/>
    <mergeCell ref="H60:Q60"/>
    <mergeCell ref="U60:AB60"/>
    <mergeCell ref="U43:AB43"/>
    <mergeCell ref="U44:AB44"/>
    <mergeCell ref="U46:AB46"/>
    <mergeCell ref="U47:AB47"/>
    <mergeCell ref="U48:AB48"/>
    <mergeCell ref="H52:Q52"/>
    <mergeCell ref="W52:AB52"/>
    <mergeCell ref="U53:AB53"/>
    <mergeCell ref="U54:AB54"/>
    <mergeCell ref="U55:AB55"/>
    <mergeCell ref="U85:AB85"/>
    <mergeCell ref="U86:AB86"/>
    <mergeCell ref="U98:AB98"/>
    <mergeCell ref="U62:AB62"/>
    <mergeCell ref="W65:AB65"/>
    <mergeCell ref="U68:AB68"/>
    <mergeCell ref="U69:AB69"/>
    <mergeCell ref="U88:AB88"/>
    <mergeCell ref="U89:AB89"/>
    <mergeCell ref="U90:AB90"/>
    <mergeCell ref="U91:AB91"/>
    <mergeCell ref="U92:AB92"/>
    <mergeCell ref="U93:AB93"/>
    <mergeCell ref="Y96:AB96"/>
    <mergeCell ref="W64:AB64"/>
    <mergeCell ref="W66:AB66"/>
    <mergeCell ref="H77:Q77"/>
    <mergeCell ref="U77:AB77"/>
    <mergeCell ref="U75:AB75"/>
    <mergeCell ref="U67:AB67"/>
    <mergeCell ref="U101:AB101"/>
    <mergeCell ref="U76:AB76"/>
    <mergeCell ref="U70:AB70"/>
    <mergeCell ref="U71:AB71"/>
    <mergeCell ref="U72:AB72"/>
    <mergeCell ref="U78:AB78"/>
    <mergeCell ref="U97:AB97"/>
    <mergeCell ref="U80:AB80"/>
    <mergeCell ref="U81:AB81"/>
    <mergeCell ref="U82:AB82"/>
    <mergeCell ref="U83:AB83"/>
    <mergeCell ref="U84:AB84"/>
  </mergeCells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W39"/>
  <sheetViews>
    <sheetView topLeftCell="A13" workbookViewId="0">
      <selection activeCell="K22" sqref="K22"/>
    </sheetView>
  </sheetViews>
  <sheetFormatPr defaultRowHeight="14.4" x14ac:dyDescent="0.25"/>
  <cols>
    <col min="1" max="18" width="3.6640625" customWidth="1"/>
    <col min="19" max="19" width="34.33203125" customWidth="1"/>
    <col min="20" max="20" width="9.6640625" customWidth="1"/>
    <col min="21" max="22" width="7.33203125" customWidth="1"/>
    <col min="23" max="23" width="35.77734375" customWidth="1"/>
  </cols>
  <sheetData>
    <row r="1" spans="1:23" ht="22.2" x14ac:dyDescent="0.25">
      <c r="A1" s="596" t="s">
        <v>64</v>
      </c>
      <c r="B1" s="597"/>
      <c r="C1" s="597"/>
      <c r="D1" s="597"/>
      <c r="E1" s="597"/>
      <c r="F1" s="597"/>
      <c r="G1" s="597"/>
      <c r="H1" s="597"/>
      <c r="I1" s="597"/>
      <c r="J1" s="597"/>
      <c r="K1" s="597"/>
      <c r="L1" s="597"/>
      <c r="M1" s="597"/>
      <c r="N1" s="597"/>
      <c r="O1" s="597"/>
      <c r="P1" s="597"/>
      <c r="Q1" s="597"/>
      <c r="R1" s="597"/>
      <c r="S1" s="597"/>
      <c r="T1" s="597"/>
      <c r="U1" s="597"/>
      <c r="V1" s="597"/>
      <c r="W1" s="597"/>
    </row>
    <row r="2" spans="1:23" x14ac:dyDescent="0.25">
      <c r="A2" s="432" t="s">
        <v>815</v>
      </c>
      <c r="B2" s="432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432"/>
      <c r="R2" s="432"/>
      <c r="S2" s="15" t="s">
        <v>84</v>
      </c>
      <c r="T2" s="473" t="s">
        <v>814</v>
      </c>
      <c r="U2" s="565"/>
      <c r="V2" s="565"/>
      <c r="W2" s="565"/>
    </row>
    <row r="3" spans="1:23" x14ac:dyDescent="0.25">
      <c r="A3" s="1" t="s">
        <v>0</v>
      </c>
      <c r="B3" s="1" t="s">
        <v>1</v>
      </c>
      <c r="C3" s="1" t="s">
        <v>8</v>
      </c>
      <c r="D3" s="2" t="s">
        <v>16</v>
      </c>
      <c r="E3" s="2" t="s">
        <v>1</v>
      </c>
      <c r="F3" s="2" t="s">
        <v>17</v>
      </c>
      <c r="G3" s="71"/>
      <c r="H3" s="71"/>
      <c r="I3" s="71"/>
      <c r="J3" s="71"/>
      <c r="K3" s="71"/>
      <c r="L3" s="71"/>
      <c r="M3" s="71"/>
      <c r="N3" s="71"/>
      <c r="O3" s="71"/>
      <c r="P3" s="71"/>
      <c r="Q3" s="84" t="str">
        <f>DEC2HEX(MOD(HEX2DEC(B3)+HEX2DEC(C3)+HEX2DEC(D3)+HEX2DEC(E3)+HEX2DEC(F3)+HEX2DEC(G3)+HEX2DEC(H3)+HEX2DEC(I3)+HEX2DEC(J3)+HEX2DEC(K3)+HEX2DEC(L3)+HEX2DEC(M3)+HEX2DEC(N3)+HEX2DEC(O3)+HEX2DEC(P3),256),2)</f>
        <v>78</v>
      </c>
      <c r="R3" s="13" t="s">
        <v>5</v>
      </c>
      <c r="S3" s="55" t="str">
        <f>IF(ISBLANK(A3),,A3&amp;" ")&amp;IF(ISBLANK(B3),,B3&amp;" ")&amp;IF(ISBLANK(C3),,C3&amp;" ")&amp;IF(ISBLANK(D3),,D3&amp;" ")&amp;IF(ISBLANK(E3),,E3&amp;" ")&amp;IF(ISBLANK(F3),,F3&amp;" ")&amp;IF(ISBLANK(G3),,G3&amp;" ")&amp;IF(ISBLANK(H3),,H3&amp;" ")&amp;IF(ISBLANK(I3),,I3&amp;" ")&amp;IF(ISBLANK(J3),,J3&amp;" ")&amp;IF(ISBLANK(K3),,K3&amp;" ")&amp;IF(ISBLANK(L3),,L3&amp;" ")&amp;IF(ISBLANK(M3),,M3&amp;" ")&amp;IF(ISBLANK(P3),,P3&amp;" ")&amp;IF(ISBLANK(Q3),,Q3&amp;" ")&amp;IF(ISBLANK(R3),,R3)</f>
        <v>aa 00 03 63 00 12 78 55</v>
      </c>
      <c r="T3" s="598" t="s">
        <v>543</v>
      </c>
      <c r="U3" s="599"/>
      <c r="V3" s="599"/>
      <c r="W3" s="599"/>
    </row>
    <row r="4" spans="1:23" x14ac:dyDescent="0.25">
      <c r="A4" s="1" t="s">
        <v>0</v>
      </c>
      <c r="B4" s="1" t="s">
        <v>1</v>
      </c>
      <c r="C4" s="1" t="s">
        <v>8</v>
      </c>
      <c r="D4" s="2" t="s">
        <v>16</v>
      </c>
      <c r="E4" s="2" t="s">
        <v>14</v>
      </c>
      <c r="F4" s="2" t="s">
        <v>17</v>
      </c>
      <c r="G4" s="71"/>
      <c r="H4" s="71"/>
      <c r="I4" s="71"/>
      <c r="J4" s="71"/>
      <c r="K4" s="71"/>
      <c r="L4" s="71"/>
      <c r="M4" s="71"/>
      <c r="N4" s="71"/>
      <c r="O4" s="71"/>
      <c r="P4" s="71"/>
      <c r="Q4" s="84" t="str">
        <f t="shared" ref="Q4:Q7" si="0">DEC2HEX(MOD(HEX2DEC(B4)+HEX2DEC(C4)+HEX2DEC(D4)+HEX2DEC(E4)+HEX2DEC(F4)+HEX2DEC(G4)+HEX2DEC(H4)+HEX2DEC(I4)+HEX2DEC(J4)+HEX2DEC(K4)+HEX2DEC(L4)+HEX2DEC(M4)+HEX2DEC(N4)+HEX2DEC(O4)+HEX2DEC(P4),256),2)</f>
        <v>79</v>
      </c>
      <c r="R4" s="13" t="s">
        <v>5</v>
      </c>
      <c r="S4" s="55" t="str">
        <f t="shared" ref="S4:S7" si="1">IF(ISBLANK(A4),,A4&amp;" ")&amp;IF(ISBLANK(B4),,B4&amp;" ")&amp;IF(ISBLANK(C4),,C4&amp;" ")&amp;IF(ISBLANK(D4),,D4&amp;" ")&amp;IF(ISBLANK(E4),,E4&amp;" ")&amp;IF(ISBLANK(F4),,F4&amp;" ")&amp;IF(ISBLANK(G4),,G4&amp;" ")&amp;IF(ISBLANK(H4),,H4&amp;" ")&amp;IF(ISBLANK(I4),,I4&amp;" ")&amp;IF(ISBLANK(J4),,J4&amp;" ")&amp;IF(ISBLANK(K4),,K4&amp;" ")&amp;IF(ISBLANK(L4),,L4&amp;" ")&amp;IF(ISBLANK(M4),,M4&amp;" ")&amp;IF(ISBLANK(P4),,P4&amp;" ")&amp;IF(ISBLANK(Q4),,Q4&amp;" ")&amp;IF(ISBLANK(R4),,R4)</f>
        <v>aa 00 03 63 01 12 79 55</v>
      </c>
      <c r="T4" s="565" t="s">
        <v>544</v>
      </c>
      <c r="U4" s="565"/>
      <c r="V4" s="565"/>
      <c r="W4" s="565"/>
    </row>
    <row r="5" spans="1:23" x14ac:dyDescent="0.25">
      <c r="A5" s="1" t="s">
        <v>0</v>
      </c>
      <c r="B5" s="1" t="s">
        <v>1</v>
      </c>
      <c r="C5" s="1" t="s">
        <v>8</v>
      </c>
      <c r="D5" s="2" t="s">
        <v>16</v>
      </c>
      <c r="E5" s="2" t="s">
        <v>15</v>
      </c>
      <c r="F5" s="2" t="s">
        <v>17</v>
      </c>
      <c r="G5" s="71"/>
      <c r="H5" s="71"/>
      <c r="I5" s="71"/>
      <c r="J5" s="71"/>
      <c r="K5" s="71"/>
      <c r="L5" s="71"/>
      <c r="M5" s="71"/>
      <c r="N5" s="71"/>
      <c r="O5" s="71"/>
      <c r="P5" s="71"/>
      <c r="Q5" s="84" t="str">
        <f t="shared" si="0"/>
        <v>7A</v>
      </c>
      <c r="R5" s="13" t="s">
        <v>5</v>
      </c>
      <c r="S5" s="55" t="str">
        <f t="shared" si="1"/>
        <v>aa 00 03 63 02 12 7A 55</v>
      </c>
      <c r="T5" s="565" t="s">
        <v>545</v>
      </c>
      <c r="U5" s="565"/>
      <c r="V5" s="565"/>
      <c r="W5" s="565"/>
    </row>
    <row r="6" spans="1:23" x14ac:dyDescent="0.25">
      <c r="A6" s="1" t="s">
        <v>0</v>
      </c>
      <c r="B6" s="1" t="s">
        <v>1</v>
      </c>
      <c r="C6" s="1" t="s">
        <v>8</v>
      </c>
      <c r="D6" s="2" t="s">
        <v>16</v>
      </c>
      <c r="E6" s="2" t="s">
        <v>13</v>
      </c>
      <c r="F6" s="2" t="s">
        <v>17</v>
      </c>
      <c r="G6" s="71"/>
      <c r="H6" s="71"/>
      <c r="I6" s="71"/>
      <c r="J6" s="71"/>
      <c r="K6" s="71"/>
      <c r="L6" s="71"/>
      <c r="M6" s="71"/>
      <c r="N6" s="71"/>
      <c r="O6" s="71"/>
      <c r="P6" s="71"/>
      <c r="Q6" s="84" t="str">
        <f t="shared" si="0"/>
        <v>7B</v>
      </c>
      <c r="R6" s="13" t="s">
        <v>5</v>
      </c>
      <c r="S6" s="55" t="str">
        <f t="shared" si="1"/>
        <v>aa 00 03 63 03 12 7B 55</v>
      </c>
      <c r="T6" s="565" t="s">
        <v>546</v>
      </c>
      <c r="U6" s="565"/>
      <c r="V6" s="565"/>
      <c r="W6" s="565"/>
    </row>
    <row r="7" spans="1:23" x14ac:dyDescent="0.25">
      <c r="A7" s="1" t="s">
        <v>0</v>
      </c>
      <c r="B7" s="1" t="s">
        <v>1</v>
      </c>
      <c r="C7" s="1" t="s">
        <v>8</v>
      </c>
      <c r="D7" s="2" t="s">
        <v>16</v>
      </c>
      <c r="E7" s="2" t="s">
        <v>706</v>
      </c>
      <c r="F7" s="2" t="s">
        <v>17</v>
      </c>
      <c r="G7" s="71"/>
      <c r="H7" s="71"/>
      <c r="I7" s="71"/>
      <c r="J7" s="71"/>
      <c r="K7" s="71"/>
      <c r="L7" s="71"/>
      <c r="M7" s="71"/>
      <c r="N7" s="71"/>
      <c r="O7" s="71"/>
      <c r="P7" s="71"/>
      <c r="Q7" s="84" t="str">
        <f t="shared" si="0"/>
        <v>7C</v>
      </c>
      <c r="R7" s="13" t="s">
        <v>5</v>
      </c>
      <c r="S7" s="55" t="str">
        <f t="shared" si="1"/>
        <v>aa 00 03 63 04 12 7C 55</v>
      </c>
      <c r="T7" s="565" t="s">
        <v>705</v>
      </c>
      <c r="U7" s="565"/>
      <c r="V7" s="565"/>
      <c r="W7" s="565"/>
    </row>
    <row r="8" spans="1:23" x14ac:dyDescent="0.25">
      <c r="A8" s="1"/>
      <c r="B8" s="1"/>
      <c r="C8" s="1"/>
      <c r="D8" s="2"/>
      <c r="E8" s="2"/>
      <c r="F8" s="2"/>
      <c r="G8" s="71"/>
      <c r="H8" s="71"/>
      <c r="I8" s="71"/>
      <c r="J8" s="71"/>
      <c r="K8" s="71"/>
      <c r="L8" s="71"/>
      <c r="M8" s="71"/>
      <c r="N8" s="71"/>
      <c r="O8" s="71"/>
      <c r="P8" s="71"/>
      <c r="Q8" s="84"/>
      <c r="R8" s="13"/>
      <c r="S8" s="55"/>
      <c r="T8" s="565"/>
      <c r="U8" s="565"/>
      <c r="V8" s="565"/>
      <c r="W8" s="565"/>
    </row>
    <row r="9" spans="1:23" x14ac:dyDescent="0.25">
      <c r="A9" s="1"/>
      <c r="B9" s="1"/>
      <c r="C9" s="1"/>
      <c r="D9" s="2"/>
      <c r="E9" s="2"/>
      <c r="F9" s="2"/>
      <c r="G9" s="71"/>
      <c r="H9" s="71"/>
      <c r="I9" s="71"/>
      <c r="J9" s="71"/>
      <c r="K9" s="71"/>
      <c r="L9" s="71"/>
      <c r="M9" s="71"/>
      <c r="N9" s="71"/>
      <c r="O9" s="71"/>
      <c r="P9" s="71"/>
      <c r="Q9" s="84"/>
      <c r="R9" s="13"/>
      <c r="S9" s="55"/>
      <c r="T9" s="285"/>
      <c r="U9" s="285"/>
      <c r="V9" s="285"/>
      <c r="W9" s="285"/>
    </row>
    <row r="10" spans="1:23" x14ac:dyDescent="0.25">
      <c r="A10" s="432" t="s">
        <v>31</v>
      </c>
      <c r="B10" s="433"/>
      <c r="C10" s="433"/>
      <c r="D10" s="433"/>
      <c r="E10" s="433"/>
      <c r="F10" s="433"/>
      <c r="G10" s="433"/>
      <c r="H10" s="433"/>
      <c r="I10" s="433"/>
      <c r="J10" s="433"/>
      <c r="K10" s="433"/>
      <c r="L10" s="433"/>
      <c r="M10" s="433"/>
      <c r="N10" s="433"/>
      <c r="O10" s="433"/>
      <c r="P10" s="433"/>
      <c r="Q10" s="433"/>
      <c r="R10" s="433"/>
      <c r="S10" s="100"/>
      <c r="T10" s="30"/>
      <c r="U10" s="30"/>
      <c r="V10" s="30"/>
      <c r="W10" s="30"/>
    </row>
    <row r="11" spans="1:23" x14ac:dyDescent="0.25">
      <c r="A11" s="1" t="s">
        <v>0</v>
      </c>
      <c r="B11" s="1" t="s">
        <v>1</v>
      </c>
      <c r="C11" s="1" t="s">
        <v>8</v>
      </c>
      <c r="D11" s="2" t="s">
        <v>16</v>
      </c>
      <c r="E11" s="2" t="s">
        <v>1</v>
      </c>
      <c r="F11" s="2" t="s">
        <v>20</v>
      </c>
      <c r="G11" s="2"/>
      <c r="H11" s="2"/>
      <c r="I11" s="31"/>
      <c r="J11" s="31"/>
      <c r="K11" s="31"/>
      <c r="L11" s="31"/>
      <c r="M11" s="31"/>
      <c r="N11" s="31"/>
      <c r="O11" s="31"/>
      <c r="P11" s="31"/>
      <c r="Q11" s="84" t="str">
        <f t="shared" ref="Q11" si="2">DEC2HEX(MOD(HEX2DEC(B11)+HEX2DEC(C11)+HEX2DEC(D11)+HEX2DEC(E11)+HEX2DEC(F11)+HEX2DEC(G11)+HEX2DEC(H11)+HEX2DEC(I11)+HEX2DEC(J11)+HEX2DEC(K11)+HEX2DEC(L11)+HEX2DEC(M11)+HEX2DEC(N11)+HEX2DEC(O11)+HEX2DEC(P11),256),2)</f>
        <v>96</v>
      </c>
      <c r="R11" s="13" t="s">
        <v>5</v>
      </c>
      <c r="S11" s="55" t="str">
        <f t="shared" ref="S11" si="3">IF(ISBLANK(A11),,A11&amp;" ")&amp;IF(ISBLANK(B11),,B11&amp;" ")&amp;IF(ISBLANK(C11),,C11&amp;" ")&amp;IF(ISBLANK(D11),,D11&amp;" ")&amp;IF(ISBLANK(E11),,E11&amp;" ")&amp;IF(ISBLANK(F11),,F11&amp;" ")&amp;IF(ISBLANK(G11),,G11&amp;" ")&amp;IF(ISBLANK(H11),,H11&amp;" ")&amp;IF(ISBLANK(I11),,I11&amp;" ")&amp;IF(ISBLANK(J11),,J11&amp;" ")&amp;IF(ISBLANK(K11),,K11&amp;" ")&amp;IF(ISBLANK(L11),,L11&amp;" ")&amp;IF(ISBLANK(M11),,M11&amp;" ")&amp;IF(ISBLANK(P11),,P11&amp;" ")&amp;IF(ISBLANK(Q11),,Q11&amp;" ")&amp;IF(ISBLANK(R11),,R11)</f>
        <v>aa 00 03 63 00 30 96 55</v>
      </c>
      <c r="T11" s="473" t="s">
        <v>48</v>
      </c>
      <c r="U11" s="473"/>
      <c r="V11" s="473"/>
      <c r="W11" s="473"/>
    </row>
    <row r="12" spans="1:23" x14ac:dyDescent="0.25">
      <c r="A12" s="1" t="s">
        <v>0</v>
      </c>
      <c r="B12" s="1" t="s">
        <v>1</v>
      </c>
      <c r="C12" s="1" t="s">
        <v>8</v>
      </c>
      <c r="D12" s="2" t="s">
        <v>16</v>
      </c>
      <c r="E12" s="2" t="s">
        <v>14</v>
      </c>
      <c r="F12" s="2" t="s">
        <v>20</v>
      </c>
      <c r="G12" s="2"/>
      <c r="H12" s="2"/>
      <c r="I12" s="31"/>
      <c r="J12" s="31"/>
      <c r="K12" s="31"/>
      <c r="L12" s="31"/>
      <c r="M12" s="31"/>
      <c r="N12" s="31"/>
      <c r="O12" s="31"/>
      <c r="P12" s="31"/>
      <c r="Q12" s="84" t="str">
        <f t="shared" ref="Q12:Q14" si="4">DEC2HEX(MOD(HEX2DEC(B12)+HEX2DEC(C12)+HEX2DEC(D12)+HEX2DEC(E12)+HEX2DEC(F12)+HEX2DEC(G12)+HEX2DEC(H12)+HEX2DEC(I12)+HEX2DEC(J12)+HEX2DEC(K12)+HEX2DEC(L12)+HEX2DEC(M12)+HEX2DEC(N12)+HEX2DEC(O12)+HEX2DEC(P12),256),2)</f>
        <v>97</v>
      </c>
      <c r="R12" s="13" t="s">
        <v>5</v>
      </c>
      <c r="S12" s="55" t="str">
        <f t="shared" ref="S12:S14" si="5">IF(ISBLANK(A12),,A12&amp;" ")&amp;IF(ISBLANK(B12),,B12&amp;" ")&amp;IF(ISBLANK(C12),,C12&amp;" ")&amp;IF(ISBLANK(D12),,D12&amp;" ")&amp;IF(ISBLANK(E12),,E12&amp;" ")&amp;IF(ISBLANK(F12),,F12&amp;" ")&amp;IF(ISBLANK(G12),,G12&amp;" ")&amp;IF(ISBLANK(H12),,H12&amp;" ")&amp;IF(ISBLANK(I12),,I12&amp;" ")&amp;IF(ISBLANK(J12),,J12&amp;" ")&amp;IF(ISBLANK(K12),,K12&amp;" ")&amp;IF(ISBLANK(L12),,L12&amp;" ")&amp;IF(ISBLANK(M12),,M12&amp;" ")&amp;IF(ISBLANK(P12),,P12&amp;" ")&amp;IF(ISBLANK(Q12),,Q12&amp;" ")&amp;IF(ISBLANK(R12),,R12)</f>
        <v>aa 00 03 63 01 30 97 55</v>
      </c>
      <c r="T12" s="473" t="s">
        <v>19</v>
      </c>
      <c r="U12" s="473"/>
      <c r="V12" s="473"/>
      <c r="W12" s="473"/>
    </row>
    <row r="13" spans="1:23" x14ac:dyDescent="0.25">
      <c r="A13" s="1" t="s">
        <v>0</v>
      </c>
      <c r="B13" s="1" t="s">
        <v>1</v>
      </c>
      <c r="C13" s="1" t="s">
        <v>8</v>
      </c>
      <c r="D13" s="2" t="s">
        <v>16</v>
      </c>
      <c r="E13" s="2" t="s">
        <v>15</v>
      </c>
      <c r="F13" s="2" t="s">
        <v>20</v>
      </c>
      <c r="G13" s="2"/>
      <c r="H13" s="2"/>
      <c r="I13" s="31"/>
      <c r="J13" s="31"/>
      <c r="K13" s="31"/>
      <c r="L13" s="31"/>
      <c r="M13" s="31"/>
      <c r="N13" s="31"/>
      <c r="O13" s="31"/>
      <c r="P13" s="31"/>
      <c r="Q13" s="84" t="str">
        <f t="shared" si="4"/>
        <v>98</v>
      </c>
      <c r="R13" s="13" t="s">
        <v>5</v>
      </c>
      <c r="S13" s="55" t="str">
        <f t="shared" si="5"/>
        <v>aa 00 03 63 02 30 98 55</v>
      </c>
      <c r="T13" s="473" t="s">
        <v>21</v>
      </c>
      <c r="U13" s="473"/>
      <c r="V13" s="473"/>
      <c r="W13" s="473"/>
    </row>
    <row r="14" spans="1:23" x14ac:dyDescent="0.25">
      <c r="A14" s="1" t="s">
        <v>0</v>
      </c>
      <c r="B14" s="1" t="s">
        <v>1</v>
      </c>
      <c r="C14" s="1" t="s">
        <v>8</v>
      </c>
      <c r="D14" s="2" t="s">
        <v>16</v>
      </c>
      <c r="E14" s="2" t="s">
        <v>13</v>
      </c>
      <c r="F14" s="2" t="s">
        <v>20</v>
      </c>
      <c r="G14" s="2"/>
      <c r="H14" s="2"/>
      <c r="I14" s="31"/>
      <c r="J14" s="31"/>
      <c r="K14" s="31"/>
      <c r="L14" s="31"/>
      <c r="M14" s="31"/>
      <c r="N14" s="31"/>
      <c r="O14" s="31"/>
      <c r="P14" s="31"/>
      <c r="Q14" s="84" t="str">
        <f t="shared" si="4"/>
        <v>99</v>
      </c>
      <c r="R14" s="13" t="s">
        <v>5</v>
      </c>
      <c r="S14" s="55" t="str">
        <f t="shared" si="5"/>
        <v>aa 00 03 63 03 30 99 55</v>
      </c>
      <c r="T14" s="473" t="s">
        <v>22</v>
      </c>
      <c r="U14" s="473"/>
      <c r="V14" s="473"/>
      <c r="W14" s="473"/>
    </row>
    <row r="15" spans="1:23" x14ac:dyDescent="0.25">
      <c r="A15" s="432" t="s">
        <v>32</v>
      </c>
      <c r="B15" s="432"/>
      <c r="C15" s="432"/>
      <c r="D15" s="432"/>
      <c r="E15" s="432"/>
      <c r="F15" s="432"/>
      <c r="G15" s="432"/>
      <c r="H15" s="432"/>
      <c r="I15" s="432"/>
      <c r="J15" s="432"/>
      <c r="K15" s="432"/>
      <c r="L15" s="432"/>
      <c r="M15" s="432"/>
      <c r="N15" s="432"/>
      <c r="O15" s="432"/>
      <c r="P15" s="432"/>
      <c r="Q15" s="432"/>
      <c r="R15" s="432"/>
      <c r="S15" s="100"/>
      <c r="T15" s="41" t="s">
        <v>29</v>
      </c>
      <c r="U15" s="41" t="s">
        <v>30</v>
      </c>
      <c r="V15" s="473" t="s">
        <v>610</v>
      </c>
      <c r="W15" s="473"/>
    </row>
    <row r="16" spans="1:23" x14ac:dyDescent="0.25">
      <c r="A16" s="1" t="s">
        <v>0</v>
      </c>
      <c r="B16" s="1" t="s">
        <v>1</v>
      </c>
      <c r="C16" s="1" t="s">
        <v>36</v>
      </c>
      <c r="D16" s="2" t="s">
        <v>16</v>
      </c>
      <c r="E16" s="2" t="s">
        <v>1</v>
      </c>
      <c r="F16" s="2" t="s">
        <v>27</v>
      </c>
      <c r="G16" s="2"/>
      <c r="H16" s="2"/>
      <c r="I16" s="3" t="str">
        <f>LEFT(RIGHT(DEC2HEX(T16,8),8),2)</f>
        <v>FF</v>
      </c>
      <c r="J16" s="3" t="str">
        <f>LEFT(RIGHT(DEC2HEX(T16,8),6),2)</f>
        <v>FF</v>
      </c>
      <c r="K16" s="3" t="str">
        <f>LEFT(RIGHT(DEC2HEX(T16,8),4),2)</f>
        <v>D8</v>
      </c>
      <c r="L16" s="3" t="str">
        <f>RIGHT(DEC2HEX(T16,8),2)</f>
        <v>F0</v>
      </c>
      <c r="M16" s="3" t="str">
        <f>LEFT(RIGHT(DEC2HEX(U16,8),8),2)</f>
        <v>00</v>
      </c>
      <c r="N16" s="3" t="str">
        <f>LEFT(RIGHT(DEC2HEX(U16,8),6),2)</f>
        <v>00</v>
      </c>
      <c r="O16" s="3" t="str">
        <f>LEFT(RIGHT(DEC2HEX(U16,8),4),2)</f>
        <v>27</v>
      </c>
      <c r="P16" s="3" t="str">
        <f>RIGHT(DEC2HEX(U16,8),2)</f>
        <v>10</v>
      </c>
      <c r="Q16" s="84" t="str">
        <f t="shared" ref="Q16" si="6">DEC2HEX(MOD(HEX2DEC(B16)+HEX2DEC(C16)+HEX2DEC(D16)+HEX2DEC(E16)+HEX2DEC(F16)+HEX2DEC(G16)+HEX2DEC(H16)+HEX2DEC(I16)+HEX2DEC(J16)+HEX2DEC(K16)+HEX2DEC(L16)+HEX2DEC(M16)+HEX2DEC(N16)+HEX2DEC(O16)+HEX2DEC(P16),256),2)</f>
        <v>9C</v>
      </c>
      <c r="R16" s="13" t="s">
        <v>5</v>
      </c>
      <c r="S16" s="55" t="str">
        <f t="shared" ref="S16" si="7">IF(ISBLANK(A16),,A16&amp;" ")&amp;IF(ISBLANK(B16),,B16&amp;" ")&amp;IF(ISBLANK(C16),,C16&amp;" ")&amp;IF(ISBLANK(D16),,D16&amp;" ")&amp;IF(ISBLANK(E16),,E16&amp;" ")&amp;IF(ISBLANK(F16),,F16&amp;" ")&amp;IF(ISBLANK(G16),,G16&amp;" ")&amp;IF(ISBLANK(H16),,H16&amp;" ")&amp;IF(ISBLANK(I16),,I16&amp;" ")&amp;IF(ISBLANK(J16),,J16&amp;" ")&amp;IF(ISBLANK(K16),,K16&amp;" ")&amp;IF(ISBLANK(L16),,L16&amp;" ")&amp;IF(ISBLANK(M16),,M16&amp;" ")&amp;IF(ISBLANK(P16),,P16&amp;" ")&amp;IF(ISBLANK(Q16),,Q16&amp;" ")&amp;IF(ISBLANK(R16),,R16)</f>
        <v>aa 00 0B 63 00 31 FF FF D8 F0 00 10 9C 55</v>
      </c>
      <c r="T16" s="73">
        <v>-10000</v>
      </c>
      <c r="U16" s="73">
        <v>10000</v>
      </c>
      <c r="V16" s="473" t="s">
        <v>47</v>
      </c>
      <c r="W16" s="473"/>
    </row>
    <row r="17" spans="1:23" x14ac:dyDescent="0.25">
      <c r="A17" s="1" t="s">
        <v>0</v>
      </c>
      <c r="B17" s="1" t="s">
        <v>1</v>
      </c>
      <c r="C17" s="1" t="s">
        <v>36</v>
      </c>
      <c r="D17" s="2" t="s">
        <v>16</v>
      </c>
      <c r="E17" s="2" t="s">
        <v>14</v>
      </c>
      <c r="F17" s="2" t="s">
        <v>27</v>
      </c>
      <c r="G17" s="2"/>
      <c r="H17" s="2"/>
      <c r="I17" s="3" t="str">
        <f>LEFT(RIGHT(DEC2HEX(T17,8),8),2)</f>
        <v>FF</v>
      </c>
      <c r="J17" s="3" t="str">
        <f>LEFT(RIGHT(DEC2HEX(T17,8),6),2)</f>
        <v>FC</v>
      </c>
      <c r="K17" s="3" t="str">
        <f>LEFT(RIGHT(DEC2HEX(T17,8),4),2)</f>
        <v>CB</v>
      </c>
      <c r="L17" s="3" t="str">
        <f>RIGHT(DEC2HEX(T17,8),2)</f>
        <v>B0</v>
      </c>
      <c r="M17" s="3" t="str">
        <f>LEFT(RIGHT(DEC2HEX(U17,8),8),2)</f>
        <v>00</v>
      </c>
      <c r="N17" s="3" t="str">
        <f>LEFT(RIGHT(DEC2HEX(U17,8),6),2)</f>
        <v>00</v>
      </c>
      <c r="O17" s="3" t="str">
        <f>LEFT(RIGHT(DEC2HEX(U17,8),4),2)</f>
        <v>4E</v>
      </c>
      <c r="P17" s="3" t="str">
        <f>RIGHT(DEC2HEX(U17,8),2)</f>
        <v>20</v>
      </c>
      <c r="Q17" s="84" t="str">
        <f t="shared" ref="Q17:Q19" si="8">DEC2HEX(MOD(HEX2DEC(B17)+HEX2DEC(C17)+HEX2DEC(D17)+HEX2DEC(E17)+HEX2DEC(F17)+HEX2DEC(G17)+HEX2DEC(H17)+HEX2DEC(I17)+HEX2DEC(J17)+HEX2DEC(K17)+HEX2DEC(L17)+HEX2DEC(M17)+HEX2DEC(N17)+HEX2DEC(O17)+HEX2DEC(P17),256),2)</f>
        <v>84</v>
      </c>
      <c r="R17" s="13" t="s">
        <v>5</v>
      </c>
      <c r="S17" s="55" t="str">
        <f t="shared" ref="S17:S19" si="9">IF(ISBLANK(A17),,A17&amp;" ")&amp;IF(ISBLANK(B17),,B17&amp;" ")&amp;IF(ISBLANK(C17),,C17&amp;" ")&amp;IF(ISBLANK(D17),,D17&amp;" ")&amp;IF(ISBLANK(E17),,E17&amp;" ")&amp;IF(ISBLANK(F17),,F17&amp;" ")&amp;IF(ISBLANK(G17),,G17&amp;" ")&amp;IF(ISBLANK(H17),,H17&amp;" ")&amp;IF(ISBLANK(I17),,I17&amp;" ")&amp;IF(ISBLANK(J17),,J17&amp;" ")&amp;IF(ISBLANK(K17),,K17&amp;" ")&amp;IF(ISBLANK(L17),,L17&amp;" ")&amp;IF(ISBLANK(M17),,M17&amp;" ")&amp;IF(ISBLANK(P17),,P17&amp;" ")&amp;IF(ISBLANK(Q17),,Q17&amp;" ")&amp;IF(ISBLANK(R17),,R17)</f>
        <v>aa 00 0B 63 01 31 FF FC CB B0 00 20 84 55</v>
      </c>
      <c r="T17" s="73">
        <v>-210000</v>
      </c>
      <c r="U17" s="73">
        <v>20000</v>
      </c>
      <c r="V17" s="473" t="s">
        <v>24</v>
      </c>
      <c r="W17" s="473"/>
    </row>
    <row r="18" spans="1:23" x14ac:dyDescent="0.25">
      <c r="A18" s="1" t="s">
        <v>0</v>
      </c>
      <c r="B18" s="1" t="s">
        <v>1</v>
      </c>
      <c r="C18" s="1" t="s">
        <v>36</v>
      </c>
      <c r="D18" s="2" t="s">
        <v>16</v>
      </c>
      <c r="E18" s="2" t="s">
        <v>15</v>
      </c>
      <c r="F18" s="2" t="s">
        <v>27</v>
      </c>
      <c r="G18" s="2"/>
      <c r="H18" s="2"/>
      <c r="I18" s="3" t="str">
        <f t="shared" ref="I18:I19" si="10">LEFT(RIGHT(DEC2HEX(T18,8),8),2)</f>
        <v>FF</v>
      </c>
      <c r="J18" s="3" t="str">
        <f>LEFT(RIGHT(DEC2HEX(T18,8),6),2)</f>
        <v>F9</v>
      </c>
      <c r="K18" s="3" t="str">
        <f>LEFT(RIGHT(DEC2HEX(T18,8),4),2)</f>
        <v>BE</v>
      </c>
      <c r="L18" s="3" t="str">
        <f>RIGHT(DEC2HEX(T18,8),2)</f>
        <v>70</v>
      </c>
      <c r="M18" s="3" t="str">
        <f>LEFT(RIGHT(DEC2HEX(U18,8),8),2)</f>
        <v>00</v>
      </c>
      <c r="N18" s="3" t="str">
        <f>LEFT(RIGHT(DEC2HEX(U18,8),6),2)</f>
        <v>00</v>
      </c>
      <c r="O18" s="3" t="str">
        <f>LEFT(RIGHT(DEC2HEX(U18,8),4),2)</f>
        <v>75</v>
      </c>
      <c r="P18" s="3" t="str">
        <f>RIGHT(DEC2HEX(U18,8),2)</f>
        <v>30</v>
      </c>
      <c r="Q18" s="84" t="str">
        <f t="shared" si="8"/>
        <v>6C</v>
      </c>
      <c r="R18" s="13" t="s">
        <v>5</v>
      </c>
      <c r="S18" s="55" t="str">
        <f t="shared" si="9"/>
        <v>aa 00 0B 63 02 31 FF F9 BE 70 00 30 6C 55</v>
      </c>
      <c r="T18" s="73">
        <v>-410000</v>
      </c>
      <c r="U18" s="73">
        <v>30000</v>
      </c>
      <c r="V18" s="473" t="s">
        <v>25</v>
      </c>
      <c r="W18" s="473"/>
    </row>
    <row r="19" spans="1:23" x14ac:dyDescent="0.25">
      <c r="A19" s="1" t="s">
        <v>0</v>
      </c>
      <c r="B19" s="1" t="s">
        <v>1</v>
      </c>
      <c r="C19" s="1" t="s">
        <v>621</v>
      </c>
      <c r="D19" s="2" t="s">
        <v>16</v>
      </c>
      <c r="E19" s="2" t="s">
        <v>13</v>
      </c>
      <c r="F19" s="2" t="s">
        <v>27</v>
      </c>
      <c r="G19" s="2"/>
      <c r="H19" s="2"/>
      <c r="I19" s="3" t="str">
        <f t="shared" si="10"/>
        <v>FF</v>
      </c>
      <c r="J19" s="3" t="str">
        <f>LEFT(RIGHT(DEC2HEX(T19,8),6),2)</f>
        <v>F6</v>
      </c>
      <c r="K19" s="3" t="str">
        <f>LEFT(RIGHT(DEC2HEX(T19,8),4),2)</f>
        <v>B1</v>
      </c>
      <c r="L19" s="3" t="str">
        <f>RIGHT(DEC2HEX(T19,8),2)</f>
        <v>30</v>
      </c>
      <c r="M19" s="3" t="str">
        <f>LEFT(RIGHT(DEC2HEX(U19,8),8),2)</f>
        <v>00</v>
      </c>
      <c r="N19" s="3" t="str">
        <f>LEFT(RIGHT(DEC2HEX(U19,8),6),2)</f>
        <v>00</v>
      </c>
      <c r="O19" s="3" t="str">
        <f>LEFT(RIGHT(DEC2HEX(U19,8),4),2)</f>
        <v>9C</v>
      </c>
      <c r="P19" s="3" t="str">
        <f>RIGHT(DEC2HEX(U19,8),2)</f>
        <v>40</v>
      </c>
      <c r="Q19" s="84" t="str">
        <f t="shared" si="8"/>
        <v>54</v>
      </c>
      <c r="R19" s="13" t="s">
        <v>5</v>
      </c>
      <c r="S19" s="55" t="str">
        <f t="shared" si="9"/>
        <v>aa 00 0B 63 03 31 FF F6 B1 30 00 40 54 55</v>
      </c>
      <c r="T19" s="73">
        <v>-610000</v>
      </c>
      <c r="U19" s="73">
        <v>40000</v>
      </c>
      <c r="V19" s="473" t="s">
        <v>26</v>
      </c>
      <c r="W19" s="473"/>
    </row>
    <row r="20" spans="1:23" ht="15" thickBot="1" x14ac:dyDescent="0.3">
      <c r="A20" s="432" t="s">
        <v>33</v>
      </c>
      <c r="B20" s="433"/>
      <c r="C20" s="433"/>
      <c r="D20" s="433"/>
      <c r="E20" s="433"/>
      <c r="F20" s="433"/>
      <c r="G20" s="433"/>
      <c r="H20" s="433"/>
      <c r="I20" s="433"/>
      <c r="J20" s="434"/>
      <c r="K20" s="434"/>
      <c r="L20" s="434"/>
      <c r="M20" s="434"/>
      <c r="N20" s="433"/>
      <c r="O20" s="433"/>
      <c r="P20" s="433"/>
      <c r="Q20" s="433"/>
      <c r="R20" s="433"/>
      <c r="S20" s="70"/>
      <c r="T20" s="41" t="s">
        <v>38</v>
      </c>
      <c r="U20" s="41" t="s">
        <v>39</v>
      </c>
      <c r="V20" s="26" t="s">
        <v>41</v>
      </c>
      <c r="W20" s="327" t="s">
        <v>40</v>
      </c>
    </row>
    <row r="21" spans="1:23" ht="15" thickBot="1" x14ac:dyDescent="0.3">
      <c r="A21" s="1" t="s">
        <v>0</v>
      </c>
      <c r="B21" s="1" t="s">
        <v>1</v>
      </c>
      <c r="C21" s="1" t="s">
        <v>37</v>
      </c>
      <c r="D21" s="2" t="s">
        <v>16</v>
      </c>
      <c r="E21" s="2" t="s">
        <v>1</v>
      </c>
      <c r="F21" s="2" t="s">
        <v>42</v>
      </c>
      <c r="G21" s="257" t="s">
        <v>1</v>
      </c>
      <c r="H21" s="2"/>
      <c r="I21" s="257"/>
      <c r="J21" s="260" t="str">
        <f>LEFT(RIGHT(DEC2HEX(T21,4),4),2)</f>
        <v>01</v>
      </c>
      <c r="K21" s="261" t="str">
        <f>LEFT(RIGHT(DEC2HEX(T21,4),2),2)</f>
        <v>F4</v>
      </c>
      <c r="L21" s="260" t="str">
        <f>LEFT(RIGHT(DEC2HEX(U21,4),4),2)</f>
        <v>02</v>
      </c>
      <c r="M21" s="261" t="str">
        <f>LEFT(RIGHT(DEC2HEX(U21,4),2),2)</f>
        <v>58</v>
      </c>
      <c r="N21" s="258" t="str">
        <f>LEFT(RIGHT(DEC2HEX(V21,4),4),2)</f>
        <v>27</v>
      </c>
      <c r="O21" s="4" t="str">
        <f>LEFT(RIGHT(DEC2HEX(V21,4),2),2)</f>
        <v>10</v>
      </c>
      <c r="P21" s="72"/>
      <c r="Q21" s="84" t="str">
        <f t="shared" ref="Q21:Q24" si="11">DEC2HEX(MOD(HEX2DEC(B21)+HEX2DEC(C21)+HEX2DEC(D21)+HEX2DEC(E21)+HEX2DEC(F21)+HEX2DEC(G21)+HEX2DEC(H21)+HEX2DEC(I21)+HEX2DEC(J21)+HEX2DEC(K21)+HEX2DEC(L21)+HEX2DEC(M21)+HEX2DEC(N21)+HEX2DEC(O21)+HEX2DEC(P21),256),2)</f>
        <v>33</v>
      </c>
      <c r="R21" s="13" t="s">
        <v>5</v>
      </c>
      <c r="S21" s="55" t="str">
        <f t="shared" ref="S21:S24" si="12">IF(ISBLANK(A21),,A21&amp;" ")&amp;IF(ISBLANK(B21),,B21&amp;" ")&amp;IF(ISBLANK(C21),,C21&amp;" ")&amp;IF(ISBLANK(D21),,D21&amp;" ")&amp;IF(ISBLANK(E21),,E21&amp;" ")&amp;IF(ISBLANK(F21),,F21&amp;" ")&amp;IF(ISBLANK(G21),,G21&amp;" ")&amp;IF(ISBLANK(H21),,H21&amp;" ")&amp;IF(ISBLANK(I21),,I21&amp;" ")&amp;IF(ISBLANK(J21),,J21&amp;" ")&amp;IF(ISBLANK(K21),,K21&amp;" ")&amp;IF(ISBLANK(L21),,L21&amp;" ")&amp;IF(ISBLANK(M21),,M21&amp;" ")&amp;IF(ISBLANK(P21),,P21&amp;" ")&amp;IF(ISBLANK(Q21),,Q21&amp;" ")&amp;IF(ISBLANK(R21),,R21)</f>
        <v>aa 00 0A 63 00 40 00 01 F4 02 58 33 55</v>
      </c>
      <c r="T21" s="73">
        <v>500</v>
      </c>
      <c r="U21" s="73">
        <v>600</v>
      </c>
      <c r="V21" s="73">
        <v>10000</v>
      </c>
      <c r="W21" s="326" t="s">
        <v>489</v>
      </c>
    </row>
    <row r="22" spans="1:23" x14ac:dyDescent="0.25">
      <c r="A22" s="1" t="s">
        <v>0</v>
      </c>
      <c r="B22" s="1" t="s">
        <v>1</v>
      </c>
      <c r="C22" s="1" t="s">
        <v>37</v>
      </c>
      <c r="D22" s="2" t="s">
        <v>16</v>
      </c>
      <c r="E22" s="2" t="s">
        <v>14</v>
      </c>
      <c r="F22" s="2" t="s">
        <v>42</v>
      </c>
      <c r="G22" s="3" t="s">
        <v>616</v>
      </c>
      <c r="H22" s="2"/>
      <c r="I22" s="3"/>
      <c r="J22" s="259" t="str">
        <f>LEFT(RIGHT(DEC2HEX(T22,4),4),2)</f>
        <v>13</v>
      </c>
      <c r="K22" s="259" t="str">
        <f>LEFT(RIGHT(DEC2HEX(T22,4),2),2)</f>
        <v>88</v>
      </c>
      <c r="L22" s="259" t="str">
        <f>LEFT(RIGHT(DEC2HEX(U22,4),4),2)</f>
        <v>17</v>
      </c>
      <c r="M22" s="259" t="str">
        <f>LEFT(RIGHT(DEC2HEX(U22,4),2),2)</f>
        <v>70</v>
      </c>
      <c r="N22" s="4" t="str">
        <f>LEFT(RIGHT(DEC2HEX(V22,4),4),2)</f>
        <v>27</v>
      </c>
      <c r="O22" s="4" t="str">
        <f>LEFT(RIGHT(DEC2HEX(V22,4),2),2)</f>
        <v>10</v>
      </c>
      <c r="P22" s="72"/>
      <c r="Q22" s="84" t="str">
        <f t="shared" si="11"/>
        <v>07</v>
      </c>
      <c r="R22" s="13" t="s">
        <v>5</v>
      </c>
      <c r="S22" s="55" t="str">
        <f t="shared" si="12"/>
        <v>aa 00 0A 63 01 40 00 13 88 17 70 07 55</v>
      </c>
      <c r="T22" s="73">
        <v>5000</v>
      </c>
      <c r="U22" s="73">
        <v>6000</v>
      </c>
      <c r="V22" s="73">
        <v>10000</v>
      </c>
      <c r="W22" s="326" t="s">
        <v>228</v>
      </c>
    </row>
    <row r="23" spans="1:23" x14ac:dyDescent="0.25">
      <c r="A23" s="1" t="s">
        <v>0</v>
      </c>
      <c r="B23" s="1" t="s">
        <v>1</v>
      </c>
      <c r="C23" s="1" t="s">
        <v>37</v>
      </c>
      <c r="D23" s="2" t="s">
        <v>16</v>
      </c>
      <c r="E23" s="2" t="s">
        <v>15</v>
      </c>
      <c r="F23" s="2" t="s">
        <v>42</v>
      </c>
      <c r="G23" s="3" t="s">
        <v>1</v>
      </c>
      <c r="H23" s="2"/>
      <c r="I23" s="3"/>
      <c r="J23" s="4" t="str">
        <f>LEFT(RIGHT(DEC2HEX(T23,4),4),2)</f>
        <v>F8</v>
      </c>
      <c r="K23" s="4" t="str">
        <f>LEFT(RIGHT(DEC2HEX(T23,4),2),2)</f>
        <v>30</v>
      </c>
      <c r="L23" s="4" t="str">
        <f>LEFT(RIGHT(DEC2HEX(U23,4),4),2)</f>
        <v>F4</v>
      </c>
      <c r="M23" s="4" t="str">
        <f>LEFT(RIGHT(DEC2HEX(U23,4),2),2)</f>
        <v>48</v>
      </c>
      <c r="N23" s="4" t="str">
        <f>LEFT(RIGHT(DEC2HEX(V23,4),4),2)</f>
        <v>27</v>
      </c>
      <c r="O23" s="4" t="str">
        <f>LEFT(RIGHT(DEC2HEX(V23,4),2),2)</f>
        <v>10</v>
      </c>
      <c r="P23" s="72"/>
      <c r="Q23" s="84" t="str">
        <f t="shared" si="11"/>
        <v>4A</v>
      </c>
      <c r="R23" s="13" t="s">
        <v>5</v>
      </c>
      <c r="S23" s="55" t="str">
        <f t="shared" si="12"/>
        <v>aa 00 0A 63 02 40 00 F8 30 F4 48 4A 55</v>
      </c>
      <c r="T23" s="73">
        <v>-2000</v>
      </c>
      <c r="U23" s="73">
        <v>-3000</v>
      </c>
      <c r="V23" s="73">
        <v>10000</v>
      </c>
      <c r="W23" s="326" t="s">
        <v>43</v>
      </c>
    </row>
    <row r="24" spans="1:23" x14ac:dyDescent="0.25">
      <c r="A24" s="1" t="s">
        <v>0</v>
      </c>
      <c r="B24" s="1" t="s">
        <v>1</v>
      </c>
      <c r="C24" s="1" t="s">
        <v>37</v>
      </c>
      <c r="D24" s="2" t="s">
        <v>16</v>
      </c>
      <c r="E24" s="2" t="s">
        <v>13</v>
      </c>
      <c r="F24" s="2" t="s">
        <v>42</v>
      </c>
      <c r="G24" s="3" t="s">
        <v>1</v>
      </c>
      <c r="H24" s="2"/>
      <c r="I24" s="3"/>
      <c r="J24" s="4" t="str">
        <f>LEFT(RIGHT(DEC2HEX(T24,4),4),2)</f>
        <v>00</v>
      </c>
      <c r="K24" s="4" t="str">
        <f>LEFT(RIGHT(DEC2HEX(T24,4),2),2)</f>
        <v>00</v>
      </c>
      <c r="L24" s="4" t="str">
        <f>LEFT(RIGHT(DEC2HEX(U24,4),4),2)</f>
        <v>55</v>
      </c>
      <c r="M24" s="4" t="str">
        <f>LEFT(RIGHT(DEC2HEX(U24,4),2),2)</f>
        <v>F0</v>
      </c>
      <c r="N24" s="4" t="str">
        <f>LEFT(RIGHT(DEC2HEX(V24,4),4),2)</f>
        <v>27</v>
      </c>
      <c r="O24" s="4" t="str">
        <f>LEFT(RIGHT(DEC2HEX(V24,4),2),2)</f>
        <v>10</v>
      </c>
      <c r="P24" s="72"/>
      <c r="Q24" s="84" t="str">
        <f t="shared" si="11"/>
        <v>2C</v>
      </c>
      <c r="R24" s="13" t="s">
        <v>5</v>
      </c>
      <c r="S24" s="55" t="str">
        <f t="shared" si="12"/>
        <v>aa 00 0A 63 03 40 00 00 00 55 F0 2C 55</v>
      </c>
      <c r="T24" s="73">
        <v>0</v>
      </c>
      <c r="U24" s="73">
        <v>22000</v>
      </c>
      <c r="V24" s="73">
        <v>10000</v>
      </c>
      <c r="W24" s="326" t="s">
        <v>44</v>
      </c>
    </row>
    <row r="25" spans="1:23" x14ac:dyDescent="0.25">
      <c r="A25" s="1" t="s">
        <v>0</v>
      </c>
      <c r="B25" s="1" t="s">
        <v>1</v>
      </c>
      <c r="C25" s="1" t="s">
        <v>37</v>
      </c>
      <c r="D25" s="2" t="s">
        <v>16</v>
      </c>
      <c r="E25" s="2" t="s">
        <v>723</v>
      </c>
      <c r="F25" s="2" t="s">
        <v>42</v>
      </c>
      <c r="G25" s="3" t="s">
        <v>1</v>
      </c>
      <c r="H25" s="2"/>
      <c r="I25" s="3"/>
      <c r="J25" s="4" t="str">
        <f>LEFT(RIGHT(DEC2HEX(T25,4),4),2)</f>
        <v>3A</v>
      </c>
      <c r="K25" s="4" t="str">
        <f>LEFT(RIGHT(DEC2HEX(T25,4),2),2)</f>
        <v>98</v>
      </c>
      <c r="L25" s="4" t="str">
        <f>LEFT(RIGHT(DEC2HEX(U25,4),4),2)</f>
        <v>4E</v>
      </c>
      <c r="M25" s="4" t="str">
        <f>LEFT(RIGHT(DEC2HEX(U25,4),2),2)</f>
        <v>20</v>
      </c>
      <c r="N25" s="4" t="str">
        <f>LEFT(RIGHT(DEC2HEX(V25,4),4),2)</f>
        <v>FF</v>
      </c>
      <c r="O25" s="4" t="str">
        <f>LEFT(RIGHT(DEC2HEX(V25,4),2),2)</f>
        <v>FF</v>
      </c>
      <c r="P25" s="72"/>
      <c r="Q25" s="84" t="str">
        <f t="shared" ref="Q25" si="13">DEC2HEX(MOD(HEX2DEC(B25)+HEX2DEC(C25)+HEX2DEC(D25)+HEX2DEC(E25)+HEX2DEC(F25)+HEX2DEC(G25)+HEX2DEC(H25)+HEX2DEC(I25)+HEX2DEC(J25)+HEX2DEC(K25)+HEX2DEC(L25)+HEX2DEC(M25)+HEX2DEC(N25)+HEX2DEC(O25)+HEX2DEC(P25),256),2)</f>
        <v>EF</v>
      </c>
      <c r="R25" s="13" t="s">
        <v>629</v>
      </c>
      <c r="S25" s="55" t="str">
        <f t="shared" ref="S25" si="14">IF(ISBLANK(A25),,A25&amp;" ")&amp;IF(ISBLANK(B25),,B25&amp;" ")&amp;IF(ISBLANK(C25),,C25&amp;" ")&amp;IF(ISBLANK(D25),,D25&amp;" ")&amp;IF(ISBLANK(E25),,E25&amp;" ")&amp;IF(ISBLANK(F25),,F25&amp;" ")&amp;IF(ISBLANK(G25),,G25&amp;" ")&amp;IF(ISBLANK(H25),,H25&amp;" ")&amp;IF(ISBLANK(I25),,I25&amp;" ")&amp;IF(ISBLANK(J25),,J25&amp;" ")&amp;IF(ISBLANK(K25),,K25&amp;" ")&amp;IF(ISBLANK(L25),,L25&amp;" ")&amp;IF(ISBLANK(M25),,M25&amp;" ")&amp;IF(ISBLANK(P25),,P25&amp;" ")&amp;IF(ISBLANK(Q25),,Q25&amp;" ")&amp;IF(ISBLANK(R25),,R25)</f>
        <v>aa 00 0A 63 04 40 00 3A 98 4E 20 EF 55</v>
      </c>
      <c r="T25" s="73">
        <v>15000</v>
      </c>
      <c r="U25" s="73">
        <v>20000</v>
      </c>
      <c r="V25" s="73">
        <v>65535</v>
      </c>
      <c r="W25" s="326" t="s">
        <v>722</v>
      </c>
    </row>
    <row r="26" spans="1:23" x14ac:dyDescent="0.25">
      <c r="A26" s="1"/>
      <c r="B26" s="1"/>
      <c r="C26" s="1"/>
      <c r="D26" s="2"/>
      <c r="E26" s="2"/>
      <c r="F26" s="2"/>
      <c r="G26" s="3"/>
      <c r="H26" s="2"/>
      <c r="I26" s="3"/>
      <c r="J26" s="4"/>
      <c r="K26" s="4"/>
      <c r="L26" s="4"/>
      <c r="M26" s="4"/>
      <c r="N26" s="4"/>
      <c r="O26" s="4"/>
      <c r="P26" s="72"/>
      <c r="Q26" s="84"/>
      <c r="R26" s="1"/>
      <c r="S26" s="55"/>
      <c r="T26" s="73"/>
      <c r="U26" s="73"/>
      <c r="V26" s="289"/>
      <c r="W26" s="288"/>
    </row>
    <row r="27" spans="1:23" s="39" customFormat="1" x14ac:dyDescent="0.25">
      <c r="A27" s="432" t="s">
        <v>34</v>
      </c>
      <c r="B27" s="433"/>
      <c r="C27" s="433"/>
      <c r="D27" s="433"/>
      <c r="E27" s="433"/>
      <c r="F27" s="433"/>
      <c r="G27" s="433"/>
      <c r="H27" s="433"/>
      <c r="I27" s="433"/>
      <c r="J27" s="433"/>
      <c r="K27" s="433"/>
      <c r="L27" s="433"/>
      <c r="M27" s="433"/>
      <c r="N27" s="433"/>
      <c r="O27" s="433"/>
      <c r="P27" s="433"/>
      <c r="Q27" s="433"/>
      <c r="R27" s="433"/>
      <c r="S27" s="35"/>
      <c r="T27" s="41" t="s">
        <v>38</v>
      </c>
      <c r="U27" s="41" t="s">
        <v>39</v>
      </c>
      <c r="V27" s="600"/>
      <c r="W27" s="601"/>
    </row>
    <row r="28" spans="1:23" x14ac:dyDescent="0.25">
      <c r="A28" s="1" t="s">
        <v>0</v>
      </c>
      <c r="B28" s="1" t="s">
        <v>1</v>
      </c>
      <c r="C28" s="1" t="s">
        <v>45</v>
      </c>
      <c r="D28" s="2" t="s">
        <v>16</v>
      </c>
      <c r="E28" s="2" t="s">
        <v>1</v>
      </c>
      <c r="F28" s="2" t="s">
        <v>28</v>
      </c>
      <c r="G28" s="2"/>
      <c r="H28" s="2"/>
      <c r="I28" s="4" t="str">
        <f>LEFT(RIGHT(DEC2HEX(T28,4),4),2)</f>
        <v>01</v>
      </c>
      <c r="J28" s="4" t="str">
        <f>LEFT(RIGHT(DEC2HEX(T28,4),2),2)</f>
        <v>F4</v>
      </c>
      <c r="K28" s="4" t="str">
        <f>LEFT(RIGHT(DEC2HEX(U28,4),4),2)</f>
        <v>02</v>
      </c>
      <c r="L28" s="4" t="str">
        <f>LEFT(RIGHT(DEC2HEX(U28,4),2),2)</f>
        <v>58</v>
      </c>
      <c r="M28" s="31"/>
      <c r="N28" s="31"/>
      <c r="O28" s="31"/>
      <c r="P28" s="31"/>
      <c r="Q28" s="84" t="str">
        <f t="shared" ref="Q28" si="15">DEC2HEX(MOD(HEX2DEC(B28)+HEX2DEC(C28)+HEX2DEC(D28)+HEX2DEC(E28)+HEX2DEC(F28)+HEX2DEC(G28)+HEX2DEC(H28)+HEX2DEC(I28)+HEX2DEC(J28)+HEX2DEC(K28)+HEX2DEC(L28)+HEX2DEC(M28)+HEX2DEC(N28)+HEX2DEC(O28)+HEX2DEC(P28),256),2)</f>
        <v>CA</v>
      </c>
      <c r="R28" s="13" t="s">
        <v>5</v>
      </c>
      <c r="S28" s="55" t="str">
        <f t="shared" ref="S28" si="16">IF(ISBLANK(A28),,A28&amp;" ")&amp;IF(ISBLANK(B28),,B28&amp;" ")&amp;IF(ISBLANK(C28),,C28&amp;" ")&amp;IF(ISBLANK(D28),,D28&amp;" ")&amp;IF(ISBLANK(E28),,E28&amp;" ")&amp;IF(ISBLANK(F28),,F28&amp;" ")&amp;IF(ISBLANK(G28),,G28&amp;" ")&amp;IF(ISBLANK(H28),,H28&amp;" ")&amp;IF(ISBLANK(I28),,I28&amp;" ")&amp;IF(ISBLANK(J28),,J28&amp;" ")&amp;IF(ISBLANK(K28),,K28&amp;" ")&amp;IF(ISBLANK(L28),,L28&amp;" ")&amp;IF(ISBLANK(M28),,M28&amp;" ")&amp;IF(ISBLANK(P28),,P28&amp;" ")&amp;IF(ISBLANK(Q28),,Q28&amp;" ")&amp;IF(ISBLANK(R28),,R28)</f>
        <v>aa 00 07 63 00 11 01 F4 02 58 CA 55</v>
      </c>
      <c r="T28" s="73">
        <v>500</v>
      </c>
      <c r="U28" s="73">
        <v>600</v>
      </c>
      <c r="V28" s="473" t="s">
        <v>46</v>
      </c>
      <c r="W28" s="473"/>
    </row>
    <row r="29" spans="1:23" x14ac:dyDescent="0.25">
      <c r="A29" s="1" t="s">
        <v>0</v>
      </c>
      <c r="B29" s="1" t="s">
        <v>1</v>
      </c>
      <c r="C29" s="1" t="s">
        <v>45</v>
      </c>
      <c r="D29" s="2" t="s">
        <v>16</v>
      </c>
      <c r="E29" s="2" t="s">
        <v>4</v>
      </c>
      <c r="F29" s="2" t="s">
        <v>28</v>
      </c>
      <c r="G29" s="2"/>
      <c r="H29" s="2"/>
      <c r="I29" s="4" t="str">
        <f>LEFT(RIGHT(DEC2HEX(T29,4),4),2)</f>
        <v>13</v>
      </c>
      <c r="J29" s="4" t="str">
        <f>LEFT(RIGHT(DEC2HEX(T29,4),2),2)</f>
        <v>88</v>
      </c>
      <c r="K29" s="4" t="str">
        <f>LEFT(RIGHT(DEC2HEX(U29,4),4),2)</f>
        <v>17</v>
      </c>
      <c r="L29" s="4" t="str">
        <f>LEFT(RIGHT(DEC2HEX(U29,4),2),2)</f>
        <v>70</v>
      </c>
      <c r="M29" s="31"/>
      <c r="N29" s="31"/>
      <c r="O29" s="31"/>
      <c r="P29" s="31"/>
      <c r="Q29" s="84" t="str">
        <f t="shared" ref="Q29:Q31" si="17">DEC2HEX(MOD(HEX2DEC(B29)+HEX2DEC(C29)+HEX2DEC(D29)+HEX2DEC(E29)+HEX2DEC(F29)+HEX2DEC(G29)+HEX2DEC(H29)+HEX2DEC(I29)+HEX2DEC(J29)+HEX2DEC(K29)+HEX2DEC(L29)+HEX2DEC(M29)+HEX2DEC(N29)+HEX2DEC(O29)+HEX2DEC(P29),256),2)</f>
        <v>9E</v>
      </c>
      <c r="R29" s="13" t="s">
        <v>5</v>
      </c>
      <c r="S29" s="55" t="str">
        <f t="shared" ref="S29:S31" si="18">IF(ISBLANK(A29),,A29&amp;" ")&amp;IF(ISBLANK(B29),,B29&amp;" ")&amp;IF(ISBLANK(C29),,C29&amp;" ")&amp;IF(ISBLANK(D29),,D29&amp;" ")&amp;IF(ISBLANK(E29),,E29&amp;" ")&amp;IF(ISBLANK(F29),,F29&amp;" ")&amp;IF(ISBLANK(G29),,G29&amp;" ")&amp;IF(ISBLANK(H29),,H29&amp;" ")&amp;IF(ISBLANK(I29),,I29&amp;" ")&amp;IF(ISBLANK(J29),,J29&amp;" ")&amp;IF(ISBLANK(K29),,K29&amp;" ")&amp;IF(ISBLANK(L29),,L29&amp;" ")&amp;IF(ISBLANK(M29),,M29&amp;" ")&amp;IF(ISBLANK(P29),,P29&amp;" ")&amp;IF(ISBLANK(Q29),,Q29&amp;" ")&amp;IF(ISBLANK(R29),,R29)</f>
        <v>aa 00 07 63 01 11 13 88 17 70 9E 55</v>
      </c>
      <c r="T29" s="73">
        <v>5000</v>
      </c>
      <c r="U29" s="73">
        <v>6000</v>
      </c>
      <c r="V29" s="473" t="s">
        <v>49</v>
      </c>
      <c r="W29" s="473"/>
    </row>
    <row r="30" spans="1:23" x14ac:dyDescent="0.25">
      <c r="A30" s="1" t="s">
        <v>0</v>
      </c>
      <c r="B30" s="1" t="s">
        <v>1</v>
      </c>
      <c r="C30" s="1" t="s">
        <v>45</v>
      </c>
      <c r="D30" s="2" t="s">
        <v>16</v>
      </c>
      <c r="E30" s="2" t="s">
        <v>15</v>
      </c>
      <c r="F30" s="2" t="s">
        <v>28</v>
      </c>
      <c r="G30" s="2"/>
      <c r="H30" s="2"/>
      <c r="I30" s="4" t="str">
        <f>LEFT(RIGHT(DEC2HEX(T30,4),4),2)</f>
        <v>07</v>
      </c>
      <c r="J30" s="4" t="str">
        <f>LEFT(RIGHT(DEC2HEX(T30,4),2),2)</f>
        <v>D0</v>
      </c>
      <c r="K30" s="4" t="str">
        <f>LEFT(RIGHT(DEC2HEX(U30,4),4),2)</f>
        <v>0B</v>
      </c>
      <c r="L30" s="4" t="str">
        <f>LEFT(RIGHT(DEC2HEX(U30,4),2),2)</f>
        <v>B8</v>
      </c>
      <c r="M30" s="31"/>
      <c r="N30" s="31"/>
      <c r="O30" s="31"/>
      <c r="P30" s="31"/>
      <c r="Q30" s="84" t="str">
        <f t="shared" si="17"/>
        <v>17</v>
      </c>
      <c r="R30" s="13" t="s">
        <v>5</v>
      </c>
      <c r="S30" s="55" t="str">
        <f t="shared" si="18"/>
        <v>aa 00 07 63 02 11 07 D0 0B B8 17 55</v>
      </c>
      <c r="T30" s="73">
        <v>2000</v>
      </c>
      <c r="U30" s="73">
        <v>3000</v>
      </c>
      <c r="V30" s="473" t="s">
        <v>50</v>
      </c>
      <c r="W30" s="473"/>
    </row>
    <row r="31" spans="1:23" x14ac:dyDescent="0.25">
      <c r="A31" s="1" t="s">
        <v>0</v>
      </c>
      <c r="B31" s="1" t="s">
        <v>1</v>
      </c>
      <c r="C31" s="1" t="s">
        <v>45</v>
      </c>
      <c r="D31" s="2" t="s">
        <v>16</v>
      </c>
      <c r="E31" s="2" t="s">
        <v>13</v>
      </c>
      <c r="F31" s="2" t="s">
        <v>28</v>
      </c>
      <c r="G31" s="2"/>
      <c r="H31" s="2"/>
      <c r="I31" s="4" t="str">
        <f>LEFT(RIGHT(DEC2HEX(T31,4),4),2)</f>
        <v>3A</v>
      </c>
      <c r="J31" s="4" t="str">
        <f>LEFT(RIGHT(DEC2HEX(T31,4),2),2)</f>
        <v>98</v>
      </c>
      <c r="K31" s="4" t="str">
        <f>LEFT(RIGHT(DEC2HEX(U31,4),4),2)</f>
        <v>3E</v>
      </c>
      <c r="L31" s="4" t="str">
        <f>LEFT(RIGHT(DEC2HEX(U31,4),2),2)</f>
        <v>80</v>
      </c>
      <c r="M31" s="31"/>
      <c r="N31" s="31"/>
      <c r="O31" s="31"/>
      <c r="P31" s="31"/>
      <c r="Q31" s="84" t="str">
        <f t="shared" si="17"/>
        <v>0E</v>
      </c>
      <c r="R31" s="13" t="s">
        <v>5</v>
      </c>
      <c r="S31" s="55" t="str">
        <f t="shared" si="18"/>
        <v>aa 00 07 63 03 11 3A 98 3E 80 0E 55</v>
      </c>
      <c r="T31" s="73">
        <v>15000</v>
      </c>
      <c r="U31" s="73">
        <v>16000</v>
      </c>
      <c r="V31" s="473" t="s">
        <v>51</v>
      </c>
      <c r="W31" s="473"/>
    </row>
    <row r="32" spans="1:23" s="39" customFormat="1" x14ac:dyDescent="0.25">
      <c r="A32" s="432" t="s">
        <v>35</v>
      </c>
      <c r="B32" s="433"/>
      <c r="C32" s="433"/>
      <c r="D32" s="433"/>
      <c r="E32" s="433"/>
      <c r="F32" s="433"/>
      <c r="G32" s="433"/>
      <c r="H32" s="433"/>
      <c r="I32" s="433"/>
      <c r="J32" s="433"/>
      <c r="K32" s="433"/>
      <c r="L32" s="433"/>
      <c r="M32" s="433"/>
      <c r="N32" s="433"/>
      <c r="O32" s="433"/>
      <c r="P32" s="433"/>
      <c r="Q32" s="433"/>
      <c r="R32" s="433"/>
      <c r="S32" s="35"/>
      <c r="T32" s="41" t="s">
        <v>38</v>
      </c>
      <c r="U32" s="41" t="s">
        <v>39</v>
      </c>
      <c r="V32" s="26" t="s">
        <v>386</v>
      </c>
      <c r="W32" s="328" t="s">
        <v>40</v>
      </c>
    </row>
    <row r="33" spans="1:23" x14ac:dyDescent="0.25">
      <c r="A33" s="1" t="s">
        <v>0</v>
      </c>
      <c r="B33" s="1" t="s">
        <v>1</v>
      </c>
      <c r="C33" s="1" t="s">
        <v>52</v>
      </c>
      <c r="D33" s="2" t="s">
        <v>16</v>
      </c>
      <c r="E33" s="2" t="s">
        <v>1</v>
      </c>
      <c r="F33" s="2" t="s">
        <v>53</v>
      </c>
      <c r="G33" s="2"/>
      <c r="H33" s="2"/>
      <c r="I33" s="4" t="str">
        <f>LEFT(RIGHT(DEC2HEX(T33,4),4),2)</f>
        <v>02</v>
      </c>
      <c r="J33" s="4" t="str">
        <f>LEFT(RIGHT(DEC2HEX(T33,4),2),2)</f>
        <v>26</v>
      </c>
      <c r="K33" s="4" t="str">
        <f>LEFT(RIGHT(DEC2HEX(U33,4),4),2)</f>
        <v>02</v>
      </c>
      <c r="L33" s="4" t="str">
        <f>LEFT(RIGHT(DEC2HEX(U33,4),2),2)</f>
        <v>8A</v>
      </c>
      <c r="M33" s="4" t="str">
        <f>LEFT(RIGHT(DEC2HEX(V33,4),4),2)</f>
        <v>03</v>
      </c>
      <c r="N33" s="4" t="str">
        <f>LEFT(RIGHT(DEC2HEX(V33,4),2),2)</f>
        <v>E8</v>
      </c>
      <c r="O33" s="31"/>
      <c r="P33" s="31"/>
      <c r="Q33" s="84" t="str">
        <f t="shared" ref="Q33" si="19">DEC2HEX(MOD(HEX2DEC(B33)+HEX2DEC(C33)+HEX2DEC(D33)+HEX2DEC(E33)+HEX2DEC(F33)+HEX2DEC(G33)+HEX2DEC(H33)+HEX2DEC(I33)+HEX2DEC(J33)+HEX2DEC(K33)+HEX2DEC(L33)+HEX2DEC(M33)+HEX2DEC(N33)+HEX2DEC(O33)+HEX2DEC(P33),256),2)</f>
        <v>2B</v>
      </c>
      <c r="R33" s="13" t="s">
        <v>5</v>
      </c>
      <c r="S33" s="55" t="str">
        <f t="shared" ref="S33" si="20">IF(ISBLANK(A33),,A33&amp;" ")&amp;IF(ISBLANK(B33),,B33&amp;" ")&amp;IF(ISBLANK(C33),,C33&amp;" ")&amp;IF(ISBLANK(D33),,D33&amp;" ")&amp;IF(ISBLANK(E33),,E33&amp;" ")&amp;IF(ISBLANK(F33),,F33&amp;" ")&amp;IF(ISBLANK(G33),,G33&amp;" ")&amp;IF(ISBLANK(H33),,H33&amp;" ")&amp;IF(ISBLANK(I33),,I33&amp;" ")&amp;IF(ISBLANK(J33),,J33&amp;" ")&amp;IF(ISBLANK(K33),,K33&amp;" ")&amp;IF(ISBLANK(L33),,L33&amp;" ")&amp;IF(ISBLANK(M33),,M33&amp;" ")&amp;IF(ISBLANK(P33),,P33&amp;" ")&amp;IF(ISBLANK(Q33),,Q33&amp;" ")&amp;IF(ISBLANK(R33),,R33)</f>
        <v>aa 00 09 63 00 20 02 26 02 8A 03 2B 55</v>
      </c>
      <c r="T33" s="73">
        <v>550</v>
      </c>
      <c r="U33" s="73">
        <v>650</v>
      </c>
      <c r="V33" s="73">
        <v>1000</v>
      </c>
      <c r="W33" s="326" t="s">
        <v>385</v>
      </c>
    </row>
    <row r="34" spans="1:23" x14ac:dyDescent="0.25">
      <c r="A34" s="1" t="s">
        <v>0</v>
      </c>
      <c r="B34" s="1" t="s">
        <v>1</v>
      </c>
      <c r="C34" s="1" t="s">
        <v>52</v>
      </c>
      <c r="D34" s="2" t="s">
        <v>16</v>
      </c>
      <c r="E34" s="2" t="s">
        <v>14</v>
      </c>
      <c r="F34" s="2" t="s">
        <v>53</v>
      </c>
      <c r="G34" s="2"/>
      <c r="H34" s="2"/>
      <c r="I34" s="4" t="str">
        <f>LEFT(RIGHT(DEC2HEX(T34,4),4),2)</f>
        <v>E8</v>
      </c>
      <c r="J34" s="4" t="str">
        <f>LEFT(RIGHT(DEC2HEX(T34,4),2),2)</f>
        <v>90</v>
      </c>
      <c r="K34" s="4" t="str">
        <f>LEFT(RIGHT(DEC2HEX(U34,4),4),2)</f>
        <v>E4</v>
      </c>
      <c r="L34" s="4" t="str">
        <f>LEFT(RIGHT(DEC2HEX(U34,4),2),2)</f>
        <v>A8</v>
      </c>
      <c r="M34" s="4" t="str">
        <f>LEFT(RIGHT(DEC2HEX(V34,4),4),2)</f>
        <v>03</v>
      </c>
      <c r="N34" s="4" t="str">
        <f>LEFT(RIGHT(DEC2HEX(V34,4),2),2)</f>
        <v>E8</v>
      </c>
      <c r="O34" s="31"/>
      <c r="P34" s="31"/>
      <c r="Q34" s="84" t="str">
        <f t="shared" ref="Q34:Q35" si="21">DEC2HEX(MOD(HEX2DEC(B34)+HEX2DEC(C34)+HEX2DEC(D34)+HEX2DEC(E34)+HEX2DEC(F34)+HEX2DEC(G34)+HEX2DEC(H34)+HEX2DEC(I34)+HEX2DEC(J34)+HEX2DEC(K34)+HEX2DEC(L34)+HEX2DEC(M34)+HEX2DEC(N34)+HEX2DEC(O34)+HEX2DEC(P34),256),2)</f>
        <v>7C</v>
      </c>
      <c r="R34" s="13" t="s">
        <v>5</v>
      </c>
      <c r="S34" s="55" t="str">
        <f t="shared" ref="S34:S35" si="22">IF(ISBLANK(A34),,A34&amp;" ")&amp;IF(ISBLANK(B34),,B34&amp;" ")&amp;IF(ISBLANK(C34),,C34&amp;" ")&amp;IF(ISBLANK(D34),,D34&amp;" ")&amp;IF(ISBLANK(E34),,E34&amp;" ")&amp;IF(ISBLANK(F34),,F34&amp;" ")&amp;IF(ISBLANK(G34),,G34&amp;" ")&amp;IF(ISBLANK(H34),,H34&amp;" ")&amp;IF(ISBLANK(I34),,I34&amp;" ")&amp;IF(ISBLANK(J34),,J34&amp;" ")&amp;IF(ISBLANK(K34),,K34&amp;" ")&amp;IF(ISBLANK(L34),,L34&amp;" ")&amp;IF(ISBLANK(M34),,M34&amp;" ")&amp;IF(ISBLANK(P34),,P34&amp;" ")&amp;IF(ISBLANK(Q34),,Q34&amp;" ")&amp;IF(ISBLANK(R34),,R34)</f>
        <v>aa 00 09 63 01 20 E8 90 E4 A8 03 7C 55</v>
      </c>
      <c r="T34" s="73">
        <v>-6000</v>
      </c>
      <c r="U34" s="73">
        <v>-7000</v>
      </c>
      <c r="V34" s="73">
        <v>1000</v>
      </c>
      <c r="W34" s="326" t="s">
        <v>54</v>
      </c>
    </row>
    <row r="35" spans="1:23" x14ac:dyDescent="0.25">
      <c r="A35" s="1" t="s">
        <v>0</v>
      </c>
      <c r="B35" s="1" t="s">
        <v>1</v>
      </c>
      <c r="C35" s="1" t="s">
        <v>52</v>
      </c>
      <c r="D35" s="2" t="s">
        <v>16</v>
      </c>
      <c r="E35" s="2" t="s">
        <v>723</v>
      </c>
      <c r="F35" s="2" t="s">
        <v>53</v>
      </c>
      <c r="G35" s="2"/>
      <c r="H35" s="2"/>
      <c r="I35" s="4" t="str">
        <f>LEFT(RIGHT(DEC2HEX(T35,4),4),2)</f>
        <v>3A</v>
      </c>
      <c r="J35" s="4" t="str">
        <f>LEFT(RIGHT(DEC2HEX(T35,4),2),2)</f>
        <v>98</v>
      </c>
      <c r="K35" s="4" t="str">
        <f>LEFT(RIGHT(DEC2HEX(U35,4),4),2)</f>
        <v>4E</v>
      </c>
      <c r="L35" s="4" t="str">
        <f>LEFT(RIGHT(DEC2HEX(U35,4),2),2)</f>
        <v>20</v>
      </c>
      <c r="M35" s="4" t="str">
        <f>LEFT(RIGHT(DEC2HEX(V35,4),4),2)</f>
        <v>FF</v>
      </c>
      <c r="N35" s="4" t="str">
        <f>LEFT(RIGHT(DEC2HEX(V35,4),2),2)</f>
        <v>FF</v>
      </c>
      <c r="O35" s="31"/>
      <c r="P35" s="31"/>
      <c r="Q35" s="84" t="str">
        <f t="shared" si="21"/>
        <v>CE</v>
      </c>
      <c r="R35" s="13" t="s">
        <v>5</v>
      </c>
      <c r="S35" s="55" t="str">
        <f t="shared" si="22"/>
        <v>aa 00 09 63 04 20 3A 98 4E 20 FF CE 55</v>
      </c>
      <c r="T35" s="73">
        <v>15000</v>
      </c>
      <c r="U35" s="73">
        <v>20000</v>
      </c>
      <c r="V35" s="73">
        <v>65535</v>
      </c>
      <c r="W35" s="326" t="s">
        <v>724</v>
      </c>
    </row>
    <row r="37" spans="1:23" x14ac:dyDescent="0.25">
      <c r="A37" s="1" t="s">
        <v>0</v>
      </c>
      <c r="B37" s="1" t="s">
        <v>1</v>
      </c>
      <c r="C37" s="1" t="s">
        <v>716</v>
      </c>
      <c r="D37" s="2" t="s">
        <v>16</v>
      </c>
      <c r="E37" s="2" t="s">
        <v>715</v>
      </c>
      <c r="F37" s="2" t="s">
        <v>713</v>
      </c>
      <c r="G37" s="2" t="s">
        <v>714</v>
      </c>
      <c r="H37" s="2"/>
      <c r="I37" s="4"/>
      <c r="J37" s="4"/>
      <c r="K37" s="4"/>
      <c r="L37" s="4"/>
      <c r="M37" s="4"/>
      <c r="N37" s="4"/>
      <c r="O37" s="31"/>
      <c r="P37" s="31"/>
      <c r="Q37" s="84" t="str">
        <f t="shared" ref="Q37" si="23">DEC2HEX(MOD(HEX2DEC(B37)+HEX2DEC(C37)+HEX2DEC(D37)+HEX2DEC(E37)+HEX2DEC(F37)+HEX2DEC(G37)+HEX2DEC(H37)+HEX2DEC(I37)+HEX2DEC(J37)+HEX2DEC(K37)+HEX2DEC(L37)+HEX2DEC(M37)+HEX2DEC(N37)+HEX2DEC(O37)+HEX2DEC(P37),256),2)</f>
        <v>9B</v>
      </c>
      <c r="R37" s="13" t="s">
        <v>5</v>
      </c>
      <c r="S37" s="55" t="str">
        <f t="shared" ref="S37" si="24">IF(ISBLANK(A37),,A37&amp;" ")&amp;IF(ISBLANK(B37),,B37&amp;" ")&amp;IF(ISBLANK(C37),,C37&amp;" ")&amp;IF(ISBLANK(D37),,D37&amp;" ")&amp;IF(ISBLANK(E37),,E37&amp;" ")&amp;IF(ISBLANK(F37),,F37&amp;" ")&amp;IF(ISBLANK(G37),,G37&amp;" ")&amp;IF(ISBLANK(H37),,H37&amp;" ")&amp;IF(ISBLANK(I37),,I37&amp;" ")&amp;IF(ISBLANK(J37),,J37&amp;" ")&amp;IF(ISBLANK(K37),,K37&amp;" ")&amp;IF(ISBLANK(L37),,L37&amp;" ")&amp;IF(ISBLANK(M37),,M37&amp;" ")&amp;IF(ISBLANK(P37),,P37&amp;" ")&amp;IF(ISBLANK(Q37),,Q37&amp;" ")&amp;IF(ISBLANK(R37),,R37)</f>
        <v>aa 00 04 63 00 34 00 9B 55</v>
      </c>
      <c r="T37" s="594" t="s">
        <v>712</v>
      </c>
      <c r="U37" s="595"/>
      <c r="V37" s="595"/>
      <c r="W37" s="595"/>
    </row>
    <row r="38" spans="1:23" x14ac:dyDescent="0.25">
      <c r="A38" s="1" t="s">
        <v>0</v>
      </c>
      <c r="B38" s="1" t="s">
        <v>1</v>
      </c>
      <c r="C38" s="1" t="s">
        <v>716</v>
      </c>
      <c r="D38" s="2" t="s">
        <v>16</v>
      </c>
      <c r="E38" s="2" t="s">
        <v>715</v>
      </c>
      <c r="F38" s="2" t="s">
        <v>713</v>
      </c>
      <c r="G38" s="2" t="s">
        <v>719</v>
      </c>
      <c r="H38" s="2"/>
      <c r="I38" s="4"/>
      <c r="J38" s="4"/>
      <c r="K38" s="4"/>
      <c r="L38" s="4"/>
      <c r="M38" s="4"/>
      <c r="N38" s="4"/>
      <c r="O38" s="31"/>
      <c r="P38" s="31"/>
      <c r="Q38" s="84" t="str">
        <f t="shared" ref="Q38:Q39" si="25">DEC2HEX(MOD(HEX2DEC(B38)+HEX2DEC(C38)+HEX2DEC(D38)+HEX2DEC(E38)+HEX2DEC(F38)+HEX2DEC(G38)+HEX2DEC(H38)+HEX2DEC(I38)+HEX2DEC(J38)+HEX2DEC(K38)+HEX2DEC(L38)+HEX2DEC(M38)+HEX2DEC(N38)+HEX2DEC(O38)+HEX2DEC(P38),256),2)</f>
        <v>9C</v>
      </c>
      <c r="R38" s="13" t="s">
        <v>5</v>
      </c>
      <c r="S38" s="55" t="str">
        <f t="shared" ref="S38:S39" si="26">IF(ISBLANK(A38),,A38&amp;" ")&amp;IF(ISBLANK(B38),,B38&amp;" ")&amp;IF(ISBLANK(C38),,C38&amp;" ")&amp;IF(ISBLANK(D38),,D38&amp;" ")&amp;IF(ISBLANK(E38),,E38&amp;" ")&amp;IF(ISBLANK(F38),,F38&amp;" ")&amp;IF(ISBLANK(G38),,G38&amp;" ")&amp;IF(ISBLANK(H38),,H38&amp;" ")&amp;IF(ISBLANK(I38),,I38&amp;" ")&amp;IF(ISBLANK(J38),,J38&amp;" ")&amp;IF(ISBLANK(K38),,K38&amp;" ")&amp;IF(ISBLANK(L38),,L38&amp;" ")&amp;IF(ISBLANK(M38),,M38&amp;" ")&amp;IF(ISBLANK(P38),,P38&amp;" ")&amp;IF(ISBLANK(Q38),,Q38&amp;" ")&amp;IF(ISBLANK(R38),,R38)</f>
        <v>aa 00 04 63 00 34 01 9C 55</v>
      </c>
      <c r="T38" s="594" t="s">
        <v>717</v>
      </c>
      <c r="U38" s="595"/>
      <c r="V38" s="595"/>
      <c r="W38" s="595"/>
    </row>
    <row r="39" spans="1:23" x14ac:dyDescent="0.25">
      <c r="A39" s="1" t="s">
        <v>0</v>
      </c>
      <c r="B39" s="1" t="s">
        <v>1</v>
      </c>
      <c r="C39" s="1" t="s">
        <v>716</v>
      </c>
      <c r="D39" s="2" t="s">
        <v>16</v>
      </c>
      <c r="E39" s="2" t="s">
        <v>715</v>
      </c>
      <c r="F39" s="2" t="s">
        <v>713</v>
      </c>
      <c r="G39" s="2" t="s">
        <v>720</v>
      </c>
      <c r="H39" s="2"/>
      <c r="I39" s="4"/>
      <c r="J39" s="4"/>
      <c r="K39" s="4"/>
      <c r="L39" s="4"/>
      <c r="M39" s="4"/>
      <c r="N39" s="4"/>
      <c r="O39" s="31"/>
      <c r="P39" s="31"/>
      <c r="Q39" s="84" t="str">
        <f t="shared" si="25"/>
        <v>9D</v>
      </c>
      <c r="R39" s="13" t="s">
        <v>5</v>
      </c>
      <c r="S39" s="55" t="str">
        <f t="shared" si="26"/>
        <v>aa 00 04 63 00 34 02 9D 55</v>
      </c>
      <c r="T39" s="594" t="s">
        <v>718</v>
      </c>
      <c r="U39" s="595"/>
      <c r="V39" s="595"/>
      <c r="W39" s="595"/>
    </row>
  </sheetData>
  <mergeCells count="31">
    <mergeCell ref="T37:W37"/>
    <mergeCell ref="V19:W19"/>
    <mergeCell ref="A27:R27"/>
    <mergeCell ref="V28:W28"/>
    <mergeCell ref="V27:W27"/>
    <mergeCell ref="A20:R20"/>
    <mergeCell ref="A32:R32"/>
    <mergeCell ref="V29:W29"/>
    <mergeCell ref="V30:W30"/>
    <mergeCell ref="V31:W31"/>
    <mergeCell ref="T7:W7"/>
    <mergeCell ref="T8:W8"/>
    <mergeCell ref="V16:W16"/>
    <mergeCell ref="V17:W17"/>
    <mergeCell ref="V18:W18"/>
    <mergeCell ref="T38:W38"/>
    <mergeCell ref="T39:W39"/>
    <mergeCell ref="A1:W1"/>
    <mergeCell ref="A10:R10"/>
    <mergeCell ref="A15:R15"/>
    <mergeCell ref="T11:W11"/>
    <mergeCell ref="T12:W12"/>
    <mergeCell ref="T13:W13"/>
    <mergeCell ref="T14:W14"/>
    <mergeCell ref="T2:W2"/>
    <mergeCell ref="A2:R2"/>
    <mergeCell ref="T3:W3"/>
    <mergeCell ref="T4:W4"/>
    <mergeCell ref="T5:W5"/>
    <mergeCell ref="T6:W6"/>
    <mergeCell ref="V15:W15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B2:AC103"/>
  <sheetViews>
    <sheetView zoomScale="115" zoomScaleNormal="115" workbookViewId="0">
      <selection activeCell="U5" sqref="U5:U12"/>
    </sheetView>
  </sheetViews>
  <sheetFormatPr defaultRowHeight="14.4" x14ac:dyDescent="0.25"/>
  <cols>
    <col min="1" max="1" width="2.33203125" customWidth="1"/>
    <col min="2" max="8" width="3.6640625" customWidth="1"/>
    <col min="9" max="17" width="1.6640625" customWidth="1"/>
    <col min="18" max="19" width="3.6640625" customWidth="1"/>
    <col min="20" max="20" width="23.21875" customWidth="1"/>
    <col min="21" max="28" width="1.6640625" customWidth="1"/>
    <col min="29" max="29" width="29.77734375" customWidth="1"/>
    <col min="30" max="47" width="3.6640625" customWidth="1"/>
    <col min="48" max="48" width="40.6640625" customWidth="1"/>
    <col min="49" max="52" width="5.6640625" customWidth="1"/>
    <col min="53" max="56" width="10.6640625" customWidth="1"/>
  </cols>
  <sheetData>
    <row r="2" spans="2:28" ht="22.2" x14ac:dyDescent="0.25">
      <c r="B2" s="602" t="s">
        <v>65</v>
      </c>
      <c r="C2" s="602"/>
      <c r="D2" s="602"/>
      <c r="E2" s="602"/>
      <c r="F2" s="602"/>
      <c r="G2" s="602"/>
      <c r="H2" s="602"/>
      <c r="I2" s="602"/>
      <c r="J2" s="602"/>
      <c r="K2" s="602"/>
      <c r="L2" s="602"/>
      <c r="M2" s="602"/>
      <c r="N2" s="602"/>
      <c r="O2" s="602"/>
      <c r="P2" s="602"/>
      <c r="Q2" s="602"/>
      <c r="R2" s="602"/>
      <c r="S2" s="602"/>
      <c r="T2" s="602"/>
      <c r="U2" s="602"/>
      <c r="V2" s="602"/>
      <c r="W2" s="602"/>
      <c r="X2" s="602"/>
      <c r="Y2" s="602"/>
      <c r="Z2" s="602"/>
      <c r="AA2" s="602"/>
      <c r="AB2" s="602"/>
    </row>
    <row r="3" spans="2:28" ht="16.8" x14ac:dyDescent="0.25">
      <c r="B3" s="52" t="s">
        <v>77</v>
      </c>
      <c r="C3" s="44" t="s">
        <v>78</v>
      </c>
      <c r="D3" s="44" t="s">
        <v>10</v>
      </c>
      <c r="E3" s="44" t="s">
        <v>79</v>
      </c>
      <c r="F3" s="44" t="s">
        <v>80</v>
      </c>
      <c r="G3" s="44" t="s">
        <v>11</v>
      </c>
      <c r="H3" s="436" t="s">
        <v>83</v>
      </c>
      <c r="I3" s="436"/>
      <c r="J3" s="436"/>
      <c r="K3" s="436"/>
      <c r="L3" s="436"/>
      <c r="M3" s="436"/>
      <c r="N3" s="436"/>
      <c r="O3" s="436"/>
      <c r="P3" s="436"/>
      <c r="Q3" s="436"/>
      <c r="R3" s="44" t="s">
        <v>81</v>
      </c>
      <c r="S3" s="44" t="s">
        <v>82</v>
      </c>
      <c r="T3" s="51" t="s">
        <v>276</v>
      </c>
      <c r="U3" s="439" t="s">
        <v>6</v>
      </c>
      <c r="V3" s="439"/>
      <c r="W3" s="439"/>
      <c r="X3" s="439"/>
      <c r="Y3" s="439"/>
      <c r="Z3" s="439"/>
      <c r="AA3" s="439"/>
      <c r="AB3" s="439"/>
    </row>
    <row r="4" spans="2:28" x14ac:dyDescent="0.25">
      <c r="B4" s="446" t="s">
        <v>55</v>
      </c>
      <c r="C4" s="446"/>
      <c r="D4" s="446"/>
      <c r="E4" s="446"/>
      <c r="F4" s="446"/>
      <c r="G4" s="447"/>
      <c r="H4" s="447"/>
      <c r="I4" s="447"/>
      <c r="J4" s="447"/>
      <c r="K4" s="447"/>
      <c r="L4" s="447"/>
      <c r="M4" s="447"/>
      <c r="N4" s="447"/>
      <c r="O4" s="447"/>
      <c r="P4" s="447"/>
      <c r="Q4" s="447"/>
      <c r="R4" s="447"/>
      <c r="S4" s="446"/>
      <c r="T4" s="53"/>
      <c r="U4" s="603"/>
      <c r="V4" s="603"/>
      <c r="W4" s="603"/>
      <c r="X4" s="603"/>
      <c r="Y4" s="603"/>
      <c r="Z4" s="603"/>
      <c r="AA4" s="603"/>
      <c r="AB4" s="603"/>
    </row>
    <row r="5" spans="2:28" x14ac:dyDescent="0.25">
      <c r="B5" s="1" t="s">
        <v>0</v>
      </c>
      <c r="C5" s="1" t="s">
        <v>1</v>
      </c>
      <c r="D5" s="1" t="s">
        <v>589</v>
      </c>
      <c r="E5" s="2" t="s">
        <v>56</v>
      </c>
      <c r="F5" s="2" t="s">
        <v>1</v>
      </c>
      <c r="G5" s="2" t="s">
        <v>1</v>
      </c>
      <c r="H5" s="4" t="s">
        <v>1</v>
      </c>
      <c r="I5" s="57"/>
      <c r="J5" s="57"/>
      <c r="K5" s="57"/>
      <c r="L5" s="57"/>
      <c r="M5" s="57"/>
      <c r="N5" s="57"/>
      <c r="O5" s="57"/>
      <c r="P5" s="57"/>
      <c r="Q5" s="57"/>
      <c r="R5" s="42" t="str">
        <f t="shared" ref="R5:R10" si="0">DEC2HEX(MOD(HEX2DEC(C5)+HEX2DEC(D5)+HEX2DEC(E5)+HEX2DEC(F5)+HEX2DEC(G5)+HEX2DEC(H5)+HEX2DEC(I5)+HEX2DEC(J5)+HEX2DEC(K5)+HEX2DEC(L5)+HEX2DEC(M5)+HEX2DEC(N5)+HEX2DEC(Q5),256),2)</f>
        <v>26</v>
      </c>
      <c r="S5" s="42" t="s">
        <v>5</v>
      </c>
      <c r="T5" s="55" t="str">
        <f t="shared" ref="T5:T10" si="1">IF(ISBLANK(B5),,B5&amp;" ")&amp;IF(ISBLANK(C5),,C5&amp;" ")&amp;IF(ISBLANK(D5),,D5&amp;" ")&amp;IF(ISBLANK(E5),,E5&amp;" ")&amp;IF(ISBLANK(F5),,F5&amp;" ")&amp;IF(ISBLANK(G5),,G5&amp;" ")&amp;IF(ISBLANK(H5),,H5&amp;" ")&amp;IF(ISBLANK(I5),,I5&amp;" ")&amp;IF(ISBLANK(J5),,J5&amp;" ")&amp;IF(ISBLANK(K5),,K5&amp;" ")&amp;IF(ISBLANK(L5),,L5&amp;" ")&amp;IF(ISBLANK(M5),,M5&amp;" ")&amp;IF(ISBLANK(N5),,N5&amp;" ")&amp;IF(ISBLANK(Q5),,Q5&amp;" ")&amp;IF(ISBLANK(R5),,R5&amp;" ")&amp;IF(ISBLANK(S5),,S5)</f>
        <v>aa 00 04 22 00 00 00 26 55</v>
      </c>
      <c r="U5" s="354" t="s">
        <v>57</v>
      </c>
      <c r="V5" s="354"/>
      <c r="W5" s="354"/>
      <c r="X5" s="354"/>
      <c r="Y5" s="354"/>
      <c r="Z5" s="354"/>
      <c r="AA5" s="354"/>
      <c r="AB5" s="354"/>
    </row>
    <row r="6" spans="2:28" x14ac:dyDescent="0.25">
      <c r="B6" s="1" t="s">
        <v>0</v>
      </c>
      <c r="C6" s="1" t="s">
        <v>1</v>
      </c>
      <c r="D6" s="1" t="s">
        <v>2</v>
      </c>
      <c r="E6" s="2" t="s">
        <v>56</v>
      </c>
      <c r="F6" s="2" t="s">
        <v>1</v>
      </c>
      <c r="G6" s="2" t="s">
        <v>1</v>
      </c>
      <c r="H6" s="4" t="s">
        <v>14</v>
      </c>
      <c r="I6" s="57"/>
      <c r="J6" s="57"/>
      <c r="K6" s="57"/>
      <c r="L6" s="57"/>
      <c r="M6" s="57"/>
      <c r="N6" s="57"/>
      <c r="O6" s="57"/>
      <c r="P6" s="57"/>
      <c r="Q6" s="57"/>
      <c r="R6" s="42" t="str">
        <f t="shared" si="0"/>
        <v>27</v>
      </c>
      <c r="S6" s="42" t="s">
        <v>5</v>
      </c>
      <c r="T6" s="55" t="str">
        <f t="shared" si="1"/>
        <v>aa 00 04 22 00 00 01 27 55</v>
      </c>
      <c r="U6" s="354" t="s">
        <v>58</v>
      </c>
      <c r="V6" s="354"/>
      <c r="W6" s="354"/>
      <c r="X6" s="354"/>
      <c r="Y6" s="354"/>
      <c r="Z6" s="354"/>
      <c r="AA6" s="354"/>
      <c r="AB6" s="354"/>
    </row>
    <row r="7" spans="2:28" ht="30" customHeight="1" x14ac:dyDescent="0.25">
      <c r="B7" s="1" t="s">
        <v>0</v>
      </c>
      <c r="C7" s="1" t="s">
        <v>1</v>
      </c>
      <c r="D7" s="1" t="s">
        <v>2</v>
      </c>
      <c r="E7" s="2" t="s">
        <v>56</v>
      </c>
      <c r="F7" s="2" t="s">
        <v>4</v>
      </c>
      <c r="G7" s="2" t="s">
        <v>1</v>
      </c>
      <c r="H7" s="4" t="s">
        <v>1</v>
      </c>
      <c r="I7" s="57"/>
      <c r="J7" s="57"/>
      <c r="K7" s="57"/>
      <c r="L7" s="57"/>
      <c r="M7" s="57"/>
      <c r="N7" s="57"/>
      <c r="O7" s="57"/>
      <c r="P7" s="57"/>
      <c r="Q7" s="57"/>
      <c r="R7" s="42" t="str">
        <f t="shared" si="0"/>
        <v>27</v>
      </c>
      <c r="S7" s="42" t="s">
        <v>5</v>
      </c>
      <c r="T7" s="118" t="str">
        <f>IF(ISBLANK(B7),,B7&amp;" ")&amp;IF(ISBLANK(C7),,C7&amp;" ")&amp;IF(ISBLANK(D7),,D7&amp;" ")&amp;IF(ISBLANK(E7),,E7&amp;" ")&amp;IF(ISBLANK(F7),,F7&amp;" ")&amp;IF(ISBLANK(G7),,G7&amp;" ")&amp;IF(ISBLANK(H7),,H7&amp;" ")&amp;IF(ISBLANK(I7),,I7&amp;" ")&amp;IF(ISBLANK(J7),,J7&amp;" ")&amp;IF(ISBLANK(K7),,K7&amp;" ")&amp;IF(ISBLANK(L7),,L7&amp;" ")&amp;IF(ISBLANK(M7),,M7&amp;" ")&amp;IF(ISBLANK(N7),,N7&amp;" ")&amp;IF(ISBLANK(Q7),,Q7&amp;" ")&amp;IF(ISBLANK(R7),,R7&amp;" ")&amp;IF(ISBLANK(S7),,S7)</f>
        <v>aa 00 04 22 01 00 00 27 55</v>
      </c>
      <c r="U7" s="354" t="s">
        <v>59</v>
      </c>
      <c r="V7" s="354"/>
      <c r="W7" s="354"/>
      <c r="X7" s="354"/>
      <c r="Y7" s="354"/>
      <c r="Z7" s="354"/>
      <c r="AA7" s="354"/>
      <c r="AB7" s="354"/>
    </row>
    <row r="8" spans="2:28" ht="30.75" customHeight="1" x14ac:dyDescent="0.25">
      <c r="B8" s="1" t="s">
        <v>0</v>
      </c>
      <c r="C8" s="1" t="s">
        <v>1</v>
      </c>
      <c r="D8" s="1" t="s">
        <v>2</v>
      </c>
      <c r="E8" s="2" t="s">
        <v>56</v>
      </c>
      <c r="F8" s="2" t="s">
        <v>4</v>
      </c>
      <c r="G8" s="2" t="s">
        <v>1</v>
      </c>
      <c r="H8" s="4" t="s">
        <v>14</v>
      </c>
      <c r="I8" s="57"/>
      <c r="J8" s="57"/>
      <c r="K8" s="57"/>
      <c r="L8" s="57"/>
      <c r="M8" s="57"/>
      <c r="N8" s="57"/>
      <c r="O8" s="57"/>
      <c r="P8" s="57"/>
      <c r="Q8" s="57"/>
      <c r="R8" s="42" t="str">
        <f t="shared" si="0"/>
        <v>28</v>
      </c>
      <c r="S8" s="42" t="s">
        <v>5</v>
      </c>
      <c r="T8" s="55" t="str">
        <f t="shared" si="1"/>
        <v>aa 00 04 22 01 00 01 28 55</v>
      </c>
      <c r="U8" s="377" t="s">
        <v>721</v>
      </c>
      <c r="V8" s="354"/>
      <c r="W8" s="354"/>
      <c r="X8" s="354"/>
      <c r="Y8" s="354"/>
      <c r="Z8" s="354"/>
      <c r="AA8" s="354"/>
      <c r="AB8" s="354"/>
    </row>
    <row r="9" spans="2:28" x14ac:dyDescent="0.25">
      <c r="B9" s="1" t="s">
        <v>0</v>
      </c>
      <c r="C9" s="1" t="s">
        <v>1</v>
      </c>
      <c r="D9" s="1" t="s">
        <v>2</v>
      </c>
      <c r="E9" s="2" t="s">
        <v>56</v>
      </c>
      <c r="F9" s="2" t="s">
        <v>7</v>
      </c>
      <c r="G9" s="2" t="s">
        <v>1</v>
      </c>
      <c r="H9" s="4" t="s">
        <v>1</v>
      </c>
      <c r="I9" s="57"/>
      <c r="J9" s="57"/>
      <c r="K9" s="57"/>
      <c r="L9" s="57"/>
      <c r="M9" s="57"/>
      <c r="N9" s="57"/>
      <c r="O9" s="57"/>
      <c r="P9" s="57"/>
      <c r="Q9" s="57"/>
      <c r="R9" s="42" t="str">
        <f t="shared" si="0"/>
        <v>28</v>
      </c>
      <c r="S9" s="42" t="s">
        <v>5</v>
      </c>
      <c r="T9" s="55" t="str">
        <f t="shared" si="1"/>
        <v>aa 00 04 22 02 00 00 28 55</v>
      </c>
      <c r="U9" s="354" t="s">
        <v>60</v>
      </c>
      <c r="V9" s="354"/>
      <c r="W9" s="354"/>
      <c r="X9" s="354"/>
      <c r="Y9" s="354"/>
      <c r="Z9" s="354"/>
      <c r="AA9" s="354"/>
      <c r="AB9" s="354"/>
    </row>
    <row r="10" spans="2:28" x14ac:dyDescent="0.25">
      <c r="B10" s="1" t="s">
        <v>0</v>
      </c>
      <c r="C10" s="1" t="s">
        <v>1</v>
      </c>
      <c r="D10" s="1" t="s">
        <v>2</v>
      </c>
      <c r="E10" s="2" t="s">
        <v>56</v>
      </c>
      <c r="F10" s="2" t="s">
        <v>7</v>
      </c>
      <c r="G10" s="2" t="s">
        <v>1</v>
      </c>
      <c r="H10" s="4" t="s">
        <v>14</v>
      </c>
      <c r="I10" s="57"/>
      <c r="J10" s="57"/>
      <c r="K10" s="57"/>
      <c r="L10" s="57"/>
      <c r="M10" s="57"/>
      <c r="N10" s="57"/>
      <c r="O10" s="57"/>
      <c r="P10" s="57"/>
      <c r="Q10" s="57"/>
      <c r="R10" s="42" t="str">
        <f t="shared" si="0"/>
        <v>29</v>
      </c>
      <c r="S10" s="42" t="s">
        <v>5</v>
      </c>
      <c r="T10" s="55" t="str">
        <f t="shared" si="1"/>
        <v>aa 00 04 22 02 00 01 29 55</v>
      </c>
      <c r="U10" s="354" t="s">
        <v>61</v>
      </c>
      <c r="V10" s="354"/>
      <c r="W10" s="354"/>
      <c r="X10" s="354"/>
      <c r="Y10" s="354"/>
      <c r="Z10" s="354"/>
      <c r="AA10" s="354"/>
      <c r="AB10" s="354"/>
    </row>
    <row r="11" spans="2:28" x14ac:dyDescent="0.25">
      <c r="B11" s="1" t="s">
        <v>0</v>
      </c>
      <c r="C11" s="1" t="s">
        <v>1</v>
      </c>
      <c r="D11" s="1" t="s">
        <v>2</v>
      </c>
      <c r="E11" s="2" t="s">
        <v>56</v>
      </c>
      <c r="F11" s="2" t="s">
        <v>8</v>
      </c>
      <c r="G11" s="2" t="s">
        <v>1</v>
      </c>
      <c r="H11" s="4" t="s">
        <v>1</v>
      </c>
      <c r="I11" s="57"/>
      <c r="J11" s="57"/>
      <c r="K11" s="57"/>
      <c r="L11" s="57"/>
      <c r="M11" s="57"/>
      <c r="N11" s="57"/>
      <c r="O11" s="57"/>
      <c r="P11" s="57"/>
      <c r="Q11" s="57"/>
      <c r="R11" s="42" t="str">
        <f>DEC2HEX(MOD(HEX2DEC(C11)+HEX2DEC(D11)+HEX2DEC(E11)+HEX2DEC(F11)+HEX2DEC(G11)+HEX2DEC(H11)+HEX2DEC(I11)+HEX2DEC(J11)+HEX2DEC(K11)+HEX2DEC(L11)+HEX2DEC(M11)+HEX2DEC(N11)+HEX2DEC(Q11),256),2)</f>
        <v>29</v>
      </c>
      <c r="S11" s="42" t="s">
        <v>5</v>
      </c>
      <c r="T11" s="55" t="str">
        <f>IF(ISBLANK(B11),,B11&amp;" ")&amp;IF(ISBLANK(C11),,C11&amp;" ")&amp;IF(ISBLANK(D11),,D11&amp;" ")&amp;IF(ISBLANK(E11),,E11&amp;" ")&amp;IF(ISBLANK(F11),,F11&amp;" ")&amp;IF(ISBLANK(G11),,G11&amp;" ")&amp;IF(ISBLANK(H11),,H11&amp;" ")&amp;IF(ISBLANK(I11),,I11&amp;" ")&amp;IF(ISBLANK(J11),,J11&amp;" ")&amp;IF(ISBLANK(K11),,K11&amp;" ")&amp;IF(ISBLANK(L11),,L11&amp;" ")&amp;IF(ISBLANK(M11),,M11&amp;" ")&amp;IF(ISBLANK(N11),,N11&amp;" ")&amp;IF(ISBLANK(Q11),,Q11&amp;" ")&amp;IF(ISBLANK(R11),,R11&amp;" ")&amp;IF(ISBLANK(S11),,S11)</f>
        <v>aa 00 04 22 03 00 00 29 55</v>
      </c>
      <c r="U11" s="354" t="s">
        <v>62</v>
      </c>
      <c r="V11" s="354"/>
      <c r="W11" s="354"/>
      <c r="X11" s="354"/>
      <c r="Y11" s="354"/>
      <c r="Z11" s="354"/>
      <c r="AA11" s="354"/>
      <c r="AB11" s="354"/>
    </row>
    <row r="12" spans="2:28" x14ac:dyDescent="0.25">
      <c r="B12" s="1" t="s">
        <v>0</v>
      </c>
      <c r="C12" s="1" t="s">
        <v>1</v>
      </c>
      <c r="D12" s="1" t="s">
        <v>2</v>
      </c>
      <c r="E12" s="2" t="s">
        <v>56</v>
      </c>
      <c r="F12" s="2" t="s">
        <v>8</v>
      </c>
      <c r="G12" s="2" t="s">
        <v>1</v>
      </c>
      <c r="H12" s="4" t="s">
        <v>14</v>
      </c>
      <c r="I12" s="57"/>
      <c r="J12" s="57"/>
      <c r="K12" s="57"/>
      <c r="L12" s="57"/>
      <c r="M12" s="57"/>
      <c r="N12" s="57"/>
      <c r="O12" s="57"/>
      <c r="P12" s="57"/>
      <c r="Q12" s="57"/>
      <c r="R12" s="42" t="str">
        <f>DEC2HEX(MOD(HEX2DEC(C12)+HEX2DEC(D12)+HEX2DEC(E12)+HEX2DEC(F12)+HEX2DEC(G12)+HEX2DEC(H12)+HEX2DEC(I12)+HEX2DEC(J12)+HEX2DEC(K12)+HEX2DEC(L12)+HEX2DEC(M12)+HEX2DEC(N12)+HEX2DEC(Q12),256),2)</f>
        <v>2A</v>
      </c>
      <c r="S12" s="42" t="s">
        <v>5</v>
      </c>
      <c r="T12" s="55" t="str">
        <f>IF(ISBLANK(B12),,B12&amp;" ")&amp;IF(ISBLANK(C12),,C12&amp;" ")&amp;IF(ISBLANK(D12),,D12&amp;" ")&amp;IF(ISBLANK(E12),,E12&amp;" ")&amp;IF(ISBLANK(F12),,F12&amp;" ")&amp;IF(ISBLANK(G12),,G12&amp;" ")&amp;IF(ISBLANK(H12),,H12&amp;" ")&amp;IF(ISBLANK(I12),,I12&amp;" ")&amp;IF(ISBLANK(J12),,J12&amp;" ")&amp;IF(ISBLANK(K12),,K12&amp;" ")&amp;IF(ISBLANK(L12),,L12&amp;" ")&amp;IF(ISBLANK(M12),,M12&amp;" ")&amp;IF(ISBLANK(N12),,N12&amp;" ")&amp;IF(ISBLANK(Q12),,Q12&amp;" ")&amp;IF(ISBLANK(R12),,R12&amp;" ")&amp;IF(ISBLANK(S12),,S12)</f>
        <v>aa 00 04 22 03 00 01 2A 55</v>
      </c>
      <c r="U12" s="354" t="s">
        <v>63</v>
      </c>
      <c r="V12" s="354"/>
      <c r="W12" s="354"/>
      <c r="X12" s="354"/>
      <c r="Y12" s="354"/>
      <c r="Z12" s="354"/>
      <c r="AA12" s="354"/>
      <c r="AB12" s="354"/>
    </row>
    <row r="13" spans="2:28" x14ac:dyDescent="0.25">
      <c r="B13" s="604" t="s">
        <v>279</v>
      </c>
      <c r="C13" s="604"/>
      <c r="D13" s="604"/>
      <c r="E13" s="604"/>
      <c r="F13" s="604"/>
      <c r="G13" s="604"/>
      <c r="H13" s="604"/>
      <c r="I13" s="604"/>
      <c r="J13" s="604"/>
      <c r="K13" s="604"/>
      <c r="L13" s="604"/>
      <c r="M13" s="604"/>
      <c r="N13" s="604"/>
      <c r="O13" s="604"/>
      <c r="P13" s="604"/>
      <c r="Q13" s="604"/>
      <c r="R13" s="604"/>
      <c r="S13" s="604"/>
      <c r="T13" s="56"/>
      <c r="U13" s="604"/>
      <c r="V13" s="604"/>
      <c r="W13" s="604"/>
      <c r="X13" s="604"/>
      <c r="Y13" s="604"/>
      <c r="Z13" s="604"/>
      <c r="AA13" s="604"/>
      <c r="AB13" s="604"/>
    </row>
    <row r="14" spans="2:28" x14ac:dyDescent="0.25">
      <c r="B14" s="5" t="s">
        <v>0</v>
      </c>
      <c r="C14" s="5" t="s">
        <v>1</v>
      </c>
      <c r="D14" s="5" t="s">
        <v>8</v>
      </c>
      <c r="E14" s="6" t="s">
        <v>56</v>
      </c>
      <c r="F14" s="6" t="s">
        <v>1</v>
      </c>
      <c r="G14" s="6" t="s">
        <v>4</v>
      </c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42" t="str">
        <f>DEC2HEX(MOD(HEX2DEC(C14)+HEX2DEC(D14)+HEX2DEC(E14)+HEX2DEC(F14)+HEX2DEC(G14)+HEX2DEC(H14)+HEX2DEC(I14)+HEX2DEC(J14)+HEX2DEC(K14)+HEX2DEC(L14)+HEX2DEC(M14)+HEX2DEC(N14)+HEX2DEC(Q14),256),2)</f>
        <v>26</v>
      </c>
      <c r="S14" s="42" t="s">
        <v>5</v>
      </c>
      <c r="T14" s="55" t="str">
        <f>IF(ISBLANK(B14),,B14&amp;" ")&amp;IF(ISBLANK(C14),,C14&amp;" ")&amp;IF(ISBLANK(D14),,D14&amp;" ")&amp;IF(ISBLANK(E14),,E14&amp;" ")&amp;IF(ISBLANK(F14),,F14&amp;" ")&amp;IF(ISBLANK(G14),,G14&amp;" ")&amp;IF(ISBLANK(H14),,H14&amp;" ")&amp;IF(ISBLANK(I14),,I14&amp;" ")&amp;IF(ISBLANK(J14),,J14&amp;" ")&amp;IF(ISBLANK(K14),,K14&amp;" ")&amp;IF(ISBLANK(L14),,L14&amp;" ")&amp;IF(ISBLANK(M14),,M14&amp;" ")&amp;IF(ISBLANK(N14),,N14&amp;" ")&amp;IF(ISBLANK(Q14),,Q14&amp;" ")&amp;IF(ISBLANK(R14),,R14&amp;" ")&amp;IF(ISBLANK(S14),,S14)</f>
        <v>aa 00 03 22 00 01 26 55</v>
      </c>
      <c r="U14" s="519" t="s">
        <v>280</v>
      </c>
      <c r="V14" s="519"/>
      <c r="W14" s="519"/>
      <c r="X14" s="519"/>
      <c r="Y14" s="519"/>
      <c r="Z14" s="519"/>
      <c r="AA14" s="519"/>
      <c r="AB14" s="519"/>
    </row>
    <row r="15" spans="2:28" s="39" customFormat="1" x14ac:dyDescent="0.25">
      <c r="B15" s="63"/>
      <c r="C15" s="63"/>
      <c r="D15" s="63"/>
      <c r="E15" s="64"/>
      <c r="F15" s="64"/>
      <c r="G15" s="64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6"/>
      <c r="S15" s="66"/>
      <c r="T15" s="67"/>
      <c r="U15" s="68"/>
      <c r="V15" s="68"/>
      <c r="W15" s="68"/>
      <c r="X15" s="68"/>
      <c r="Y15" s="68"/>
      <c r="Z15" s="68"/>
      <c r="AA15" s="68"/>
      <c r="AB15" s="68"/>
    </row>
    <row r="17" spans="2:28" ht="22.2" x14ac:dyDescent="0.25">
      <c r="B17" s="602" t="s">
        <v>281</v>
      </c>
      <c r="C17" s="602"/>
      <c r="D17" s="602"/>
      <c r="E17" s="602"/>
      <c r="F17" s="602"/>
      <c r="G17" s="602"/>
      <c r="H17" s="602"/>
      <c r="I17" s="602"/>
      <c r="J17" s="602"/>
      <c r="K17" s="602"/>
      <c r="L17" s="602"/>
      <c r="M17" s="602"/>
      <c r="N17" s="602"/>
      <c r="O17" s="602"/>
      <c r="P17" s="602"/>
      <c r="Q17" s="602"/>
      <c r="R17" s="602"/>
      <c r="S17" s="602"/>
      <c r="T17" s="602"/>
      <c r="U17" s="602"/>
      <c r="V17" s="602"/>
      <c r="W17" s="602"/>
      <c r="X17" s="602"/>
      <c r="Y17" s="602"/>
      <c r="Z17" s="602"/>
      <c r="AA17" s="602"/>
      <c r="AB17" s="602"/>
    </row>
    <row r="18" spans="2:28" ht="20.100000000000001" customHeight="1" x14ac:dyDescent="0.25">
      <c r="B18" s="52" t="s">
        <v>77</v>
      </c>
      <c r="C18" s="44" t="s">
        <v>78</v>
      </c>
      <c r="D18" s="44" t="s">
        <v>10</v>
      </c>
      <c r="E18" s="44" t="s">
        <v>79</v>
      </c>
      <c r="F18" s="44" t="s">
        <v>80</v>
      </c>
      <c r="G18" s="44" t="s">
        <v>11</v>
      </c>
      <c r="H18" s="436" t="s">
        <v>83</v>
      </c>
      <c r="I18" s="436"/>
      <c r="J18" s="436"/>
      <c r="K18" s="436"/>
      <c r="L18" s="436"/>
      <c r="M18" s="436"/>
      <c r="N18" s="436"/>
      <c r="O18" s="436"/>
      <c r="P18" s="436"/>
      <c r="Q18" s="436"/>
      <c r="R18" s="44" t="s">
        <v>81</v>
      </c>
      <c r="S18" s="44" t="s">
        <v>82</v>
      </c>
      <c r="T18" s="51" t="s">
        <v>276</v>
      </c>
      <c r="U18" s="439" t="s">
        <v>6</v>
      </c>
      <c r="V18" s="439"/>
      <c r="W18" s="439"/>
      <c r="X18" s="439"/>
      <c r="Y18" s="439"/>
      <c r="Z18" s="439"/>
      <c r="AA18" s="439"/>
      <c r="AB18" s="439"/>
    </row>
    <row r="19" spans="2:28" ht="20.100000000000001" customHeight="1" x14ac:dyDescent="0.25">
      <c r="B19" s="446" t="s">
        <v>282</v>
      </c>
      <c r="C19" s="446"/>
      <c r="D19" s="446"/>
      <c r="E19" s="446"/>
      <c r="F19" s="446"/>
      <c r="G19" s="446"/>
      <c r="H19" s="446"/>
      <c r="I19" s="446"/>
      <c r="J19" s="446"/>
      <c r="K19" s="446"/>
      <c r="L19" s="446"/>
      <c r="M19" s="446"/>
      <c r="N19" s="446"/>
      <c r="O19" s="446"/>
      <c r="P19" s="446"/>
      <c r="Q19" s="446"/>
      <c r="R19" s="446"/>
      <c r="S19" s="446"/>
      <c r="T19" s="53"/>
      <c r="U19" s="603"/>
      <c r="V19" s="603"/>
      <c r="W19" s="603"/>
      <c r="X19" s="603"/>
      <c r="Y19" s="603"/>
      <c r="Z19" s="603"/>
      <c r="AA19" s="603"/>
      <c r="AB19" s="603"/>
    </row>
    <row r="20" spans="2:28" ht="20.100000000000001" customHeight="1" x14ac:dyDescent="0.25">
      <c r="B20" s="1" t="s">
        <v>0</v>
      </c>
      <c r="C20" s="1" t="s">
        <v>1</v>
      </c>
      <c r="D20" s="1" t="s">
        <v>2</v>
      </c>
      <c r="E20" s="2" t="s">
        <v>3</v>
      </c>
      <c r="F20" s="2" t="s">
        <v>1</v>
      </c>
      <c r="G20" s="2" t="s">
        <v>1</v>
      </c>
      <c r="H20" s="4" t="s">
        <v>1</v>
      </c>
      <c r="I20" s="57"/>
      <c r="J20" s="57"/>
      <c r="K20" s="57"/>
      <c r="L20" s="57"/>
      <c r="M20" s="57"/>
      <c r="N20" s="57"/>
      <c r="O20" s="57"/>
      <c r="P20" s="57"/>
      <c r="Q20" s="57"/>
      <c r="R20" s="42" t="str">
        <f t="shared" ref="R20:R27" si="2">DEC2HEX(MOD(HEX2DEC(C20)+HEX2DEC(D20)+HEX2DEC(E20)+HEX2DEC(F20)+HEX2DEC(G20)+HEX2DEC(H20)+HEX2DEC(I20)+HEX2DEC(J20)+HEX2DEC(K20)+HEX2DEC(L20)+HEX2DEC(M20)+HEX2DEC(N20)+HEX2DEC(Q20),256),2)</f>
        <v>25</v>
      </c>
      <c r="S20" s="42" t="s">
        <v>5</v>
      </c>
      <c r="T20" s="55" t="str">
        <f t="shared" ref="T20:T27" si="3">IF(ISBLANK(B20),,B20&amp;" ")&amp;IF(ISBLANK(C20),,C20&amp;" ")&amp;IF(ISBLANK(D20),,D20&amp;" ")&amp;IF(ISBLANK(E20),,E20&amp;" ")&amp;IF(ISBLANK(F20),,F20&amp;" ")&amp;IF(ISBLANK(G20),,G20&amp;" ")&amp;IF(ISBLANK(H20),,H20&amp;" ")&amp;IF(ISBLANK(I20),,I20&amp;" ")&amp;IF(ISBLANK(J20),,J20&amp;" ")&amp;IF(ISBLANK(K20),,K20&amp;" ")&amp;IF(ISBLANK(L20),,L20&amp;" ")&amp;IF(ISBLANK(M20),,M20&amp;" ")&amp;IF(ISBLANK(N20),,N20&amp;" ")&amp;IF(ISBLANK(Q20),,Q20&amp;" ")&amp;IF(ISBLANK(R20),,R20&amp;" ")&amp;IF(ISBLANK(S20),,S20)</f>
        <v>aa 00 04 21 00 00 00 25 55</v>
      </c>
      <c r="U20" s="473" t="s">
        <v>561</v>
      </c>
      <c r="V20" s="473"/>
      <c r="W20" s="473"/>
      <c r="X20" s="473"/>
      <c r="Y20" s="473"/>
      <c r="Z20" s="473"/>
      <c r="AA20" s="473"/>
      <c r="AB20" s="473"/>
    </row>
    <row r="21" spans="2:28" ht="20.100000000000001" customHeight="1" x14ac:dyDescent="0.25">
      <c r="B21" s="1" t="s">
        <v>0</v>
      </c>
      <c r="C21" s="1" t="s">
        <v>1</v>
      </c>
      <c r="D21" s="1" t="s">
        <v>2</v>
      </c>
      <c r="E21" s="2" t="s">
        <v>3</v>
      </c>
      <c r="F21" s="2" t="s">
        <v>1</v>
      </c>
      <c r="G21" s="2" t="s">
        <v>1</v>
      </c>
      <c r="H21" s="4" t="s">
        <v>14</v>
      </c>
      <c r="I21" s="57"/>
      <c r="J21" s="57"/>
      <c r="K21" s="57"/>
      <c r="L21" s="57"/>
      <c r="M21" s="57"/>
      <c r="N21" s="57"/>
      <c r="O21" s="57"/>
      <c r="P21" s="57"/>
      <c r="Q21" s="57"/>
      <c r="R21" s="42" t="str">
        <f t="shared" si="2"/>
        <v>26</v>
      </c>
      <c r="S21" s="42" t="s">
        <v>5</v>
      </c>
      <c r="T21" s="55" t="str">
        <f t="shared" si="3"/>
        <v>aa 00 04 21 00 00 01 26 55</v>
      </c>
      <c r="U21" s="473" t="s">
        <v>66</v>
      </c>
      <c r="V21" s="473"/>
      <c r="W21" s="473"/>
      <c r="X21" s="473"/>
      <c r="Y21" s="473"/>
      <c r="Z21" s="473"/>
      <c r="AA21" s="473"/>
      <c r="AB21" s="473"/>
    </row>
    <row r="22" spans="2:28" ht="20.100000000000001" customHeight="1" x14ac:dyDescent="0.25">
      <c r="B22" s="1" t="s">
        <v>0</v>
      </c>
      <c r="C22" s="1" t="s">
        <v>1</v>
      </c>
      <c r="D22" s="1" t="s">
        <v>2</v>
      </c>
      <c r="E22" s="2" t="s">
        <v>3</v>
      </c>
      <c r="F22" s="2" t="s">
        <v>4</v>
      </c>
      <c r="G22" s="2" t="s">
        <v>1</v>
      </c>
      <c r="H22" s="4" t="s">
        <v>1</v>
      </c>
      <c r="I22" s="57"/>
      <c r="J22" s="57"/>
      <c r="K22" s="57"/>
      <c r="L22" s="57"/>
      <c r="M22" s="57"/>
      <c r="N22" s="57"/>
      <c r="O22" s="57"/>
      <c r="P22" s="57"/>
      <c r="Q22" s="57"/>
      <c r="R22" s="42" t="str">
        <f t="shared" si="2"/>
        <v>26</v>
      </c>
      <c r="S22" s="42" t="s">
        <v>5</v>
      </c>
      <c r="T22" s="55" t="str">
        <f t="shared" si="3"/>
        <v>aa 00 04 21 01 00 00 26 55</v>
      </c>
      <c r="U22" s="473" t="s">
        <v>67</v>
      </c>
      <c r="V22" s="473"/>
      <c r="W22" s="473"/>
      <c r="X22" s="473"/>
      <c r="Y22" s="473"/>
      <c r="Z22" s="473"/>
      <c r="AA22" s="473"/>
      <c r="AB22" s="473"/>
    </row>
    <row r="23" spans="2:28" ht="20.100000000000001" customHeight="1" x14ac:dyDescent="0.25">
      <c r="B23" s="1" t="s">
        <v>0</v>
      </c>
      <c r="C23" s="1" t="s">
        <v>1</v>
      </c>
      <c r="D23" s="1" t="s">
        <v>2</v>
      </c>
      <c r="E23" s="2" t="s">
        <v>3</v>
      </c>
      <c r="F23" s="2" t="s">
        <v>4</v>
      </c>
      <c r="G23" s="2" t="s">
        <v>1</v>
      </c>
      <c r="H23" s="4" t="s">
        <v>14</v>
      </c>
      <c r="I23" s="57"/>
      <c r="J23" s="57"/>
      <c r="K23" s="57"/>
      <c r="L23" s="57"/>
      <c r="M23" s="57"/>
      <c r="N23" s="57"/>
      <c r="O23" s="57"/>
      <c r="P23" s="57"/>
      <c r="Q23" s="57"/>
      <c r="R23" s="42" t="str">
        <f t="shared" si="2"/>
        <v>27</v>
      </c>
      <c r="S23" s="42" t="s">
        <v>5</v>
      </c>
      <c r="T23" s="55" t="str">
        <f t="shared" si="3"/>
        <v>aa 00 04 21 01 00 01 27 55</v>
      </c>
      <c r="U23" s="473" t="s">
        <v>68</v>
      </c>
      <c r="V23" s="473"/>
      <c r="W23" s="473"/>
      <c r="X23" s="473"/>
      <c r="Y23" s="473"/>
      <c r="Z23" s="473"/>
      <c r="AA23" s="473"/>
      <c r="AB23" s="473"/>
    </row>
    <row r="24" spans="2:28" ht="20.100000000000001" customHeight="1" x14ac:dyDescent="0.25">
      <c r="B24" s="1" t="s">
        <v>0</v>
      </c>
      <c r="C24" s="1" t="s">
        <v>1</v>
      </c>
      <c r="D24" s="1" t="s">
        <v>2</v>
      </c>
      <c r="E24" s="2" t="s">
        <v>3</v>
      </c>
      <c r="F24" s="2" t="s">
        <v>7</v>
      </c>
      <c r="G24" s="2" t="s">
        <v>1</v>
      </c>
      <c r="H24" s="4" t="s">
        <v>1</v>
      </c>
      <c r="I24" s="57"/>
      <c r="J24" s="57"/>
      <c r="K24" s="57"/>
      <c r="L24" s="57"/>
      <c r="M24" s="57"/>
      <c r="N24" s="57"/>
      <c r="O24" s="57"/>
      <c r="P24" s="57"/>
      <c r="Q24" s="57"/>
      <c r="R24" s="42" t="str">
        <f t="shared" si="2"/>
        <v>27</v>
      </c>
      <c r="S24" s="42" t="s">
        <v>5</v>
      </c>
      <c r="T24" s="55" t="str">
        <f t="shared" si="3"/>
        <v>aa 00 04 21 02 00 00 27 55</v>
      </c>
      <c r="U24" s="473" t="s">
        <v>283</v>
      </c>
      <c r="V24" s="473"/>
      <c r="W24" s="473"/>
      <c r="X24" s="473"/>
      <c r="Y24" s="473"/>
      <c r="Z24" s="473"/>
      <c r="AA24" s="473"/>
      <c r="AB24" s="473"/>
    </row>
    <row r="25" spans="2:28" ht="20.100000000000001" customHeight="1" x14ac:dyDescent="0.25">
      <c r="B25" s="1" t="s">
        <v>0</v>
      </c>
      <c r="C25" s="1" t="s">
        <v>1</v>
      </c>
      <c r="D25" s="1" t="s">
        <v>2</v>
      </c>
      <c r="E25" s="2" t="s">
        <v>3</v>
      </c>
      <c r="F25" s="2" t="s">
        <v>7</v>
      </c>
      <c r="G25" s="2" t="s">
        <v>1</v>
      </c>
      <c r="H25" s="4" t="s">
        <v>14</v>
      </c>
      <c r="I25" s="57"/>
      <c r="J25" s="57"/>
      <c r="K25" s="57"/>
      <c r="L25" s="57"/>
      <c r="M25" s="57"/>
      <c r="N25" s="57"/>
      <c r="O25" s="57"/>
      <c r="P25" s="57"/>
      <c r="Q25" s="57"/>
      <c r="R25" s="42" t="str">
        <f t="shared" si="2"/>
        <v>28</v>
      </c>
      <c r="S25" s="42" t="s">
        <v>5</v>
      </c>
      <c r="T25" s="55" t="str">
        <f t="shared" si="3"/>
        <v>aa 00 04 21 02 00 01 28 55</v>
      </c>
      <c r="U25" s="473" t="s">
        <v>284</v>
      </c>
      <c r="V25" s="473"/>
      <c r="W25" s="473"/>
      <c r="X25" s="473"/>
      <c r="Y25" s="473"/>
      <c r="Z25" s="473"/>
      <c r="AA25" s="473"/>
      <c r="AB25" s="473"/>
    </row>
    <row r="26" spans="2:28" ht="20.100000000000001" customHeight="1" x14ac:dyDescent="0.25">
      <c r="B26" s="1" t="s">
        <v>0</v>
      </c>
      <c r="C26" s="1" t="s">
        <v>1</v>
      </c>
      <c r="D26" s="1" t="s">
        <v>2</v>
      </c>
      <c r="E26" s="2" t="s">
        <v>3</v>
      </c>
      <c r="F26" s="2" t="s">
        <v>8</v>
      </c>
      <c r="G26" s="2" t="s">
        <v>1</v>
      </c>
      <c r="H26" s="4" t="s">
        <v>1</v>
      </c>
      <c r="I26" s="57"/>
      <c r="J26" s="57"/>
      <c r="K26" s="57"/>
      <c r="L26" s="57"/>
      <c r="M26" s="57"/>
      <c r="N26" s="57"/>
      <c r="O26" s="57"/>
      <c r="P26" s="57"/>
      <c r="Q26" s="57"/>
      <c r="R26" s="42" t="str">
        <f t="shared" si="2"/>
        <v>28</v>
      </c>
      <c r="S26" s="42" t="s">
        <v>5</v>
      </c>
      <c r="T26" s="55" t="str">
        <f t="shared" si="3"/>
        <v>aa 00 04 21 03 00 00 28 55</v>
      </c>
      <c r="U26" s="473" t="s">
        <v>285</v>
      </c>
      <c r="V26" s="473"/>
      <c r="W26" s="473"/>
      <c r="X26" s="473"/>
      <c r="Y26" s="473"/>
      <c r="Z26" s="473"/>
      <c r="AA26" s="473"/>
      <c r="AB26" s="473"/>
    </row>
    <row r="27" spans="2:28" ht="20.100000000000001" customHeight="1" x14ac:dyDescent="0.25">
      <c r="B27" s="1" t="s">
        <v>0</v>
      </c>
      <c r="C27" s="1" t="s">
        <v>1</v>
      </c>
      <c r="D27" s="1" t="s">
        <v>2</v>
      </c>
      <c r="E27" s="2" t="s">
        <v>3</v>
      </c>
      <c r="F27" s="2" t="s">
        <v>8</v>
      </c>
      <c r="G27" s="2" t="s">
        <v>1</v>
      </c>
      <c r="H27" s="4" t="s">
        <v>14</v>
      </c>
      <c r="I27" s="57"/>
      <c r="J27" s="57"/>
      <c r="K27" s="57"/>
      <c r="L27" s="57"/>
      <c r="M27" s="57"/>
      <c r="N27" s="57"/>
      <c r="O27" s="57"/>
      <c r="P27" s="57"/>
      <c r="Q27" s="57"/>
      <c r="R27" s="42" t="str">
        <f t="shared" si="2"/>
        <v>29</v>
      </c>
      <c r="S27" s="42" t="s">
        <v>5</v>
      </c>
      <c r="T27" s="55" t="str">
        <f t="shared" si="3"/>
        <v>aa 00 04 21 03 00 01 29 55</v>
      </c>
      <c r="U27" s="473" t="s">
        <v>286</v>
      </c>
      <c r="V27" s="473"/>
      <c r="W27" s="473"/>
      <c r="X27" s="473"/>
      <c r="Y27" s="473"/>
      <c r="Z27" s="473"/>
      <c r="AA27" s="473"/>
      <c r="AB27" s="473"/>
    </row>
    <row r="28" spans="2:28" ht="20.100000000000001" customHeight="1" x14ac:dyDescent="0.25">
      <c r="B28" s="446" t="s">
        <v>293</v>
      </c>
      <c r="C28" s="446"/>
      <c r="D28" s="446"/>
      <c r="E28" s="446"/>
      <c r="F28" s="446"/>
      <c r="G28" s="446"/>
      <c r="H28" s="446"/>
      <c r="I28" s="446"/>
      <c r="J28" s="446"/>
      <c r="K28" s="446"/>
      <c r="L28" s="446"/>
      <c r="M28" s="446"/>
      <c r="N28" s="446"/>
      <c r="O28" s="446"/>
      <c r="P28" s="446"/>
      <c r="Q28" s="446"/>
      <c r="R28" s="446"/>
      <c r="S28" s="446"/>
      <c r="T28" s="53"/>
      <c r="U28" s="603"/>
      <c r="V28" s="603"/>
      <c r="W28" s="603"/>
      <c r="X28" s="603"/>
      <c r="Y28" s="603"/>
      <c r="Z28" s="603"/>
      <c r="AA28" s="603"/>
      <c r="AB28" s="603"/>
    </row>
    <row r="29" spans="2:28" ht="20.100000000000001" customHeight="1" x14ac:dyDescent="0.25">
      <c r="B29" s="1" t="s">
        <v>0</v>
      </c>
      <c r="C29" s="1" t="s">
        <v>1</v>
      </c>
      <c r="D29" s="1" t="s">
        <v>2</v>
      </c>
      <c r="E29" s="2" t="s">
        <v>3</v>
      </c>
      <c r="F29" s="2" t="s">
        <v>1</v>
      </c>
      <c r="G29" s="2" t="s">
        <v>4</v>
      </c>
      <c r="H29" s="4" t="s">
        <v>70</v>
      </c>
      <c r="I29" s="57"/>
      <c r="J29" s="57"/>
      <c r="K29" s="57"/>
      <c r="L29" s="57"/>
      <c r="M29" s="57"/>
      <c r="N29" s="57"/>
      <c r="O29" s="57"/>
      <c r="P29" s="57"/>
      <c r="Q29" s="57"/>
      <c r="R29" s="42" t="str">
        <f>DEC2HEX(MOD(HEX2DEC(C29)+HEX2DEC(D29)+HEX2DEC(E29)+HEX2DEC(F29)+HEX2DEC(G29)+HEX2DEC(H29)+HEX2DEC(I29)+HEX2DEC(J29)+HEX2DEC(K29)+HEX2DEC(L29)+HEX2DEC(M29)+HEX2DEC(N29)+HEX2DEC(Q29),256),2)</f>
        <v>36</v>
      </c>
      <c r="S29" s="42" t="s">
        <v>5</v>
      </c>
      <c r="T29" s="55" t="str">
        <f>IF(ISBLANK(B29),,B29&amp;" ")&amp;IF(ISBLANK(C29),,C29&amp;" ")&amp;IF(ISBLANK(D29),,D29&amp;" ")&amp;IF(ISBLANK(E29),,E29&amp;" ")&amp;IF(ISBLANK(F29),,F29&amp;" ")&amp;IF(ISBLANK(G29),,G29&amp;" ")&amp;IF(ISBLANK(H29),,H29&amp;" ")&amp;IF(ISBLANK(I29),,I29&amp;" ")&amp;IF(ISBLANK(J29),,J29&amp;" ")&amp;IF(ISBLANK(K29),,K29&amp;" ")&amp;IF(ISBLANK(L29),,L29&amp;" ")&amp;IF(ISBLANK(M29),,M29&amp;" ")&amp;IF(ISBLANK(N29),,N29&amp;" ")&amp;IF(ISBLANK(Q29),,Q29&amp;" ")&amp;IF(ISBLANK(R29),,R29&amp;" ")&amp;IF(ISBLANK(S29),,S29)</f>
        <v>aa 00 04 21 00 01 10 36 55</v>
      </c>
      <c r="U29" s="473" t="s">
        <v>288</v>
      </c>
      <c r="V29" s="473"/>
      <c r="W29" s="473"/>
      <c r="X29" s="473"/>
      <c r="Y29" s="473"/>
      <c r="Z29" s="473"/>
      <c r="AA29" s="473"/>
      <c r="AB29" s="473"/>
    </row>
    <row r="30" spans="2:28" ht="20.100000000000001" customHeight="1" x14ac:dyDescent="0.25">
      <c r="B30" s="604" t="s">
        <v>289</v>
      </c>
      <c r="C30" s="604"/>
      <c r="D30" s="604"/>
      <c r="E30" s="604"/>
      <c r="F30" s="604"/>
      <c r="G30" s="604"/>
      <c r="H30" s="604"/>
      <c r="I30" s="604"/>
      <c r="J30" s="604"/>
      <c r="K30" s="604"/>
      <c r="L30" s="604"/>
      <c r="M30" s="604"/>
      <c r="N30" s="604"/>
      <c r="O30" s="604"/>
      <c r="P30" s="604"/>
      <c r="Q30" s="604"/>
      <c r="R30" s="604"/>
      <c r="S30" s="604"/>
      <c r="T30" s="53"/>
      <c r="U30" s="603"/>
      <c r="V30" s="603"/>
      <c r="W30" s="603"/>
      <c r="X30" s="603"/>
      <c r="Y30" s="603"/>
      <c r="Z30" s="603"/>
      <c r="AA30" s="603"/>
      <c r="AB30" s="603"/>
    </row>
    <row r="31" spans="2:28" ht="20.100000000000001" customHeight="1" x14ac:dyDescent="0.25">
      <c r="B31" s="1" t="s">
        <v>0</v>
      </c>
      <c r="C31" s="1" t="s">
        <v>1</v>
      </c>
      <c r="D31" s="1" t="s">
        <v>2</v>
      </c>
      <c r="E31" s="2" t="s">
        <v>3</v>
      </c>
      <c r="F31" s="2" t="s">
        <v>4</v>
      </c>
      <c r="G31" s="2" t="s">
        <v>7</v>
      </c>
      <c r="H31" s="4" t="s">
        <v>1</v>
      </c>
      <c r="I31" s="57"/>
      <c r="J31" s="57"/>
      <c r="K31" s="57"/>
      <c r="L31" s="57"/>
      <c r="M31" s="57"/>
      <c r="N31" s="57"/>
      <c r="O31" s="57"/>
      <c r="P31" s="57"/>
      <c r="Q31" s="57"/>
      <c r="R31" s="42" t="str">
        <f>DEC2HEX(MOD(HEX2DEC(C31)+HEX2DEC(D31)+HEX2DEC(E31)+HEX2DEC(F31)+HEX2DEC(G31)+HEX2DEC(H31)+HEX2DEC(I31)+HEX2DEC(J31)+HEX2DEC(K31)+HEX2DEC(L31)+HEX2DEC(M31)+HEX2DEC(N31)+HEX2DEC(Q31),256),2)</f>
        <v>28</v>
      </c>
      <c r="S31" s="42" t="s">
        <v>5</v>
      </c>
      <c r="T31" s="55" t="str">
        <f>IF(ISBLANK(B31),,B31&amp;" ")&amp;IF(ISBLANK(C31),,C31&amp;" ")&amp;IF(ISBLANK(D31),,D31&amp;" ")&amp;IF(ISBLANK(E31),,E31&amp;" ")&amp;IF(ISBLANK(F31),,F31&amp;" ")&amp;IF(ISBLANK(G31),,G31&amp;" ")&amp;IF(ISBLANK(H31),,H31&amp;" ")&amp;IF(ISBLANK(I31),,I31&amp;" ")&amp;IF(ISBLANK(J31),,J31&amp;" ")&amp;IF(ISBLANK(K31),,K31&amp;" ")&amp;IF(ISBLANK(L31),,L31&amp;" ")&amp;IF(ISBLANK(M31),,M31&amp;" ")&amp;IF(ISBLANK(N31),,N31&amp;" ")&amp;IF(ISBLANK(Q31),,Q31&amp;" ")&amp;IF(ISBLANK(R31),,R31&amp;" ")&amp;IF(ISBLANK(S31),,S31)</f>
        <v>aa 00 04 21 01 02 00 28 55</v>
      </c>
      <c r="U31" s="473" t="s">
        <v>290</v>
      </c>
      <c r="V31" s="473"/>
      <c r="W31" s="473"/>
      <c r="X31" s="473"/>
      <c r="Y31" s="473"/>
      <c r="Z31" s="473"/>
      <c r="AA31" s="473"/>
      <c r="AB31" s="473"/>
    </row>
    <row r="32" spans="2:28" ht="20.100000000000001" customHeight="1" x14ac:dyDescent="0.25">
      <c r="B32" s="1" t="s">
        <v>0</v>
      </c>
      <c r="C32" s="1" t="s">
        <v>1</v>
      </c>
      <c r="D32" s="1" t="s">
        <v>2</v>
      </c>
      <c r="E32" s="2" t="s">
        <v>3</v>
      </c>
      <c r="F32" s="2" t="s">
        <v>15</v>
      </c>
      <c r="G32" s="2" t="s">
        <v>7</v>
      </c>
      <c r="H32" s="4" t="s">
        <v>1</v>
      </c>
      <c r="I32" s="57"/>
      <c r="J32" s="57"/>
      <c r="K32" s="57"/>
      <c r="L32" s="57"/>
      <c r="M32" s="57"/>
      <c r="N32" s="57"/>
      <c r="O32" s="57"/>
      <c r="P32" s="57"/>
      <c r="Q32" s="57"/>
      <c r="R32" s="42" t="str">
        <f>DEC2HEX(MOD(HEX2DEC(C32)+HEX2DEC(D32)+HEX2DEC(E32)+HEX2DEC(F32)+HEX2DEC(G32)+HEX2DEC(H32)+HEX2DEC(I32)+HEX2DEC(J32)+HEX2DEC(K32)+HEX2DEC(L32)+HEX2DEC(M32)+HEX2DEC(N32)+HEX2DEC(Q32),256),2)</f>
        <v>29</v>
      </c>
      <c r="S32" s="42" t="s">
        <v>5</v>
      </c>
      <c r="T32" s="55" t="str">
        <f>IF(ISBLANK(B32),,B32&amp;" ")&amp;IF(ISBLANK(C32),,C32&amp;" ")&amp;IF(ISBLANK(D32),,D32&amp;" ")&amp;IF(ISBLANK(E32),,E32&amp;" ")&amp;IF(ISBLANK(F32),,F32&amp;" ")&amp;IF(ISBLANK(G32),,G32&amp;" ")&amp;IF(ISBLANK(H32),,H32&amp;" ")&amp;IF(ISBLANK(I32),,I32&amp;" ")&amp;IF(ISBLANK(J32),,J32&amp;" ")&amp;IF(ISBLANK(K32),,K32&amp;" ")&amp;IF(ISBLANK(L32),,L32&amp;" ")&amp;IF(ISBLANK(M32),,M32&amp;" ")&amp;IF(ISBLANK(N32),,N32&amp;" ")&amp;IF(ISBLANK(Q32),,Q32&amp;" ")&amp;IF(ISBLANK(R32),,R32&amp;" ")&amp;IF(ISBLANK(S32),,S32)</f>
        <v>aa 00 04 21 02 02 00 29 55</v>
      </c>
      <c r="U32" s="473" t="s">
        <v>291</v>
      </c>
      <c r="V32" s="473"/>
      <c r="W32" s="473"/>
      <c r="X32" s="473"/>
      <c r="Y32" s="473"/>
      <c r="Z32" s="473"/>
      <c r="AA32" s="473"/>
      <c r="AB32" s="473"/>
    </row>
    <row r="33" spans="2:29" ht="20.100000000000001" customHeight="1" x14ac:dyDescent="0.25">
      <c r="B33" s="1" t="s">
        <v>0</v>
      </c>
      <c r="C33" s="1" t="s">
        <v>1</v>
      </c>
      <c r="D33" s="1" t="s">
        <v>2</v>
      </c>
      <c r="E33" s="2" t="s">
        <v>3</v>
      </c>
      <c r="F33" s="2" t="s">
        <v>13</v>
      </c>
      <c r="G33" s="2" t="s">
        <v>7</v>
      </c>
      <c r="H33" s="4" t="s">
        <v>1</v>
      </c>
      <c r="I33" s="57"/>
      <c r="J33" s="57"/>
      <c r="K33" s="57"/>
      <c r="L33" s="57"/>
      <c r="M33" s="57"/>
      <c r="N33" s="57"/>
      <c r="O33" s="57"/>
      <c r="P33" s="57"/>
      <c r="Q33" s="57"/>
      <c r="R33" s="42" t="str">
        <f>DEC2HEX(MOD(HEX2DEC(C33)+HEX2DEC(D33)+HEX2DEC(E33)+HEX2DEC(F33)+HEX2DEC(G33)+HEX2DEC(H33)+HEX2DEC(I33)+HEX2DEC(J33)+HEX2DEC(K33)+HEX2DEC(L33)+HEX2DEC(M33)+HEX2DEC(N33)+HEX2DEC(Q33),256),2)</f>
        <v>2A</v>
      </c>
      <c r="S33" s="42" t="s">
        <v>5</v>
      </c>
      <c r="T33" s="55" t="str">
        <f>IF(ISBLANK(B33),,B33&amp;" ")&amp;IF(ISBLANK(C33),,C33&amp;" ")&amp;IF(ISBLANK(D33),,D33&amp;" ")&amp;IF(ISBLANK(E33),,E33&amp;" ")&amp;IF(ISBLANK(F33),,F33&amp;" ")&amp;IF(ISBLANK(G33),,G33&amp;" ")&amp;IF(ISBLANK(H33),,H33&amp;" ")&amp;IF(ISBLANK(I33),,I33&amp;" ")&amp;IF(ISBLANK(J33),,J33&amp;" ")&amp;IF(ISBLANK(K33),,K33&amp;" ")&amp;IF(ISBLANK(L33),,L33&amp;" ")&amp;IF(ISBLANK(M33),,M33&amp;" ")&amp;IF(ISBLANK(N33),,N33&amp;" ")&amp;IF(ISBLANK(Q33),,Q33&amp;" ")&amp;IF(ISBLANK(R33),,R33&amp;" ")&amp;IF(ISBLANK(S33),,S33)</f>
        <v>aa 00 04 21 03 02 00 2A 55</v>
      </c>
      <c r="U33" s="473" t="s">
        <v>292</v>
      </c>
      <c r="V33" s="473"/>
      <c r="W33" s="473"/>
      <c r="X33" s="473"/>
      <c r="Y33" s="473"/>
      <c r="Z33" s="473"/>
      <c r="AA33" s="473"/>
      <c r="AB33" s="473"/>
    </row>
    <row r="34" spans="2:29" s="39" customFormat="1" ht="20.100000000000001" customHeight="1" x14ac:dyDescent="0.25">
      <c r="B34" s="58"/>
      <c r="C34" s="58"/>
      <c r="D34" s="58"/>
      <c r="E34" s="59"/>
      <c r="F34" s="59"/>
      <c r="G34" s="59"/>
      <c r="H34" s="60"/>
      <c r="I34" s="61"/>
      <c r="J34" s="61"/>
      <c r="K34" s="61"/>
      <c r="L34" s="61"/>
      <c r="M34" s="61"/>
      <c r="N34" s="61"/>
      <c r="O34" s="61"/>
      <c r="P34" s="61"/>
      <c r="Q34" s="61"/>
      <c r="R34" s="62"/>
      <c r="S34" s="62"/>
      <c r="T34" s="53"/>
      <c r="U34" s="69"/>
      <c r="V34" s="69"/>
      <c r="W34" s="69"/>
      <c r="X34" s="69"/>
      <c r="Y34" s="69"/>
      <c r="Z34" s="69"/>
      <c r="AA34" s="69"/>
      <c r="AB34" s="69"/>
    </row>
    <row r="35" spans="2:29" s="39" customFormat="1" ht="20.100000000000001" customHeight="1" x14ac:dyDescent="0.25">
      <c r="B35" s="58"/>
      <c r="C35" s="58"/>
      <c r="D35" s="58"/>
      <c r="E35" s="59"/>
      <c r="F35" s="59"/>
      <c r="G35" s="59"/>
      <c r="H35" s="60"/>
      <c r="I35" s="61"/>
      <c r="J35" s="61"/>
      <c r="K35" s="61"/>
      <c r="L35" s="61"/>
      <c r="M35" s="61"/>
      <c r="N35" s="61"/>
      <c r="O35" s="61"/>
      <c r="P35" s="61"/>
      <c r="Q35" s="61"/>
      <c r="R35" s="62"/>
      <c r="S35" s="62"/>
      <c r="T35" s="53"/>
      <c r="U35" s="69"/>
      <c r="V35" s="69"/>
      <c r="W35" s="69"/>
      <c r="X35" s="69"/>
      <c r="Y35" s="69"/>
      <c r="Z35" s="69"/>
      <c r="AA35" s="69"/>
      <c r="AB35" s="69"/>
    </row>
    <row r="36" spans="2:29" ht="20.100000000000001" customHeight="1" x14ac:dyDescent="0.25">
      <c r="B36" s="1" t="s">
        <v>0</v>
      </c>
      <c r="C36" s="1" t="s">
        <v>1</v>
      </c>
      <c r="D36" s="1" t="s">
        <v>2</v>
      </c>
      <c r="E36" s="2" t="s">
        <v>3</v>
      </c>
      <c r="F36" s="2" t="s">
        <v>18</v>
      </c>
      <c r="G36" s="2" t="s">
        <v>1</v>
      </c>
      <c r="H36" s="4" t="s">
        <v>14</v>
      </c>
      <c r="I36" s="57"/>
      <c r="J36" s="57"/>
      <c r="K36" s="57"/>
      <c r="L36" s="57"/>
      <c r="M36" s="57"/>
      <c r="N36" s="57"/>
      <c r="O36" s="57"/>
      <c r="P36" s="57"/>
      <c r="Q36" s="57"/>
      <c r="R36" s="42" t="str">
        <f t="shared" ref="R36:R63" si="4">DEC2HEX(MOD(HEX2DEC(C36)+HEX2DEC(D36)+HEX2DEC(E36)+HEX2DEC(F36)+HEX2DEC(G36)+HEX2DEC(H36)+HEX2DEC(I36)+HEX2DEC(J36)+HEX2DEC(K36)+HEX2DEC(L36)+HEX2DEC(M36)+HEX2DEC(N36)+HEX2DEC(Q36),256),2)</f>
        <v>2A</v>
      </c>
      <c r="S36" s="42" t="s">
        <v>5</v>
      </c>
      <c r="T36" s="55" t="str">
        <f t="shared" ref="T36:T62" si="5">IF(ISBLANK(B36),,B36&amp;" ")&amp;IF(ISBLANK(C36),,C36&amp;" ")&amp;IF(ISBLANK(D36),,D36&amp;" ")&amp;IF(ISBLANK(E36),,E36&amp;" ")&amp;IF(ISBLANK(F36),,F36&amp;" ")&amp;IF(ISBLANK(G36),,G36&amp;" ")&amp;IF(ISBLANK(H36),,H36&amp;" ")&amp;IF(ISBLANK(I36),,I36&amp;" ")&amp;IF(ISBLANK(J36),,J36&amp;" ")&amp;IF(ISBLANK(K36),,K36&amp;" ")&amp;IF(ISBLANK(L36),,L36&amp;" ")&amp;IF(ISBLANK(M36),,M36&amp;" ")&amp;IF(ISBLANK(N36),,N36&amp;" ")&amp;IF(ISBLANK(Q36),,Q36&amp;" ")&amp;IF(ISBLANK(R36),,R36&amp;" ")&amp;IF(ISBLANK(S36),,S36)</f>
        <v>aa 00 04 21 04 00 01 2A 55</v>
      </c>
      <c r="U36" s="473" t="s">
        <v>117</v>
      </c>
      <c r="V36" s="473"/>
      <c r="W36" s="473"/>
      <c r="X36" s="473"/>
      <c r="Y36" s="473"/>
      <c r="Z36" s="473"/>
      <c r="AA36" s="473"/>
      <c r="AB36" s="473"/>
      <c r="AC36" t="s">
        <v>579</v>
      </c>
    </row>
    <row r="37" spans="2:29" ht="20.100000000000001" customHeight="1" x14ac:dyDescent="0.25">
      <c r="B37" s="1" t="s">
        <v>0</v>
      </c>
      <c r="C37" s="1" t="s">
        <v>1</v>
      </c>
      <c r="D37" s="1" t="s">
        <v>2</v>
      </c>
      <c r="E37" s="2" t="s">
        <v>3</v>
      </c>
      <c r="F37" s="2" t="s">
        <v>122</v>
      </c>
      <c r="G37" s="2" t="s">
        <v>1</v>
      </c>
      <c r="H37" s="4" t="s">
        <v>14</v>
      </c>
      <c r="I37" s="57"/>
      <c r="J37" s="57"/>
      <c r="K37" s="57"/>
      <c r="L37" s="57"/>
      <c r="M37" s="57"/>
      <c r="N37" s="57"/>
      <c r="O37" s="57"/>
      <c r="P37" s="57"/>
      <c r="Q37" s="57"/>
      <c r="R37" s="42" t="str">
        <f t="shared" si="4"/>
        <v>2B</v>
      </c>
      <c r="S37" s="42" t="s">
        <v>5</v>
      </c>
      <c r="T37" s="55" t="str">
        <f t="shared" si="5"/>
        <v>aa 00 04 21 05 00 01 2B 55</v>
      </c>
      <c r="U37" s="473" t="s">
        <v>118</v>
      </c>
      <c r="V37" s="473"/>
      <c r="W37" s="473"/>
      <c r="X37" s="473"/>
      <c r="Y37" s="473"/>
      <c r="Z37" s="473"/>
      <c r="AA37" s="473"/>
      <c r="AB37" s="473"/>
      <c r="AC37" t="s">
        <v>579</v>
      </c>
    </row>
    <row r="38" spans="2:29" ht="20.100000000000001" customHeight="1" x14ac:dyDescent="0.25">
      <c r="B38" s="1" t="s">
        <v>0</v>
      </c>
      <c r="C38" s="1" t="s">
        <v>1</v>
      </c>
      <c r="D38" s="1" t="s">
        <v>2</v>
      </c>
      <c r="E38" s="2" t="s">
        <v>3</v>
      </c>
      <c r="F38" s="2" t="s">
        <v>123</v>
      </c>
      <c r="G38" s="2" t="s">
        <v>1</v>
      </c>
      <c r="H38" s="4" t="s">
        <v>14</v>
      </c>
      <c r="I38" s="57"/>
      <c r="J38" s="57"/>
      <c r="K38" s="57"/>
      <c r="L38" s="57"/>
      <c r="M38" s="57"/>
      <c r="N38" s="57"/>
      <c r="O38" s="57"/>
      <c r="P38" s="57"/>
      <c r="Q38" s="57"/>
      <c r="R38" s="42" t="str">
        <f t="shared" si="4"/>
        <v>2C</v>
      </c>
      <c r="S38" s="42" t="s">
        <v>5</v>
      </c>
      <c r="T38" s="55" t="str">
        <f t="shared" si="5"/>
        <v>aa 00 04 21 06 00 01 2C 55</v>
      </c>
      <c r="U38" s="473" t="s">
        <v>396</v>
      </c>
      <c r="V38" s="473"/>
      <c r="W38" s="473"/>
      <c r="X38" s="473"/>
      <c r="Y38" s="473"/>
      <c r="Z38" s="473"/>
      <c r="AA38" s="473"/>
      <c r="AB38" s="473"/>
      <c r="AC38" t="s">
        <v>579</v>
      </c>
    </row>
    <row r="39" spans="2:29" ht="20.100000000000001" customHeight="1" x14ac:dyDescent="0.25">
      <c r="B39" s="1" t="s">
        <v>0</v>
      </c>
      <c r="C39" s="1" t="s">
        <v>1</v>
      </c>
      <c r="D39" s="1" t="s">
        <v>2</v>
      </c>
      <c r="E39" s="2" t="s">
        <v>3</v>
      </c>
      <c r="F39" s="2" t="s">
        <v>124</v>
      </c>
      <c r="G39" s="2" t="s">
        <v>1</v>
      </c>
      <c r="H39" s="4" t="s">
        <v>14</v>
      </c>
      <c r="I39" s="57"/>
      <c r="J39" s="57"/>
      <c r="K39" s="57"/>
      <c r="L39" s="57"/>
      <c r="M39" s="57"/>
      <c r="N39" s="57"/>
      <c r="O39" s="57"/>
      <c r="P39" s="57"/>
      <c r="Q39" s="57"/>
      <c r="R39" s="42" t="str">
        <f t="shared" si="4"/>
        <v>2D</v>
      </c>
      <c r="S39" s="42" t="s">
        <v>5</v>
      </c>
      <c r="T39" s="55" t="str">
        <f t="shared" si="5"/>
        <v>aa 00 04 21 07 00 01 2D 55</v>
      </c>
      <c r="U39" s="473" t="s">
        <v>119</v>
      </c>
      <c r="V39" s="473"/>
      <c r="W39" s="473"/>
      <c r="X39" s="473"/>
      <c r="Y39" s="473"/>
      <c r="Z39" s="473"/>
      <c r="AA39" s="473"/>
      <c r="AB39" s="473"/>
      <c r="AC39" t="s">
        <v>579</v>
      </c>
    </row>
    <row r="40" spans="2:29" ht="20.100000000000001" customHeight="1" x14ac:dyDescent="0.25">
      <c r="B40" s="1" t="s">
        <v>0</v>
      </c>
      <c r="C40" s="1" t="s">
        <v>1</v>
      </c>
      <c r="D40" s="1" t="s">
        <v>2</v>
      </c>
      <c r="E40" s="2" t="s">
        <v>3</v>
      </c>
      <c r="F40" s="2" t="s">
        <v>125</v>
      </c>
      <c r="G40" s="2" t="s">
        <v>1</v>
      </c>
      <c r="H40" s="4" t="s">
        <v>14</v>
      </c>
      <c r="I40" s="57"/>
      <c r="J40" s="57"/>
      <c r="K40" s="57"/>
      <c r="L40" s="57"/>
      <c r="M40" s="57"/>
      <c r="N40" s="57"/>
      <c r="O40" s="57"/>
      <c r="P40" s="57"/>
      <c r="Q40" s="57"/>
      <c r="R40" s="42" t="str">
        <f t="shared" si="4"/>
        <v>2E</v>
      </c>
      <c r="S40" s="42" t="s">
        <v>5</v>
      </c>
      <c r="T40" s="55" t="str">
        <f t="shared" si="5"/>
        <v>aa 00 04 21 08 00 01 2E 55</v>
      </c>
      <c r="U40" s="473" t="s">
        <v>120</v>
      </c>
      <c r="V40" s="473"/>
      <c r="W40" s="473"/>
      <c r="X40" s="473"/>
      <c r="Y40" s="473"/>
      <c r="Z40" s="473"/>
      <c r="AA40" s="473"/>
      <c r="AB40" s="473"/>
      <c r="AC40" t="s">
        <v>579</v>
      </c>
    </row>
    <row r="41" spans="2:29" ht="20.100000000000001" customHeight="1" x14ac:dyDescent="0.25">
      <c r="B41" s="1" t="s">
        <v>0</v>
      </c>
      <c r="C41" s="1" t="s">
        <v>1</v>
      </c>
      <c r="D41" s="1" t="s">
        <v>2</v>
      </c>
      <c r="E41" s="2" t="s">
        <v>3</v>
      </c>
      <c r="F41" s="2" t="s">
        <v>126</v>
      </c>
      <c r="G41" s="2" t="s">
        <v>1</v>
      </c>
      <c r="H41" s="4" t="s">
        <v>14</v>
      </c>
      <c r="I41" s="57"/>
      <c r="J41" s="57"/>
      <c r="K41" s="57"/>
      <c r="L41" s="57"/>
      <c r="M41" s="57"/>
      <c r="N41" s="57"/>
      <c r="O41" s="57"/>
      <c r="P41" s="57"/>
      <c r="Q41" s="57"/>
      <c r="R41" s="42" t="str">
        <f t="shared" si="4"/>
        <v>2F</v>
      </c>
      <c r="S41" s="42" t="s">
        <v>5</v>
      </c>
      <c r="T41" s="55" t="str">
        <f t="shared" si="5"/>
        <v>aa 00 04 21 09 00 01 2F 55</v>
      </c>
      <c r="U41" s="473" t="s">
        <v>121</v>
      </c>
      <c r="V41" s="473"/>
      <c r="W41" s="473"/>
      <c r="X41" s="473"/>
      <c r="Y41" s="473"/>
      <c r="Z41" s="473"/>
      <c r="AA41" s="473"/>
      <c r="AB41" s="473"/>
      <c r="AC41" t="s">
        <v>579</v>
      </c>
    </row>
    <row r="42" spans="2:29" ht="20.100000000000001" customHeight="1" x14ac:dyDescent="0.25">
      <c r="B42" s="1" t="s">
        <v>0</v>
      </c>
      <c r="C42" s="1" t="s">
        <v>1</v>
      </c>
      <c r="D42" s="1" t="s">
        <v>2</v>
      </c>
      <c r="E42" s="2" t="s">
        <v>3</v>
      </c>
      <c r="F42" s="2" t="s">
        <v>207</v>
      </c>
      <c r="G42" s="2" t="s">
        <v>1</v>
      </c>
      <c r="H42" s="4" t="s">
        <v>14</v>
      </c>
      <c r="I42" s="57"/>
      <c r="J42" s="57"/>
      <c r="K42" s="57"/>
      <c r="L42" s="57"/>
      <c r="M42" s="57"/>
      <c r="N42" s="57"/>
      <c r="O42" s="57"/>
      <c r="P42" s="57"/>
      <c r="Q42" s="57"/>
      <c r="R42" s="42" t="str">
        <f t="shared" si="4"/>
        <v>30</v>
      </c>
      <c r="S42" s="42" t="s">
        <v>5</v>
      </c>
      <c r="T42" s="55" t="str">
        <f t="shared" si="5"/>
        <v>aa 00 04 21 0A 00 01 30 55</v>
      </c>
      <c r="U42" s="473" t="s">
        <v>127</v>
      </c>
      <c r="V42" s="473"/>
      <c r="W42" s="473"/>
      <c r="X42" s="473"/>
      <c r="Y42" s="473"/>
      <c r="Z42" s="473"/>
      <c r="AA42" s="473"/>
      <c r="AB42" s="473"/>
      <c r="AC42" t="s">
        <v>579</v>
      </c>
    </row>
    <row r="43" spans="2:29" ht="20.100000000000001" customHeight="1" x14ac:dyDescent="0.25">
      <c r="B43" s="1" t="s">
        <v>0</v>
      </c>
      <c r="C43" s="1" t="s">
        <v>1</v>
      </c>
      <c r="D43" s="1" t="s">
        <v>2</v>
      </c>
      <c r="E43" s="2" t="s">
        <v>3</v>
      </c>
      <c r="F43" s="2" t="s">
        <v>208</v>
      </c>
      <c r="G43" s="2" t="s">
        <v>1</v>
      </c>
      <c r="H43" s="4" t="s">
        <v>14</v>
      </c>
      <c r="I43" s="57"/>
      <c r="J43" s="57"/>
      <c r="K43" s="57"/>
      <c r="L43" s="57"/>
      <c r="M43" s="57"/>
      <c r="N43" s="57"/>
      <c r="O43" s="57"/>
      <c r="P43" s="57"/>
      <c r="Q43" s="57"/>
      <c r="R43" s="42" t="str">
        <f t="shared" si="4"/>
        <v>31</v>
      </c>
      <c r="S43" s="42" t="s">
        <v>5</v>
      </c>
      <c r="T43" s="55" t="str">
        <f t="shared" si="5"/>
        <v>aa 00 04 21 0B 00 01 31 55</v>
      </c>
      <c r="U43" s="473" t="s">
        <v>128</v>
      </c>
      <c r="V43" s="473"/>
      <c r="W43" s="473"/>
      <c r="X43" s="473"/>
      <c r="Y43" s="473"/>
      <c r="Z43" s="473"/>
      <c r="AA43" s="473"/>
      <c r="AB43" s="473"/>
      <c r="AC43" t="s">
        <v>579</v>
      </c>
    </row>
    <row r="44" spans="2:29" ht="20.100000000000001" customHeight="1" x14ac:dyDescent="0.25">
      <c r="B44" s="1" t="s">
        <v>0</v>
      </c>
      <c r="C44" s="1" t="s">
        <v>1</v>
      </c>
      <c r="D44" s="1" t="s">
        <v>2</v>
      </c>
      <c r="E44" s="2" t="s">
        <v>3</v>
      </c>
      <c r="F44" s="2" t="s">
        <v>209</v>
      </c>
      <c r="G44" s="2" t="s">
        <v>1</v>
      </c>
      <c r="H44" s="4" t="s">
        <v>14</v>
      </c>
      <c r="I44" s="57"/>
      <c r="J44" s="57"/>
      <c r="K44" s="57"/>
      <c r="L44" s="57"/>
      <c r="M44" s="57"/>
      <c r="N44" s="57"/>
      <c r="O44" s="57"/>
      <c r="P44" s="57"/>
      <c r="Q44" s="57"/>
      <c r="R44" s="42" t="str">
        <f t="shared" si="4"/>
        <v>32</v>
      </c>
      <c r="S44" s="42" t="s">
        <v>5</v>
      </c>
      <c r="T44" s="55" t="str">
        <f t="shared" si="5"/>
        <v>aa 00 04 21 0C 00 01 32 55</v>
      </c>
      <c r="U44" s="473" t="s">
        <v>129</v>
      </c>
      <c r="V44" s="473"/>
      <c r="W44" s="473"/>
      <c r="X44" s="473"/>
      <c r="Y44" s="473"/>
      <c r="Z44" s="473"/>
      <c r="AA44" s="473"/>
      <c r="AB44" s="473"/>
      <c r="AC44" t="s">
        <v>579</v>
      </c>
    </row>
    <row r="45" spans="2:29" ht="20.100000000000001" customHeight="1" x14ac:dyDescent="0.25">
      <c r="B45" s="1" t="s">
        <v>0</v>
      </c>
      <c r="C45" s="1" t="s">
        <v>1</v>
      </c>
      <c r="D45" s="1" t="s">
        <v>2</v>
      </c>
      <c r="E45" s="2" t="s">
        <v>3</v>
      </c>
      <c r="F45" s="2" t="s">
        <v>210</v>
      </c>
      <c r="G45" s="2" t="s">
        <v>1</v>
      </c>
      <c r="H45" s="4" t="s">
        <v>14</v>
      </c>
      <c r="I45" s="57"/>
      <c r="J45" s="57"/>
      <c r="K45" s="57"/>
      <c r="L45" s="57"/>
      <c r="M45" s="57"/>
      <c r="N45" s="57"/>
      <c r="O45" s="57"/>
      <c r="P45" s="57"/>
      <c r="Q45" s="57"/>
      <c r="R45" s="42" t="str">
        <f t="shared" si="4"/>
        <v>33</v>
      </c>
      <c r="S45" s="42" t="s">
        <v>5</v>
      </c>
      <c r="T45" s="55" t="str">
        <f t="shared" si="5"/>
        <v>aa 00 04 21 0D 00 01 33 55</v>
      </c>
      <c r="U45" s="474" t="s">
        <v>130</v>
      </c>
      <c r="V45" s="563"/>
      <c r="W45" s="563"/>
      <c r="X45" s="563"/>
      <c r="Y45" s="563"/>
      <c r="Z45" s="563"/>
      <c r="AA45" s="563"/>
      <c r="AB45" s="475"/>
      <c r="AC45" t="s">
        <v>579</v>
      </c>
    </row>
    <row r="46" spans="2:29" ht="20.100000000000001" customHeight="1" x14ac:dyDescent="0.25">
      <c r="B46" s="1" t="s">
        <v>0</v>
      </c>
      <c r="C46" s="1" t="s">
        <v>1</v>
      </c>
      <c r="D46" s="1" t="s">
        <v>2</v>
      </c>
      <c r="E46" s="2" t="s">
        <v>3</v>
      </c>
      <c r="F46" s="2" t="s">
        <v>227</v>
      </c>
      <c r="G46" s="2" t="s">
        <v>1</v>
      </c>
      <c r="H46" s="4" t="s">
        <v>14</v>
      </c>
      <c r="I46" s="57"/>
      <c r="J46" s="57"/>
      <c r="K46" s="57"/>
      <c r="L46" s="57"/>
      <c r="M46" s="57"/>
      <c r="N46" s="57"/>
      <c r="O46" s="57"/>
      <c r="P46" s="57"/>
      <c r="Q46" s="57"/>
      <c r="R46" s="42" t="str">
        <f t="shared" si="4"/>
        <v>34</v>
      </c>
      <c r="S46" s="42" t="s">
        <v>5</v>
      </c>
      <c r="T46" s="55" t="str">
        <f t="shared" si="5"/>
        <v>aa 00 04 21 0E 00 01 34 55</v>
      </c>
      <c r="U46" s="474" t="s">
        <v>131</v>
      </c>
      <c r="V46" s="563"/>
      <c r="W46" s="563"/>
      <c r="X46" s="563"/>
      <c r="Y46" s="563"/>
      <c r="Z46" s="563"/>
      <c r="AA46" s="563"/>
      <c r="AB46" s="475"/>
      <c r="AC46" t="s">
        <v>579</v>
      </c>
    </row>
    <row r="47" spans="2:29" ht="20.100000000000001" customHeight="1" x14ac:dyDescent="0.25">
      <c r="B47" s="1" t="s">
        <v>0</v>
      </c>
      <c r="C47" s="1" t="s">
        <v>1</v>
      </c>
      <c r="D47" s="1" t="s">
        <v>2</v>
      </c>
      <c r="E47" s="2" t="s">
        <v>3</v>
      </c>
      <c r="F47" s="2" t="s">
        <v>211</v>
      </c>
      <c r="G47" s="2" t="s">
        <v>1</v>
      </c>
      <c r="H47" s="4" t="s">
        <v>14</v>
      </c>
      <c r="I47" s="57"/>
      <c r="J47" s="57"/>
      <c r="K47" s="57"/>
      <c r="L47" s="57"/>
      <c r="M47" s="57"/>
      <c r="N47" s="57"/>
      <c r="O47" s="57"/>
      <c r="P47" s="57"/>
      <c r="Q47" s="57"/>
      <c r="R47" s="42" t="str">
        <f t="shared" si="4"/>
        <v>35</v>
      </c>
      <c r="S47" s="42" t="s">
        <v>5</v>
      </c>
      <c r="T47" s="55" t="str">
        <f t="shared" si="5"/>
        <v>aa 00 04 21 0F 00 01 35 55</v>
      </c>
      <c r="U47" s="474" t="s">
        <v>132</v>
      </c>
      <c r="V47" s="563"/>
      <c r="W47" s="563"/>
      <c r="X47" s="563"/>
      <c r="Y47" s="563"/>
      <c r="Z47" s="563"/>
      <c r="AA47" s="563"/>
      <c r="AB47" s="475"/>
      <c r="AC47" t="s">
        <v>579</v>
      </c>
    </row>
    <row r="48" spans="2:29" ht="20.100000000000001" customHeight="1" x14ac:dyDescent="0.25">
      <c r="B48" s="1" t="s">
        <v>0</v>
      </c>
      <c r="C48" s="1" t="s">
        <v>1</v>
      </c>
      <c r="D48" s="1" t="s">
        <v>2</v>
      </c>
      <c r="E48" s="2" t="s">
        <v>3</v>
      </c>
      <c r="F48" s="2" t="s">
        <v>157</v>
      </c>
      <c r="G48" s="2" t="s">
        <v>1</v>
      </c>
      <c r="H48" s="4" t="s">
        <v>14</v>
      </c>
      <c r="I48" s="57"/>
      <c r="J48" s="57"/>
      <c r="K48" s="57"/>
      <c r="L48" s="57"/>
      <c r="M48" s="57"/>
      <c r="N48" s="57"/>
      <c r="O48" s="57"/>
      <c r="P48" s="57"/>
      <c r="Q48" s="57"/>
      <c r="R48" s="42" t="str">
        <f t="shared" si="4"/>
        <v>36</v>
      </c>
      <c r="S48" s="42" t="s">
        <v>5</v>
      </c>
      <c r="T48" s="55" t="str">
        <f t="shared" si="5"/>
        <v>aa 00 04 21 10 00 01 36 55</v>
      </c>
      <c r="U48" s="474" t="s">
        <v>133</v>
      </c>
      <c r="V48" s="563"/>
      <c r="W48" s="563"/>
      <c r="X48" s="563"/>
      <c r="Y48" s="563"/>
      <c r="Z48" s="563"/>
      <c r="AA48" s="563"/>
      <c r="AB48" s="475"/>
      <c r="AC48" t="s">
        <v>579</v>
      </c>
    </row>
    <row r="49" spans="2:29" ht="20.100000000000001" customHeight="1" x14ac:dyDescent="0.25">
      <c r="B49" s="1" t="s">
        <v>0</v>
      </c>
      <c r="C49" s="1" t="s">
        <v>1</v>
      </c>
      <c r="D49" s="1" t="s">
        <v>2</v>
      </c>
      <c r="E49" s="2" t="s">
        <v>3</v>
      </c>
      <c r="F49" s="2" t="s">
        <v>158</v>
      </c>
      <c r="G49" s="2" t="s">
        <v>1</v>
      </c>
      <c r="H49" s="4" t="s">
        <v>14</v>
      </c>
      <c r="I49" s="57"/>
      <c r="J49" s="57"/>
      <c r="K49" s="57"/>
      <c r="L49" s="57"/>
      <c r="M49" s="57"/>
      <c r="N49" s="57"/>
      <c r="O49" s="57"/>
      <c r="P49" s="57"/>
      <c r="Q49" s="57"/>
      <c r="R49" s="42" t="str">
        <f t="shared" si="4"/>
        <v>37</v>
      </c>
      <c r="S49" s="42" t="s">
        <v>5</v>
      </c>
      <c r="T49" s="55" t="str">
        <f t="shared" si="5"/>
        <v>aa 00 04 21 11 00 01 37 55</v>
      </c>
      <c r="U49" s="474" t="s">
        <v>134</v>
      </c>
      <c r="V49" s="563"/>
      <c r="W49" s="563"/>
      <c r="X49" s="563"/>
      <c r="Y49" s="563"/>
      <c r="Z49" s="563"/>
      <c r="AA49" s="563"/>
      <c r="AB49" s="475"/>
      <c r="AC49" t="s">
        <v>579</v>
      </c>
    </row>
    <row r="50" spans="2:29" ht="20.100000000000001" customHeight="1" x14ac:dyDescent="0.25">
      <c r="B50" s="1" t="s">
        <v>0</v>
      </c>
      <c r="C50" s="1" t="s">
        <v>1</v>
      </c>
      <c r="D50" s="1" t="s">
        <v>2</v>
      </c>
      <c r="E50" s="2" t="s">
        <v>3</v>
      </c>
      <c r="F50" s="2" t="s">
        <v>159</v>
      </c>
      <c r="G50" s="2" t="s">
        <v>1</v>
      </c>
      <c r="H50" s="4" t="s">
        <v>14</v>
      </c>
      <c r="I50" s="57"/>
      <c r="J50" s="57"/>
      <c r="K50" s="57"/>
      <c r="L50" s="57"/>
      <c r="M50" s="57"/>
      <c r="N50" s="57"/>
      <c r="O50" s="57"/>
      <c r="P50" s="57"/>
      <c r="Q50" s="57"/>
      <c r="R50" s="42" t="str">
        <f t="shared" si="4"/>
        <v>38</v>
      </c>
      <c r="S50" s="42" t="s">
        <v>5</v>
      </c>
      <c r="T50" s="55" t="str">
        <f t="shared" si="5"/>
        <v>aa 00 04 21 12 00 01 38 55</v>
      </c>
      <c r="U50" s="474" t="s">
        <v>135</v>
      </c>
      <c r="V50" s="563"/>
      <c r="W50" s="563"/>
      <c r="X50" s="563"/>
      <c r="Y50" s="563"/>
      <c r="Z50" s="563"/>
      <c r="AA50" s="563"/>
      <c r="AB50" s="475"/>
      <c r="AC50" t="s">
        <v>579</v>
      </c>
    </row>
    <row r="51" spans="2:29" ht="20.100000000000001" customHeight="1" x14ac:dyDescent="0.25">
      <c r="B51" s="1" t="s">
        <v>0</v>
      </c>
      <c r="C51" s="1" t="s">
        <v>1</v>
      </c>
      <c r="D51" s="1" t="s">
        <v>2</v>
      </c>
      <c r="E51" s="2" t="s">
        <v>3</v>
      </c>
      <c r="F51" s="2" t="s">
        <v>160</v>
      </c>
      <c r="G51" s="2" t="s">
        <v>1</v>
      </c>
      <c r="H51" s="4" t="s">
        <v>14</v>
      </c>
      <c r="I51" s="57"/>
      <c r="J51" s="57"/>
      <c r="K51" s="57"/>
      <c r="L51" s="57"/>
      <c r="M51" s="57"/>
      <c r="N51" s="57"/>
      <c r="O51" s="57"/>
      <c r="P51" s="57"/>
      <c r="Q51" s="57"/>
      <c r="R51" s="42" t="str">
        <f t="shared" si="4"/>
        <v>39</v>
      </c>
      <c r="S51" s="42" t="s">
        <v>5</v>
      </c>
      <c r="T51" s="55" t="str">
        <f t="shared" si="5"/>
        <v>aa 00 04 21 13 00 01 39 55</v>
      </c>
      <c r="U51" s="474" t="s">
        <v>136</v>
      </c>
      <c r="V51" s="563"/>
      <c r="W51" s="563"/>
      <c r="X51" s="563"/>
      <c r="Y51" s="563"/>
      <c r="Z51" s="563"/>
      <c r="AA51" s="563"/>
      <c r="AB51" s="475"/>
      <c r="AC51" t="s">
        <v>579</v>
      </c>
    </row>
    <row r="52" spans="2:29" ht="20.100000000000001" customHeight="1" x14ac:dyDescent="0.25">
      <c r="B52" s="1" t="s">
        <v>0</v>
      </c>
      <c r="C52" s="1" t="s">
        <v>1</v>
      </c>
      <c r="D52" s="1" t="s">
        <v>2</v>
      </c>
      <c r="E52" s="2" t="s">
        <v>3</v>
      </c>
      <c r="F52" s="2" t="s">
        <v>161</v>
      </c>
      <c r="G52" s="2" t="s">
        <v>1</v>
      </c>
      <c r="H52" s="4" t="s">
        <v>14</v>
      </c>
      <c r="I52" s="57"/>
      <c r="J52" s="57"/>
      <c r="K52" s="57"/>
      <c r="L52" s="57"/>
      <c r="M52" s="57"/>
      <c r="N52" s="57"/>
      <c r="O52" s="57"/>
      <c r="P52" s="57"/>
      <c r="Q52" s="57"/>
      <c r="R52" s="42" t="str">
        <f t="shared" si="4"/>
        <v>3A</v>
      </c>
      <c r="S52" s="42" t="s">
        <v>5</v>
      </c>
      <c r="T52" s="55" t="str">
        <f t="shared" si="5"/>
        <v>aa 00 04 21 14 00 01 3A 55</v>
      </c>
      <c r="U52" s="474" t="s">
        <v>137</v>
      </c>
      <c r="V52" s="563"/>
      <c r="W52" s="563"/>
      <c r="X52" s="563"/>
      <c r="Y52" s="563"/>
      <c r="Z52" s="563"/>
      <c r="AA52" s="563"/>
      <c r="AB52" s="475"/>
      <c r="AC52" t="s">
        <v>579</v>
      </c>
    </row>
    <row r="53" spans="2:29" ht="20.100000000000001" customHeight="1" x14ac:dyDescent="0.25">
      <c r="B53" s="1" t="s">
        <v>0</v>
      </c>
      <c r="C53" s="1" t="s">
        <v>1</v>
      </c>
      <c r="D53" s="1" t="s">
        <v>2</v>
      </c>
      <c r="E53" s="2" t="s">
        <v>3</v>
      </c>
      <c r="F53" s="2" t="s">
        <v>162</v>
      </c>
      <c r="G53" s="2" t="s">
        <v>1</v>
      </c>
      <c r="H53" s="4" t="s">
        <v>14</v>
      </c>
      <c r="I53" s="57"/>
      <c r="J53" s="57"/>
      <c r="K53" s="57"/>
      <c r="L53" s="57"/>
      <c r="M53" s="57"/>
      <c r="N53" s="57"/>
      <c r="O53" s="57"/>
      <c r="P53" s="57"/>
      <c r="Q53" s="57"/>
      <c r="R53" s="42" t="str">
        <f t="shared" si="4"/>
        <v>3B</v>
      </c>
      <c r="S53" s="42" t="s">
        <v>5</v>
      </c>
      <c r="T53" s="55" t="str">
        <f t="shared" si="5"/>
        <v>aa 00 04 21 15 00 01 3B 55</v>
      </c>
      <c r="U53" s="474" t="s">
        <v>138</v>
      </c>
      <c r="V53" s="563"/>
      <c r="W53" s="563"/>
      <c r="X53" s="563"/>
      <c r="Y53" s="563"/>
      <c r="Z53" s="563"/>
      <c r="AA53" s="563"/>
      <c r="AB53" s="475"/>
      <c r="AC53" t="s">
        <v>579</v>
      </c>
    </row>
    <row r="54" spans="2:29" ht="20.100000000000001" customHeight="1" x14ac:dyDescent="0.25">
      <c r="B54" s="1" t="s">
        <v>0</v>
      </c>
      <c r="C54" s="1" t="s">
        <v>1</v>
      </c>
      <c r="D54" s="1" t="s">
        <v>2</v>
      </c>
      <c r="E54" s="2" t="s">
        <v>3</v>
      </c>
      <c r="F54" s="2" t="s">
        <v>163</v>
      </c>
      <c r="G54" s="2" t="s">
        <v>1</v>
      </c>
      <c r="H54" s="4" t="s">
        <v>14</v>
      </c>
      <c r="I54" s="57"/>
      <c r="J54" s="57"/>
      <c r="K54" s="57"/>
      <c r="L54" s="57"/>
      <c r="M54" s="57"/>
      <c r="N54" s="57"/>
      <c r="O54" s="57"/>
      <c r="P54" s="57"/>
      <c r="Q54" s="57"/>
      <c r="R54" s="42" t="str">
        <f t="shared" si="4"/>
        <v>3C</v>
      </c>
      <c r="S54" s="42" t="s">
        <v>5</v>
      </c>
      <c r="T54" s="55" t="str">
        <f t="shared" si="5"/>
        <v>aa 00 04 21 16 00 01 3C 55</v>
      </c>
      <c r="U54" s="474" t="s">
        <v>139</v>
      </c>
      <c r="V54" s="563"/>
      <c r="W54" s="563"/>
      <c r="X54" s="563"/>
      <c r="Y54" s="563"/>
      <c r="Z54" s="563"/>
      <c r="AA54" s="563"/>
      <c r="AB54" s="475"/>
      <c r="AC54" t="s">
        <v>579</v>
      </c>
    </row>
    <row r="55" spans="2:29" ht="20.100000000000001" customHeight="1" x14ac:dyDescent="0.25">
      <c r="B55" s="1" t="s">
        <v>0</v>
      </c>
      <c r="C55" s="1" t="s">
        <v>1</v>
      </c>
      <c r="D55" s="1" t="s">
        <v>2</v>
      </c>
      <c r="E55" s="2" t="s">
        <v>3</v>
      </c>
      <c r="F55" s="2" t="s">
        <v>164</v>
      </c>
      <c r="G55" s="2" t="s">
        <v>1</v>
      </c>
      <c r="H55" s="4" t="s">
        <v>14</v>
      </c>
      <c r="I55" s="57"/>
      <c r="J55" s="57"/>
      <c r="K55" s="57"/>
      <c r="L55" s="57"/>
      <c r="M55" s="57"/>
      <c r="N55" s="57"/>
      <c r="O55" s="57"/>
      <c r="P55" s="57"/>
      <c r="Q55" s="57"/>
      <c r="R55" s="42" t="str">
        <f t="shared" si="4"/>
        <v>3D</v>
      </c>
      <c r="S55" s="42" t="s">
        <v>5</v>
      </c>
      <c r="T55" s="55" t="str">
        <f t="shared" si="5"/>
        <v>aa 00 04 21 17 00 01 3D 55</v>
      </c>
      <c r="U55" s="474" t="s">
        <v>140</v>
      </c>
      <c r="V55" s="563"/>
      <c r="W55" s="563"/>
      <c r="X55" s="563"/>
      <c r="Y55" s="563"/>
      <c r="Z55" s="563"/>
      <c r="AA55" s="563"/>
      <c r="AB55" s="475"/>
      <c r="AC55" t="s">
        <v>579</v>
      </c>
    </row>
    <row r="56" spans="2:29" ht="20.100000000000001" customHeight="1" x14ac:dyDescent="0.25">
      <c r="B56" s="1" t="s">
        <v>0</v>
      </c>
      <c r="C56" s="1" t="s">
        <v>1</v>
      </c>
      <c r="D56" s="1" t="s">
        <v>2</v>
      </c>
      <c r="E56" s="2" t="s">
        <v>3</v>
      </c>
      <c r="F56" s="2" t="s">
        <v>165</v>
      </c>
      <c r="G56" s="2" t="s">
        <v>1</v>
      </c>
      <c r="H56" s="4" t="s">
        <v>14</v>
      </c>
      <c r="I56" s="57"/>
      <c r="J56" s="57"/>
      <c r="K56" s="57"/>
      <c r="L56" s="57"/>
      <c r="M56" s="57"/>
      <c r="N56" s="57"/>
      <c r="O56" s="57"/>
      <c r="P56" s="57"/>
      <c r="Q56" s="57"/>
      <c r="R56" s="42" t="str">
        <f t="shared" si="4"/>
        <v>3E</v>
      </c>
      <c r="S56" s="42" t="s">
        <v>5</v>
      </c>
      <c r="T56" s="55" t="str">
        <f t="shared" si="5"/>
        <v>aa 00 04 21 18 00 01 3E 55</v>
      </c>
      <c r="U56" s="474" t="s">
        <v>141</v>
      </c>
      <c r="V56" s="563"/>
      <c r="W56" s="563"/>
      <c r="X56" s="563"/>
      <c r="Y56" s="563"/>
      <c r="Z56" s="563"/>
      <c r="AA56" s="563"/>
      <c r="AB56" s="475"/>
      <c r="AC56" t="s">
        <v>579</v>
      </c>
    </row>
    <row r="57" spans="2:29" ht="20.100000000000001" customHeight="1" x14ac:dyDescent="0.25">
      <c r="B57" s="1" t="s">
        <v>0</v>
      </c>
      <c r="C57" s="1" t="s">
        <v>1</v>
      </c>
      <c r="D57" s="1" t="s">
        <v>2</v>
      </c>
      <c r="E57" s="2" t="s">
        <v>3</v>
      </c>
      <c r="F57" s="2" t="s">
        <v>166</v>
      </c>
      <c r="G57" s="2" t="s">
        <v>1</v>
      </c>
      <c r="H57" s="4" t="s">
        <v>14</v>
      </c>
      <c r="I57" s="57"/>
      <c r="J57" s="57"/>
      <c r="K57" s="57"/>
      <c r="L57" s="57"/>
      <c r="M57" s="57"/>
      <c r="N57" s="57"/>
      <c r="O57" s="57"/>
      <c r="P57" s="57"/>
      <c r="Q57" s="57"/>
      <c r="R57" s="42" t="str">
        <f t="shared" si="4"/>
        <v>3F</v>
      </c>
      <c r="S57" s="42" t="s">
        <v>5</v>
      </c>
      <c r="T57" s="55" t="str">
        <f t="shared" si="5"/>
        <v>aa 00 04 21 19 00 01 3F 55</v>
      </c>
      <c r="U57" s="474" t="s">
        <v>142</v>
      </c>
      <c r="V57" s="563"/>
      <c r="W57" s="563"/>
      <c r="X57" s="563"/>
      <c r="Y57" s="563"/>
      <c r="Z57" s="563"/>
      <c r="AA57" s="563"/>
      <c r="AB57" s="475"/>
      <c r="AC57" t="s">
        <v>579</v>
      </c>
    </row>
    <row r="58" spans="2:29" ht="20.100000000000001" customHeight="1" x14ac:dyDescent="0.25">
      <c r="B58" s="1" t="s">
        <v>0</v>
      </c>
      <c r="C58" s="1" t="s">
        <v>1</v>
      </c>
      <c r="D58" s="1" t="s">
        <v>2</v>
      </c>
      <c r="E58" s="2" t="s">
        <v>3</v>
      </c>
      <c r="F58" s="2" t="s">
        <v>212</v>
      </c>
      <c r="G58" s="2" t="s">
        <v>1</v>
      </c>
      <c r="H58" s="4" t="s">
        <v>14</v>
      </c>
      <c r="I58" s="57"/>
      <c r="J58" s="57"/>
      <c r="K58" s="57"/>
      <c r="L58" s="57"/>
      <c r="M58" s="57"/>
      <c r="N58" s="57"/>
      <c r="O58" s="57"/>
      <c r="P58" s="57"/>
      <c r="Q58" s="57"/>
      <c r="R58" s="42" t="str">
        <f t="shared" si="4"/>
        <v>40</v>
      </c>
      <c r="S58" s="42" t="s">
        <v>5</v>
      </c>
      <c r="T58" s="55" t="str">
        <f t="shared" si="5"/>
        <v>aa 00 04 21 1A 00 01 40 55</v>
      </c>
      <c r="U58" s="474" t="s">
        <v>143</v>
      </c>
      <c r="V58" s="563"/>
      <c r="W58" s="563"/>
      <c r="X58" s="563"/>
      <c r="Y58" s="563"/>
      <c r="Z58" s="563"/>
      <c r="AA58" s="563"/>
      <c r="AB58" s="475"/>
      <c r="AC58" t="s">
        <v>579</v>
      </c>
    </row>
    <row r="59" spans="2:29" ht="20.100000000000001" customHeight="1" x14ac:dyDescent="0.25">
      <c r="B59" s="1" t="s">
        <v>0</v>
      </c>
      <c r="C59" s="1" t="s">
        <v>1</v>
      </c>
      <c r="D59" s="1" t="s">
        <v>2</v>
      </c>
      <c r="E59" s="2" t="s">
        <v>3</v>
      </c>
      <c r="F59" s="2" t="s">
        <v>213</v>
      </c>
      <c r="G59" s="2" t="s">
        <v>1</v>
      </c>
      <c r="H59" s="4" t="s">
        <v>14</v>
      </c>
      <c r="I59" s="57"/>
      <c r="J59" s="57"/>
      <c r="K59" s="57"/>
      <c r="L59" s="57"/>
      <c r="M59" s="57"/>
      <c r="N59" s="57"/>
      <c r="O59" s="57"/>
      <c r="P59" s="57"/>
      <c r="Q59" s="57"/>
      <c r="R59" s="42" t="str">
        <f t="shared" si="4"/>
        <v>41</v>
      </c>
      <c r="S59" s="42" t="s">
        <v>5</v>
      </c>
      <c r="T59" s="55" t="str">
        <f t="shared" si="5"/>
        <v>aa 00 04 21 1B 00 01 41 55</v>
      </c>
      <c r="U59" s="474" t="s">
        <v>144</v>
      </c>
      <c r="V59" s="563"/>
      <c r="W59" s="563"/>
      <c r="X59" s="563"/>
      <c r="Y59" s="563"/>
      <c r="Z59" s="563"/>
      <c r="AA59" s="563"/>
      <c r="AB59" s="475"/>
      <c r="AC59" t="s">
        <v>579</v>
      </c>
    </row>
    <row r="60" spans="2:29" ht="20.100000000000001" customHeight="1" x14ac:dyDescent="0.25">
      <c r="B60" s="1" t="s">
        <v>0</v>
      </c>
      <c r="C60" s="1" t="s">
        <v>1</v>
      </c>
      <c r="D60" s="1" t="s">
        <v>2</v>
      </c>
      <c r="E60" s="2" t="s">
        <v>3</v>
      </c>
      <c r="F60" s="2" t="s">
        <v>214</v>
      </c>
      <c r="G60" s="2" t="s">
        <v>1</v>
      </c>
      <c r="H60" s="4" t="s">
        <v>14</v>
      </c>
      <c r="I60" s="57"/>
      <c r="J60" s="57"/>
      <c r="K60" s="57"/>
      <c r="L60" s="57"/>
      <c r="M60" s="57"/>
      <c r="N60" s="57"/>
      <c r="O60" s="57"/>
      <c r="P60" s="57"/>
      <c r="Q60" s="57"/>
      <c r="R60" s="42" t="str">
        <f t="shared" si="4"/>
        <v>42</v>
      </c>
      <c r="S60" s="42" t="s">
        <v>5</v>
      </c>
      <c r="T60" s="55" t="str">
        <f t="shared" si="5"/>
        <v>aa 00 04 21 1C 00 01 42 55</v>
      </c>
      <c r="U60" s="474" t="s">
        <v>145</v>
      </c>
      <c r="V60" s="563"/>
      <c r="W60" s="563"/>
      <c r="X60" s="563"/>
      <c r="Y60" s="563"/>
      <c r="Z60" s="563"/>
      <c r="AA60" s="563"/>
      <c r="AB60" s="475"/>
      <c r="AC60" t="s">
        <v>579</v>
      </c>
    </row>
    <row r="61" spans="2:29" ht="20.100000000000001" customHeight="1" x14ac:dyDescent="0.25">
      <c r="B61" s="1" t="s">
        <v>0</v>
      </c>
      <c r="C61" s="1" t="s">
        <v>1</v>
      </c>
      <c r="D61" s="1" t="s">
        <v>2</v>
      </c>
      <c r="E61" s="2" t="s">
        <v>3</v>
      </c>
      <c r="F61" s="2" t="s">
        <v>215</v>
      </c>
      <c r="G61" s="2" t="s">
        <v>1</v>
      </c>
      <c r="H61" s="4" t="s">
        <v>14</v>
      </c>
      <c r="I61" s="57"/>
      <c r="J61" s="57"/>
      <c r="K61" s="57"/>
      <c r="L61" s="57"/>
      <c r="M61" s="57"/>
      <c r="N61" s="57"/>
      <c r="O61" s="57"/>
      <c r="P61" s="57"/>
      <c r="Q61" s="57"/>
      <c r="R61" s="42" t="str">
        <f t="shared" si="4"/>
        <v>43</v>
      </c>
      <c r="S61" s="42" t="s">
        <v>5</v>
      </c>
      <c r="T61" s="55" t="str">
        <f t="shared" si="5"/>
        <v>aa 00 04 21 1D 00 01 43 55</v>
      </c>
      <c r="U61" s="474" t="s">
        <v>146</v>
      </c>
      <c r="V61" s="563"/>
      <c r="W61" s="563"/>
      <c r="X61" s="563"/>
      <c r="Y61" s="563"/>
      <c r="Z61" s="563"/>
      <c r="AA61" s="563"/>
      <c r="AB61" s="475"/>
      <c r="AC61" t="s">
        <v>579</v>
      </c>
    </row>
    <row r="62" spans="2:29" ht="20.100000000000001" customHeight="1" x14ac:dyDescent="0.25">
      <c r="B62" s="1" t="s">
        <v>0</v>
      </c>
      <c r="C62" s="1" t="s">
        <v>1</v>
      </c>
      <c r="D62" s="1" t="s">
        <v>2</v>
      </c>
      <c r="E62" s="2" t="s">
        <v>3</v>
      </c>
      <c r="F62" s="2" t="s">
        <v>216</v>
      </c>
      <c r="G62" s="2" t="s">
        <v>1</v>
      </c>
      <c r="H62" s="4" t="s">
        <v>14</v>
      </c>
      <c r="I62" s="57"/>
      <c r="J62" s="57"/>
      <c r="K62" s="57"/>
      <c r="L62" s="57"/>
      <c r="M62" s="57"/>
      <c r="N62" s="57"/>
      <c r="O62" s="57"/>
      <c r="P62" s="57"/>
      <c r="Q62" s="57"/>
      <c r="R62" s="42" t="str">
        <f t="shared" si="4"/>
        <v>44</v>
      </c>
      <c r="S62" s="42" t="s">
        <v>5</v>
      </c>
      <c r="T62" s="55" t="str">
        <f t="shared" si="5"/>
        <v>aa 00 04 21 1E 00 01 44 55</v>
      </c>
      <c r="U62" s="474" t="s">
        <v>147</v>
      </c>
      <c r="V62" s="563"/>
      <c r="W62" s="563"/>
      <c r="X62" s="563"/>
      <c r="Y62" s="563"/>
      <c r="Z62" s="563"/>
      <c r="AA62" s="563"/>
      <c r="AB62" s="475"/>
      <c r="AC62" t="s">
        <v>579</v>
      </c>
    </row>
    <row r="63" spans="2:29" ht="20.100000000000001" customHeight="1" x14ac:dyDescent="0.25">
      <c r="B63" s="1" t="s">
        <v>0</v>
      </c>
      <c r="C63" s="1" t="s">
        <v>1</v>
      </c>
      <c r="D63" s="1" t="s">
        <v>2</v>
      </c>
      <c r="E63" s="2" t="s">
        <v>3</v>
      </c>
      <c r="F63" s="2" t="s">
        <v>217</v>
      </c>
      <c r="G63" s="2" t="s">
        <v>1</v>
      </c>
      <c r="H63" s="4" t="s">
        <v>14</v>
      </c>
      <c r="I63" s="57"/>
      <c r="J63" s="57"/>
      <c r="K63" s="57"/>
      <c r="L63" s="57"/>
      <c r="M63" s="57"/>
      <c r="N63" s="57"/>
      <c r="O63" s="57"/>
      <c r="P63" s="57"/>
      <c r="Q63" s="57"/>
      <c r="R63" s="42" t="str">
        <f t="shared" si="4"/>
        <v>45</v>
      </c>
      <c r="S63" s="42" t="s">
        <v>5</v>
      </c>
      <c r="T63" s="55" t="str">
        <f>IF(ISBLANK(B63),,B63&amp;" ")&amp;IF(ISBLANK(C63),,C63&amp;" ")&amp;IF(ISBLANK(D63),,D63&amp;" ")&amp;IF(ISBLANK(E63),,E63&amp;" ")&amp;IF(ISBLANK(F63),,F63&amp;" ")&amp;IF(ISBLANK(G63),,G63&amp;" ")&amp;IF(ISBLANK(H63),,H63&amp;" ")&amp;IF(ISBLANK(I63),,I63&amp;" ")&amp;IF(ISBLANK(J63),,J63&amp;" ")&amp;IF(ISBLANK(K63),,K63&amp;" ")&amp;IF(ISBLANK(L63),,L63&amp;" ")&amp;IF(ISBLANK(M63),,M63&amp;" ")&amp;IF(ISBLANK(N63),,N63&amp;" ")&amp;IF(ISBLANK(Q63),,Q63&amp;" ")&amp;IF(ISBLANK(R63),,R63&amp;" ")&amp;IF(ISBLANK(S63),,S63)</f>
        <v>aa 00 04 21 1F 00 01 45 55</v>
      </c>
      <c r="U63" s="474" t="s">
        <v>148</v>
      </c>
      <c r="V63" s="563"/>
      <c r="W63" s="563"/>
      <c r="X63" s="563"/>
      <c r="Y63" s="563"/>
      <c r="Z63" s="563"/>
      <c r="AA63" s="563"/>
      <c r="AB63" s="475"/>
      <c r="AC63" t="s">
        <v>579</v>
      </c>
    </row>
    <row r="64" spans="2:29" ht="20.100000000000001" customHeight="1" x14ac:dyDescent="0.25">
      <c r="B64" s="1" t="s">
        <v>0</v>
      </c>
      <c r="C64" s="1" t="s">
        <v>1</v>
      </c>
      <c r="D64" s="1" t="s">
        <v>2</v>
      </c>
      <c r="E64" s="2" t="s">
        <v>3</v>
      </c>
      <c r="F64" s="2" t="s">
        <v>167</v>
      </c>
      <c r="G64" s="2" t="s">
        <v>1</v>
      </c>
      <c r="H64" s="4" t="s">
        <v>14</v>
      </c>
      <c r="I64" s="57"/>
      <c r="J64" s="57"/>
      <c r="K64" s="57"/>
      <c r="L64" s="57"/>
      <c r="M64" s="57"/>
      <c r="N64" s="57"/>
      <c r="O64" s="57"/>
      <c r="P64" s="57"/>
      <c r="Q64" s="57"/>
      <c r="R64" s="42" t="str">
        <f t="shared" ref="R64:R93" si="6">DEC2HEX(MOD(HEX2DEC(C64)+HEX2DEC(D64)+HEX2DEC(E64)+HEX2DEC(F64)+HEX2DEC(G64)+HEX2DEC(H64)+HEX2DEC(I64)+HEX2DEC(J64)+HEX2DEC(K64)+HEX2DEC(L64)+HEX2DEC(M64)+HEX2DEC(N64)+HEX2DEC(Q64),256),2)</f>
        <v>46</v>
      </c>
      <c r="S64" s="42" t="s">
        <v>5</v>
      </c>
      <c r="T64" s="55" t="str">
        <f t="shared" ref="T64:T93" si="7">IF(ISBLANK(B64),,B64&amp;" ")&amp;IF(ISBLANK(C64),,C64&amp;" ")&amp;IF(ISBLANK(D64),,D64&amp;" ")&amp;IF(ISBLANK(E64),,E64&amp;" ")&amp;IF(ISBLANK(F64),,F64&amp;" ")&amp;IF(ISBLANK(G64),,G64&amp;" ")&amp;IF(ISBLANK(H64),,H64&amp;" ")&amp;IF(ISBLANK(I64),,I64&amp;" ")&amp;IF(ISBLANK(J64),,J64&amp;" ")&amp;IF(ISBLANK(K64),,K64&amp;" ")&amp;IF(ISBLANK(L64),,L64&amp;" ")&amp;IF(ISBLANK(M64),,M64&amp;" ")&amp;IF(ISBLANK(N64),,N64&amp;" ")&amp;IF(ISBLANK(Q64),,Q64&amp;" ")&amp;IF(ISBLANK(R64),,R64&amp;" ")&amp;IF(ISBLANK(S64),,S64)</f>
        <v>aa 00 04 21 20 00 01 46 55</v>
      </c>
      <c r="U64" s="474" t="s">
        <v>149</v>
      </c>
      <c r="V64" s="563"/>
      <c r="W64" s="563"/>
      <c r="X64" s="563"/>
      <c r="Y64" s="563"/>
      <c r="Z64" s="563"/>
      <c r="AA64" s="563"/>
      <c r="AB64" s="475"/>
      <c r="AC64" t="s">
        <v>579</v>
      </c>
    </row>
    <row r="65" spans="2:29" ht="20.100000000000001" customHeight="1" x14ac:dyDescent="0.25">
      <c r="B65" s="1" t="s">
        <v>0</v>
      </c>
      <c r="C65" s="1" t="s">
        <v>1</v>
      </c>
      <c r="D65" s="1" t="s">
        <v>2</v>
      </c>
      <c r="E65" s="2" t="s">
        <v>3</v>
      </c>
      <c r="F65" s="2" t="s">
        <v>168</v>
      </c>
      <c r="G65" s="2" t="s">
        <v>1</v>
      </c>
      <c r="H65" s="4" t="s">
        <v>14</v>
      </c>
      <c r="I65" s="57"/>
      <c r="J65" s="57"/>
      <c r="K65" s="57"/>
      <c r="L65" s="57"/>
      <c r="M65" s="57"/>
      <c r="N65" s="57"/>
      <c r="O65" s="57"/>
      <c r="P65" s="57"/>
      <c r="Q65" s="57"/>
      <c r="R65" s="42" t="str">
        <f t="shared" si="6"/>
        <v>47</v>
      </c>
      <c r="S65" s="42" t="s">
        <v>5</v>
      </c>
      <c r="T65" s="55" t="str">
        <f t="shared" si="7"/>
        <v>aa 00 04 21 21 00 01 47 55</v>
      </c>
      <c r="U65" s="474" t="s">
        <v>150</v>
      </c>
      <c r="V65" s="563"/>
      <c r="W65" s="563"/>
      <c r="X65" s="563"/>
      <c r="Y65" s="563"/>
      <c r="Z65" s="563"/>
      <c r="AA65" s="563"/>
      <c r="AB65" s="475"/>
      <c r="AC65" t="s">
        <v>579</v>
      </c>
    </row>
    <row r="66" spans="2:29" ht="20.100000000000001" customHeight="1" x14ac:dyDescent="0.25">
      <c r="B66" s="1" t="s">
        <v>0</v>
      </c>
      <c r="C66" s="1" t="s">
        <v>1</v>
      </c>
      <c r="D66" s="1" t="s">
        <v>2</v>
      </c>
      <c r="E66" s="2" t="s">
        <v>3</v>
      </c>
      <c r="F66" s="2" t="s">
        <v>169</v>
      </c>
      <c r="G66" s="2" t="s">
        <v>1</v>
      </c>
      <c r="H66" s="4" t="s">
        <v>14</v>
      </c>
      <c r="I66" s="57"/>
      <c r="J66" s="57"/>
      <c r="K66" s="57"/>
      <c r="L66" s="57"/>
      <c r="M66" s="57"/>
      <c r="N66" s="57"/>
      <c r="O66" s="57"/>
      <c r="P66" s="57"/>
      <c r="Q66" s="57"/>
      <c r="R66" s="42" t="str">
        <f t="shared" si="6"/>
        <v>48</v>
      </c>
      <c r="S66" s="42" t="s">
        <v>5</v>
      </c>
      <c r="T66" s="55" t="str">
        <f t="shared" si="7"/>
        <v>aa 00 04 21 22 00 01 48 55</v>
      </c>
      <c r="U66" s="474" t="s">
        <v>151</v>
      </c>
      <c r="V66" s="563"/>
      <c r="W66" s="563"/>
      <c r="X66" s="563"/>
      <c r="Y66" s="563"/>
      <c r="Z66" s="563"/>
      <c r="AA66" s="563"/>
      <c r="AB66" s="475"/>
      <c r="AC66" t="s">
        <v>579</v>
      </c>
    </row>
    <row r="67" spans="2:29" ht="20.100000000000001" customHeight="1" x14ac:dyDescent="0.25">
      <c r="B67" s="1" t="s">
        <v>0</v>
      </c>
      <c r="C67" s="1" t="s">
        <v>1</v>
      </c>
      <c r="D67" s="1" t="s">
        <v>2</v>
      </c>
      <c r="E67" s="2" t="s">
        <v>3</v>
      </c>
      <c r="F67" s="2" t="s">
        <v>170</v>
      </c>
      <c r="G67" s="2" t="s">
        <v>1</v>
      </c>
      <c r="H67" s="4" t="s">
        <v>14</v>
      </c>
      <c r="I67" s="57"/>
      <c r="J67" s="57"/>
      <c r="K67" s="57"/>
      <c r="L67" s="57"/>
      <c r="M67" s="57"/>
      <c r="N67" s="57"/>
      <c r="O67" s="57"/>
      <c r="P67" s="57"/>
      <c r="Q67" s="57"/>
      <c r="R67" s="42" t="str">
        <f t="shared" si="6"/>
        <v>49</v>
      </c>
      <c r="S67" s="42" t="s">
        <v>5</v>
      </c>
      <c r="T67" s="55" t="str">
        <f>IF(ISBLANK(B67),,B67&amp;" ")&amp;IF(ISBLANK(C67),,C67&amp;" ")&amp;IF(ISBLANK(D67),,D67&amp;" ")&amp;IF(ISBLANK(E67),,E67&amp;" ")&amp;IF(ISBLANK(F67),,F67&amp;" ")&amp;IF(ISBLANK(G67),,G67&amp;" ")&amp;IF(ISBLANK(H67),,H67&amp;" ")&amp;IF(ISBLANK(I67),,I67&amp;" ")&amp;IF(ISBLANK(J67),,J67&amp;" ")&amp;IF(ISBLANK(K67),,K67&amp;" ")&amp;IF(ISBLANK(L67),,L67&amp;" ")&amp;IF(ISBLANK(M67),,M67&amp;" ")&amp;IF(ISBLANK(N67),,N67&amp;" ")&amp;IF(ISBLANK(Q67),,Q67&amp;" ")&amp;IF(ISBLANK(R67),,R67&amp;" ")&amp;IF(ISBLANK(S67),,S67)</f>
        <v>aa 00 04 21 23 00 01 49 55</v>
      </c>
      <c r="U67" s="474" t="s">
        <v>152</v>
      </c>
      <c r="V67" s="563"/>
      <c r="W67" s="563"/>
      <c r="X67" s="563"/>
      <c r="Y67" s="563"/>
      <c r="Z67" s="563"/>
      <c r="AA67" s="563"/>
      <c r="AB67" s="475"/>
      <c r="AC67" t="s">
        <v>579</v>
      </c>
    </row>
    <row r="68" spans="2:29" ht="20.100000000000001" customHeight="1" x14ac:dyDescent="0.25">
      <c r="B68" s="1" t="s">
        <v>0</v>
      </c>
      <c r="C68" s="1" t="s">
        <v>1</v>
      </c>
      <c r="D68" s="1" t="s">
        <v>2</v>
      </c>
      <c r="E68" s="2" t="s">
        <v>3</v>
      </c>
      <c r="F68" s="2" t="s">
        <v>171</v>
      </c>
      <c r="G68" s="2" t="s">
        <v>1</v>
      </c>
      <c r="H68" s="4" t="s">
        <v>14</v>
      </c>
      <c r="I68" s="57"/>
      <c r="J68" s="57"/>
      <c r="K68" s="57"/>
      <c r="L68" s="57"/>
      <c r="M68" s="57"/>
      <c r="N68" s="57"/>
      <c r="O68" s="57"/>
      <c r="P68" s="57"/>
      <c r="Q68" s="57"/>
      <c r="R68" s="42" t="str">
        <f t="shared" si="6"/>
        <v>4A</v>
      </c>
      <c r="S68" s="42" t="s">
        <v>5</v>
      </c>
      <c r="T68" s="55" t="str">
        <f t="shared" si="7"/>
        <v>aa 00 04 21 24 00 01 4A 55</v>
      </c>
      <c r="U68" s="474" t="s">
        <v>153</v>
      </c>
      <c r="V68" s="563"/>
      <c r="W68" s="563"/>
      <c r="X68" s="563"/>
      <c r="Y68" s="563"/>
      <c r="Z68" s="563"/>
      <c r="AA68" s="563"/>
      <c r="AB68" s="475"/>
      <c r="AC68" t="s">
        <v>579</v>
      </c>
    </row>
    <row r="69" spans="2:29" ht="20.100000000000001" customHeight="1" x14ac:dyDescent="0.25">
      <c r="B69" s="1" t="s">
        <v>0</v>
      </c>
      <c r="C69" s="1" t="s">
        <v>1</v>
      </c>
      <c r="D69" s="1" t="s">
        <v>2</v>
      </c>
      <c r="E69" s="2" t="s">
        <v>3</v>
      </c>
      <c r="F69" s="2" t="s">
        <v>172</v>
      </c>
      <c r="G69" s="2" t="s">
        <v>1</v>
      </c>
      <c r="H69" s="4" t="s">
        <v>14</v>
      </c>
      <c r="I69" s="57"/>
      <c r="J69" s="57"/>
      <c r="K69" s="57"/>
      <c r="L69" s="57"/>
      <c r="M69" s="57"/>
      <c r="N69" s="57"/>
      <c r="O69" s="57"/>
      <c r="P69" s="57"/>
      <c r="Q69" s="57"/>
      <c r="R69" s="42" t="str">
        <f t="shared" si="6"/>
        <v>4B</v>
      </c>
      <c r="S69" s="42" t="s">
        <v>5</v>
      </c>
      <c r="T69" s="55" t="str">
        <f t="shared" si="7"/>
        <v>aa 00 04 21 25 00 01 4B 55</v>
      </c>
      <c r="U69" s="474" t="s">
        <v>154</v>
      </c>
      <c r="V69" s="563"/>
      <c r="W69" s="563"/>
      <c r="X69" s="563"/>
      <c r="Y69" s="563"/>
      <c r="Z69" s="563"/>
      <c r="AA69" s="563"/>
      <c r="AB69" s="475"/>
      <c r="AC69" t="s">
        <v>579</v>
      </c>
    </row>
    <row r="70" spans="2:29" ht="20.100000000000001" customHeight="1" x14ac:dyDescent="0.25">
      <c r="B70" s="1" t="s">
        <v>0</v>
      </c>
      <c r="C70" s="1" t="s">
        <v>1</v>
      </c>
      <c r="D70" s="1" t="s">
        <v>2</v>
      </c>
      <c r="E70" s="2" t="s">
        <v>3</v>
      </c>
      <c r="F70" s="2" t="s">
        <v>173</v>
      </c>
      <c r="G70" s="2" t="s">
        <v>1</v>
      </c>
      <c r="H70" s="4" t="s">
        <v>14</v>
      </c>
      <c r="I70" s="57"/>
      <c r="J70" s="57"/>
      <c r="K70" s="57"/>
      <c r="L70" s="57"/>
      <c r="M70" s="57"/>
      <c r="N70" s="57"/>
      <c r="O70" s="57"/>
      <c r="P70" s="57"/>
      <c r="Q70" s="57"/>
      <c r="R70" s="42" t="str">
        <f t="shared" si="6"/>
        <v>4C</v>
      </c>
      <c r="S70" s="42" t="s">
        <v>5</v>
      </c>
      <c r="T70" s="55" t="str">
        <f t="shared" si="7"/>
        <v>aa 00 04 21 26 00 01 4C 55</v>
      </c>
      <c r="U70" s="474" t="s">
        <v>155</v>
      </c>
      <c r="V70" s="563"/>
      <c r="W70" s="563"/>
      <c r="X70" s="563"/>
      <c r="Y70" s="563"/>
      <c r="Z70" s="563"/>
      <c r="AA70" s="563"/>
      <c r="AB70" s="475"/>
      <c r="AC70" t="s">
        <v>579</v>
      </c>
    </row>
    <row r="71" spans="2:29" ht="20.100000000000001" customHeight="1" x14ac:dyDescent="0.25">
      <c r="B71" s="1" t="s">
        <v>0</v>
      </c>
      <c r="C71" s="1" t="s">
        <v>1</v>
      </c>
      <c r="D71" s="1" t="s">
        <v>2</v>
      </c>
      <c r="E71" s="2" t="s">
        <v>3</v>
      </c>
      <c r="F71" s="2" t="s">
        <v>174</v>
      </c>
      <c r="G71" s="2" t="s">
        <v>1</v>
      </c>
      <c r="H71" s="4" t="s">
        <v>14</v>
      </c>
      <c r="I71" s="57"/>
      <c r="J71" s="57"/>
      <c r="K71" s="57"/>
      <c r="L71" s="57"/>
      <c r="M71" s="57"/>
      <c r="N71" s="57"/>
      <c r="O71" s="57"/>
      <c r="P71" s="57"/>
      <c r="Q71" s="57"/>
      <c r="R71" s="42" t="str">
        <f t="shared" si="6"/>
        <v>4D</v>
      </c>
      <c r="S71" s="42" t="s">
        <v>5</v>
      </c>
      <c r="T71" s="55" t="str">
        <f t="shared" si="7"/>
        <v>aa 00 04 21 27 00 01 4D 55</v>
      </c>
      <c r="U71" s="474" t="s">
        <v>156</v>
      </c>
      <c r="V71" s="563"/>
      <c r="W71" s="563"/>
      <c r="X71" s="563"/>
      <c r="Y71" s="563"/>
      <c r="Z71" s="563"/>
      <c r="AA71" s="563"/>
      <c r="AB71" s="475"/>
      <c r="AC71" t="s">
        <v>579</v>
      </c>
    </row>
    <row r="72" spans="2:29" ht="20.100000000000001" customHeight="1" x14ac:dyDescent="0.25">
      <c r="B72" s="1" t="s">
        <v>0</v>
      </c>
      <c r="C72" s="1" t="s">
        <v>1</v>
      </c>
      <c r="D72" s="1" t="s">
        <v>2</v>
      </c>
      <c r="E72" s="2" t="s">
        <v>3</v>
      </c>
      <c r="F72" s="2" t="s">
        <v>175</v>
      </c>
      <c r="G72" s="2" t="s">
        <v>1</v>
      </c>
      <c r="H72" s="4" t="s">
        <v>14</v>
      </c>
      <c r="I72" s="57"/>
      <c r="J72" s="57"/>
      <c r="K72" s="57"/>
      <c r="L72" s="57"/>
      <c r="M72" s="57"/>
      <c r="N72" s="57"/>
      <c r="O72" s="57"/>
      <c r="P72" s="57"/>
      <c r="Q72" s="57"/>
      <c r="R72" s="42" t="str">
        <f t="shared" si="6"/>
        <v>4E</v>
      </c>
      <c r="S72" s="42" t="s">
        <v>5</v>
      </c>
      <c r="T72" s="55" t="str">
        <f t="shared" si="7"/>
        <v>aa 00 04 21 28 00 01 4E 55</v>
      </c>
      <c r="U72" s="474" t="s">
        <v>187</v>
      </c>
      <c r="V72" s="563"/>
      <c r="W72" s="563"/>
      <c r="X72" s="563"/>
      <c r="Y72" s="563"/>
      <c r="Z72" s="563"/>
      <c r="AA72" s="563"/>
      <c r="AB72" s="475"/>
      <c r="AC72" t="s">
        <v>579</v>
      </c>
    </row>
    <row r="73" spans="2:29" s="39" customFormat="1" ht="20.100000000000001" customHeight="1" x14ac:dyDescent="0.25">
      <c r="B73" s="58"/>
      <c r="C73" s="58"/>
      <c r="D73" s="58"/>
      <c r="E73" s="59"/>
      <c r="F73" s="59"/>
      <c r="G73" s="59"/>
      <c r="H73" s="60"/>
      <c r="I73" s="61"/>
      <c r="J73" s="61"/>
      <c r="K73" s="61"/>
      <c r="L73" s="61"/>
      <c r="M73" s="61"/>
      <c r="N73" s="61"/>
      <c r="O73" s="61"/>
      <c r="P73" s="61"/>
      <c r="Q73" s="61"/>
      <c r="R73" s="62"/>
      <c r="S73" s="62"/>
      <c r="T73" s="53"/>
      <c r="U73" s="432"/>
      <c r="V73" s="432"/>
      <c r="W73" s="432"/>
      <c r="X73" s="432"/>
      <c r="Y73" s="432"/>
      <c r="Z73" s="432"/>
      <c r="AA73" s="432"/>
      <c r="AB73" s="432"/>
      <c r="AC73" t="s">
        <v>579</v>
      </c>
    </row>
    <row r="74" spans="2:29" ht="20.100000000000001" customHeight="1" x14ac:dyDescent="0.25">
      <c r="B74" s="1" t="s">
        <v>0</v>
      </c>
      <c r="C74" s="1" t="s">
        <v>1</v>
      </c>
      <c r="D74" s="1" t="s">
        <v>2</v>
      </c>
      <c r="E74" s="2" t="s">
        <v>3</v>
      </c>
      <c r="F74" s="2" t="s">
        <v>176</v>
      </c>
      <c r="G74" s="2" t="s">
        <v>1</v>
      </c>
      <c r="H74" s="4" t="s">
        <v>14</v>
      </c>
      <c r="I74" s="57"/>
      <c r="J74" s="57"/>
      <c r="K74" s="57"/>
      <c r="L74" s="57"/>
      <c r="M74" s="57"/>
      <c r="N74" s="57"/>
      <c r="O74" s="57"/>
      <c r="P74" s="57"/>
      <c r="Q74" s="57"/>
      <c r="R74" s="42" t="str">
        <f t="shared" si="6"/>
        <v>4F</v>
      </c>
      <c r="S74" s="42" t="s">
        <v>5</v>
      </c>
      <c r="T74" s="55" t="str">
        <f t="shared" si="7"/>
        <v>aa 00 04 21 29 00 01 4F 55</v>
      </c>
      <c r="U74" s="474" t="s">
        <v>287</v>
      </c>
      <c r="V74" s="563"/>
      <c r="W74" s="563"/>
      <c r="X74" s="563"/>
      <c r="Y74" s="563"/>
      <c r="Z74" s="563"/>
      <c r="AA74" s="563"/>
      <c r="AB74" s="475"/>
      <c r="AC74" t="s">
        <v>579</v>
      </c>
    </row>
    <row r="75" spans="2:29" ht="20.100000000000001" customHeight="1" x14ac:dyDescent="0.25">
      <c r="B75" s="1" t="s">
        <v>0</v>
      </c>
      <c r="C75" s="1" t="s">
        <v>1</v>
      </c>
      <c r="D75" s="1" t="s">
        <v>2</v>
      </c>
      <c r="E75" s="2" t="s">
        <v>3</v>
      </c>
      <c r="F75" s="2" t="s">
        <v>218</v>
      </c>
      <c r="G75" s="2" t="s">
        <v>1</v>
      </c>
      <c r="H75" s="4" t="s">
        <v>14</v>
      </c>
      <c r="I75" s="57"/>
      <c r="J75" s="57"/>
      <c r="K75" s="57"/>
      <c r="L75" s="57"/>
      <c r="M75" s="57"/>
      <c r="N75" s="57"/>
      <c r="O75" s="57"/>
      <c r="P75" s="57"/>
      <c r="Q75" s="57"/>
      <c r="R75" s="42" t="str">
        <f t="shared" si="6"/>
        <v>50</v>
      </c>
      <c r="S75" s="42" t="s">
        <v>5</v>
      </c>
      <c r="T75" s="55" t="str">
        <f t="shared" si="7"/>
        <v>aa 00 04 21 2A 00 01 50 55</v>
      </c>
      <c r="U75" s="474" t="s">
        <v>188</v>
      </c>
      <c r="V75" s="563"/>
      <c r="W75" s="563"/>
      <c r="X75" s="563"/>
      <c r="Y75" s="563"/>
      <c r="Z75" s="563"/>
      <c r="AA75" s="563"/>
      <c r="AB75" s="475"/>
      <c r="AC75" t="s">
        <v>579</v>
      </c>
    </row>
    <row r="76" spans="2:29" ht="20.100000000000001" customHeight="1" x14ac:dyDescent="0.25">
      <c r="B76" s="1" t="s">
        <v>0</v>
      </c>
      <c r="C76" s="1" t="s">
        <v>1</v>
      </c>
      <c r="D76" s="1" t="s">
        <v>2</v>
      </c>
      <c r="E76" s="2" t="s">
        <v>3</v>
      </c>
      <c r="F76" s="2" t="s">
        <v>219</v>
      </c>
      <c r="G76" s="2" t="s">
        <v>1</v>
      </c>
      <c r="H76" s="4" t="s">
        <v>14</v>
      </c>
      <c r="I76" s="57"/>
      <c r="J76" s="57"/>
      <c r="K76" s="57"/>
      <c r="L76" s="57"/>
      <c r="M76" s="57"/>
      <c r="N76" s="57"/>
      <c r="O76" s="57"/>
      <c r="P76" s="57"/>
      <c r="Q76" s="57"/>
      <c r="R76" s="42" t="str">
        <f t="shared" si="6"/>
        <v>51</v>
      </c>
      <c r="S76" s="42" t="s">
        <v>5</v>
      </c>
      <c r="T76" s="55" t="str">
        <f t="shared" si="7"/>
        <v>aa 00 04 21 2B 00 01 51 55</v>
      </c>
      <c r="U76" s="474" t="s">
        <v>189</v>
      </c>
      <c r="V76" s="563"/>
      <c r="W76" s="563"/>
      <c r="X76" s="563"/>
      <c r="Y76" s="563"/>
      <c r="Z76" s="563"/>
      <c r="AA76" s="563"/>
      <c r="AB76" s="475"/>
      <c r="AC76" t="s">
        <v>579</v>
      </c>
    </row>
    <row r="77" spans="2:29" ht="20.100000000000001" customHeight="1" x14ac:dyDescent="0.25">
      <c r="B77" s="1" t="s">
        <v>0</v>
      </c>
      <c r="C77" s="1" t="s">
        <v>1</v>
      </c>
      <c r="D77" s="1" t="s">
        <v>2</v>
      </c>
      <c r="E77" s="2" t="s">
        <v>3</v>
      </c>
      <c r="F77" s="2" t="s">
        <v>220</v>
      </c>
      <c r="G77" s="2" t="s">
        <v>1</v>
      </c>
      <c r="H77" s="4" t="s">
        <v>14</v>
      </c>
      <c r="I77" s="57"/>
      <c r="J77" s="57"/>
      <c r="K77" s="57"/>
      <c r="L77" s="57"/>
      <c r="M77" s="57"/>
      <c r="N77" s="57"/>
      <c r="O77" s="57"/>
      <c r="P77" s="57"/>
      <c r="Q77" s="57"/>
      <c r="R77" s="42" t="str">
        <f t="shared" si="6"/>
        <v>52</v>
      </c>
      <c r="S77" s="42" t="s">
        <v>5</v>
      </c>
      <c r="T77" s="55" t="str">
        <f t="shared" si="7"/>
        <v>aa 00 04 21 2C 00 01 52 55</v>
      </c>
      <c r="U77" s="474" t="s">
        <v>190</v>
      </c>
      <c r="V77" s="563"/>
      <c r="W77" s="563"/>
      <c r="X77" s="563"/>
      <c r="Y77" s="563"/>
      <c r="Z77" s="563"/>
      <c r="AA77" s="563"/>
      <c r="AB77" s="475"/>
      <c r="AC77" t="s">
        <v>579</v>
      </c>
    </row>
    <row r="78" spans="2:29" ht="20.100000000000001" customHeight="1" x14ac:dyDescent="0.25">
      <c r="B78" s="1" t="s">
        <v>0</v>
      </c>
      <c r="C78" s="1" t="s">
        <v>1</v>
      </c>
      <c r="D78" s="1" t="s">
        <v>2</v>
      </c>
      <c r="E78" s="2" t="s">
        <v>3</v>
      </c>
      <c r="F78" s="2" t="s">
        <v>221</v>
      </c>
      <c r="G78" s="2" t="s">
        <v>1</v>
      </c>
      <c r="H78" s="4" t="s">
        <v>14</v>
      </c>
      <c r="I78" s="57"/>
      <c r="J78" s="57"/>
      <c r="K78" s="57"/>
      <c r="L78" s="57"/>
      <c r="M78" s="57"/>
      <c r="N78" s="57"/>
      <c r="O78" s="57"/>
      <c r="P78" s="57"/>
      <c r="Q78" s="57"/>
      <c r="R78" s="42" t="str">
        <f t="shared" si="6"/>
        <v>53</v>
      </c>
      <c r="S78" s="42" t="s">
        <v>5</v>
      </c>
      <c r="T78" s="55" t="str">
        <f t="shared" si="7"/>
        <v>aa 00 04 21 2D 00 01 53 55</v>
      </c>
      <c r="U78" s="474" t="s">
        <v>191</v>
      </c>
      <c r="V78" s="563"/>
      <c r="W78" s="563"/>
      <c r="X78" s="563"/>
      <c r="Y78" s="563"/>
      <c r="Z78" s="563"/>
      <c r="AA78" s="563"/>
      <c r="AB78" s="475"/>
      <c r="AC78" t="s">
        <v>579</v>
      </c>
    </row>
    <row r="79" spans="2:29" ht="20.100000000000001" customHeight="1" x14ac:dyDescent="0.25">
      <c r="B79" s="1" t="s">
        <v>0</v>
      </c>
      <c r="C79" s="1" t="s">
        <v>1</v>
      </c>
      <c r="D79" s="1" t="s">
        <v>2</v>
      </c>
      <c r="E79" s="2" t="s">
        <v>3</v>
      </c>
      <c r="F79" s="2" t="s">
        <v>222</v>
      </c>
      <c r="G79" s="2" t="s">
        <v>1</v>
      </c>
      <c r="H79" s="4" t="s">
        <v>14</v>
      </c>
      <c r="I79" s="57"/>
      <c r="J79" s="57"/>
      <c r="K79" s="57"/>
      <c r="L79" s="57"/>
      <c r="M79" s="57"/>
      <c r="N79" s="57"/>
      <c r="O79" s="57"/>
      <c r="P79" s="57"/>
      <c r="Q79" s="57"/>
      <c r="R79" s="42" t="str">
        <f t="shared" si="6"/>
        <v>54</v>
      </c>
      <c r="S79" s="42" t="s">
        <v>5</v>
      </c>
      <c r="T79" s="55" t="str">
        <f t="shared" si="7"/>
        <v>aa 00 04 21 2E 00 01 54 55</v>
      </c>
      <c r="U79" s="474" t="s">
        <v>192</v>
      </c>
      <c r="V79" s="563"/>
      <c r="W79" s="563"/>
      <c r="X79" s="563"/>
      <c r="Y79" s="563"/>
      <c r="Z79" s="563"/>
      <c r="AA79" s="563"/>
      <c r="AB79" s="475"/>
      <c r="AC79" t="s">
        <v>579</v>
      </c>
    </row>
    <row r="80" spans="2:29" ht="20.100000000000001" customHeight="1" x14ac:dyDescent="0.25">
      <c r="B80" s="1" t="s">
        <v>0</v>
      </c>
      <c r="C80" s="1" t="s">
        <v>1</v>
      </c>
      <c r="D80" s="1" t="s">
        <v>2</v>
      </c>
      <c r="E80" s="2" t="s">
        <v>3</v>
      </c>
      <c r="F80" s="2" t="s">
        <v>223</v>
      </c>
      <c r="G80" s="2" t="s">
        <v>1</v>
      </c>
      <c r="H80" s="4" t="s">
        <v>14</v>
      </c>
      <c r="I80" s="57"/>
      <c r="J80" s="57"/>
      <c r="K80" s="57"/>
      <c r="L80" s="57"/>
      <c r="M80" s="57"/>
      <c r="N80" s="57"/>
      <c r="O80" s="57"/>
      <c r="P80" s="57"/>
      <c r="Q80" s="57"/>
      <c r="R80" s="42" t="str">
        <f t="shared" si="6"/>
        <v>55</v>
      </c>
      <c r="S80" s="42" t="s">
        <v>5</v>
      </c>
      <c r="T80" s="55" t="str">
        <f t="shared" si="7"/>
        <v>aa 00 04 21 2F 00 01 55 55</v>
      </c>
      <c r="U80" s="474" t="s">
        <v>193</v>
      </c>
      <c r="V80" s="563"/>
      <c r="W80" s="563"/>
      <c r="X80" s="563"/>
      <c r="Y80" s="563"/>
      <c r="Z80" s="563"/>
      <c r="AA80" s="563"/>
      <c r="AB80" s="475"/>
      <c r="AC80" t="s">
        <v>579</v>
      </c>
    </row>
    <row r="81" spans="2:29" ht="20.100000000000001" customHeight="1" x14ac:dyDescent="0.25">
      <c r="B81" s="1" t="s">
        <v>0</v>
      </c>
      <c r="C81" s="1" t="s">
        <v>1</v>
      </c>
      <c r="D81" s="1" t="s">
        <v>2</v>
      </c>
      <c r="E81" s="2" t="s">
        <v>3</v>
      </c>
      <c r="F81" s="2" t="s">
        <v>177</v>
      </c>
      <c r="G81" s="2" t="s">
        <v>1</v>
      </c>
      <c r="H81" s="4" t="s">
        <v>14</v>
      </c>
      <c r="I81" s="57"/>
      <c r="J81" s="57"/>
      <c r="K81" s="57"/>
      <c r="L81" s="57"/>
      <c r="M81" s="57"/>
      <c r="N81" s="57"/>
      <c r="O81" s="57"/>
      <c r="P81" s="57"/>
      <c r="Q81" s="57"/>
      <c r="R81" s="42" t="str">
        <f t="shared" si="6"/>
        <v>56</v>
      </c>
      <c r="S81" s="42" t="s">
        <v>5</v>
      </c>
      <c r="T81" s="55" t="str">
        <f t="shared" si="7"/>
        <v>aa 00 04 21 30 00 01 56 55</v>
      </c>
      <c r="U81" s="474" t="s">
        <v>194</v>
      </c>
      <c r="V81" s="563"/>
      <c r="W81" s="563"/>
      <c r="X81" s="563"/>
      <c r="Y81" s="563"/>
      <c r="Z81" s="563"/>
      <c r="AA81" s="563"/>
      <c r="AB81" s="475"/>
      <c r="AC81" t="s">
        <v>579</v>
      </c>
    </row>
    <row r="82" spans="2:29" ht="20.100000000000001" customHeight="1" x14ac:dyDescent="0.25">
      <c r="B82" s="1" t="s">
        <v>0</v>
      </c>
      <c r="C82" s="1" t="s">
        <v>1</v>
      </c>
      <c r="D82" s="1" t="s">
        <v>2</v>
      </c>
      <c r="E82" s="2" t="s">
        <v>3</v>
      </c>
      <c r="F82" s="2" t="s">
        <v>178</v>
      </c>
      <c r="G82" s="2" t="s">
        <v>1</v>
      </c>
      <c r="H82" s="4" t="s">
        <v>14</v>
      </c>
      <c r="I82" s="57"/>
      <c r="J82" s="57"/>
      <c r="K82" s="57"/>
      <c r="L82" s="57"/>
      <c r="M82" s="57"/>
      <c r="N82" s="57"/>
      <c r="O82" s="57"/>
      <c r="P82" s="57"/>
      <c r="Q82" s="57"/>
      <c r="R82" s="42" t="str">
        <f t="shared" si="6"/>
        <v>57</v>
      </c>
      <c r="S82" s="42" t="s">
        <v>5</v>
      </c>
      <c r="T82" s="55" t="str">
        <f t="shared" si="7"/>
        <v>aa 00 04 21 31 00 01 57 55</v>
      </c>
      <c r="U82" s="474" t="s">
        <v>195</v>
      </c>
      <c r="V82" s="563"/>
      <c r="W82" s="563"/>
      <c r="X82" s="563"/>
      <c r="Y82" s="563"/>
      <c r="Z82" s="563"/>
      <c r="AA82" s="563"/>
      <c r="AB82" s="475"/>
      <c r="AC82" t="s">
        <v>579</v>
      </c>
    </row>
    <row r="83" spans="2:29" ht="20.100000000000001" customHeight="1" x14ac:dyDescent="0.25">
      <c r="B83" s="1" t="s">
        <v>0</v>
      </c>
      <c r="C83" s="1" t="s">
        <v>1</v>
      </c>
      <c r="D83" s="1" t="s">
        <v>2</v>
      </c>
      <c r="E83" s="2" t="s">
        <v>3</v>
      </c>
      <c r="F83" s="2" t="s">
        <v>179</v>
      </c>
      <c r="G83" s="2" t="s">
        <v>1</v>
      </c>
      <c r="H83" s="4" t="s">
        <v>14</v>
      </c>
      <c r="I83" s="57"/>
      <c r="J83" s="57"/>
      <c r="K83" s="57"/>
      <c r="L83" s="57"/>
      <c r="M83" s="57"/>
      <c r="N83" s="57"/>
      <c r="O83" s="57"/>
      <c r="P83" s="57"/>
      <c r="Q83" s="57"/>
      <c r="R83" s="42" t="str">
        <f t="shared" si="6"/>
        <v>58</v>
      </c>
      <c r="S83" s="42" t="s">
        <v>5</v>
      </c>
      <c r="T83" s="55" t="str">
        <f t="shared" si="7"/>
        <v>aa 00 04 21 32 00 01 58 55</v>
      </c>
      <c r="U83" s="474" t="s">
        <v>196</v>
      </c>
      <c r="V83" s="563"/>
      <c r="W83" s="563"/>
      <c r="X83" s="563"/>
      <c r="Y83" s="563"/>
      <c r="Z83" s="563"/>
      <c r="AA83" s="563"/>
      <c r="AB83" s="475"/>
      <c r="AC83" t="s">
        <v>579</v>
      </c>
    </row>
    <row r="84" spans="2:29" ht="20.100000000000001" customHeight="1" x14ac:dyDescent="0.25">
      <c r="B84" s="1" t="s">
        <v>0</v>
      </c>
      <c r="C84" s="1" t="s">
        <v>1</v>
      </c>
      <c r="D84" s="1" t="s">
        <v>2</v>
      </c>
      <c r="E84" s="2" t="s">
        <v>3</v>
      </c>
      <c r="F84" s="2" t="s">
        <v>180</v>
      </c>
      <c r="G84" s="2" t="s">
        <v>1</v>
      </c>
      <c r="H84" s="4" t="s">
        <v>14</v>
      </c>
      <c r="I84" s="57"/>
      <c r="J84" s="57"/>
      <c r="K84" s="57"/>
      <c r="L84" s="57"/>
      <c r="M84" s="57"/>
      <c r="N84" s="57"/>
      <c r="O84" s="57"/>
      <c r="P84" s="57"/>
      <c r="Q84" s="57"/>
      <c r="R84" s="42" t="str">
        <f t="shared" si="6"/>
        <v>59</v>
      </c>
      <c r="S84" s="42" t="s">
        <v>5</v>
      </c>
      <c r="T84" s="55" t="str">
        <f t="shared" si="7"/>
        <v>aa 00 04 21 33 00 01 59 55</v>
      </c>
      <c r="U84" s="474" t="s">
        <v>197</v>
      </c>
      <c r="V84" s="563"/>
      <c r="W84" s="563"/>
      <c r="X84" s="563"/>
      <c r="Y84" s="563"/>
      <c r="Z84" s="563"/>
      <c r="AA84" s="563"/>
      <c r="AB84" s="475"/>
      <c r="AC84" t="s">
        <v>579</v>
      </c>
    </row>
    <row r="85" spans="2:29" ht="20.100000000000001" customHeight="1" x14ac:dyDescent="0.25">
      <c r="B85" s="1" t="s">
        <v>0</v>
      </c>
      <c r="C85" s="1" t="s">
        <v>1</v>
      </c>
      <c r="D85" s="1" t="s">
        <v>2</v>
      </c>
      <c r="E85" s="2" t="s">
        <v>3</v>
      </c>
      <c r="F85" s="2" t="s">
        <v>181</v>
      </c>
      <c r="G85" s="2" t="s">
        <v>1</v>
      </c>
      <c r="H85" s="4" t="s">
        <v>14</v>
      </c>
      <c r="I85" s="57"/>
      <c r="J85" s="57"/>
      <c r="K85" s="57"/>
      <c r="L85" s="57"/>
      <c r="M85" s="57"/>
      <c r="N85" s="57"/>
      <c r="O85" s="57"/>
      <c r="P85" s="57"/>
      <c r="Q85" s="57"/>
      <c r="R85" s="42" t="str">
        <f t="shared" si="6"/>
        <v>5A</v>
      </c>
      <c r="S85" s="42" t="s">
        <v>5</v>
      </c>
      <c r="T85" s="55" t="str">
        <f t="shared" si="7"/>
        <v>aa 00 04 21 34 00 01 5A 55</v>
      </c>
      <c r="U85" s="474" t="s">
        <v>198</v>
      </c>
      <c r="V85" s="563"/>
      <c r="W85" s="563"/>
      <c r="X85" s="563"/>
      <c r="Y85" s="563"/>
      <c r="Z85" s="563"/>
      <c r="AA85" s="563"/>
      <c r="AB85" s="475"/>
      <c r="AC85" t="s">
        <v>579</v>
      </c>
    </row>
    <row r="86" spans="2:29" ht="20.100000000000001" customHeight="1" x14ac:dyDescent="0.25">
      <c r="B86" s="1" t="s">
        <v>0</v>
      </c>
      <c r="C86" s="1" t="s">
        <v>1</v>
      </c>
      <c r="D86" s="1" t="s">
        <v>2</v>
      </c>
      <c r="E86" s="2" t="s">
        <v>3</v>
      </c>
      <c r="F86" s="2" t="s">
        <v>182</v>
      </c>
      <c r="G86" s="2" t="s">
        <v>1</v>
      </c>
      <c r="H86" s="4" t="s">
        <v>14</v>
      </c>
      <c r="I86" s="57"/>
      <c r="J86" s="57"/>
      <c r="K86" s="57"/>
      <c r="L86" s="57"/>
      <c r="M86" s="57"/>
      <c r="N86" s="57"/>
      <c r="O86" s="57"/>
      <c r="P86" s="57"/>
      <c r="Q86" s="57"/>
      <c r="R86" s="42" t="str">
        <f t="shared" si="6"/>
        <v>5B</v>
      </c>
      <c r="S86" s="42" t="s">
        <v>5</v>
      </c>
      <c r="T86" s="55" t="str">
        <f t="shared" si="7"/>
        <v>aa 00 04 21 35 00 01 5B 55</v>
      </c>
      <c r="U86" s="474" t="s">
        <v>199</v>
      </c>
      <c r="V86" s="563"/>
      <c r="W86" s="563"/>
      <c r="X86" s="563"/>
      <c r="Y86" s="563"/>
      <c r="Z86" s="563"/>
      <c r="AA86" s="563"/>
      <c r="AB86" s="475"/>
      <c r="AC86" t="s">
        <v>579</v>
      </c>
    </row>
    <row r="87" spans="2:29" ht="20.100000000000001" customHeight="1" x14ac:dyDescent="0.25">
      <c r="B87" s="1" t="s">
        <v>0</v>
      </c>
      <c r="C87" s="1" t="s">
        <v>1</v>
      </c>
      <c r="D87" s="1" t="s">
        <v>2</v>
      </c>
      <c r="E87" s="2" t="s">
        <v>3</v>
      </c>
      <c r="F87" s="2" t="s">
        <v>183</v>
      </c>
      <c r="G87" s="2" t="s">
        <v>1</v>
      </c>
      <c r="H87" s="4" t="s">
        <v>14</v>
      </c>
      <c r="I87" s="57"/>
      <c r="J87" s="57"/>
      <c r="K87" s="57"/>
      <c r="L87" s="57"/>
      <c r="M87" s="57"/>
      <c r="N87" s="57"/>
      <c r="O87" s="57"/>
      <c r="P87" s="57"/>
      <c r="Q87" s="57"/>
      <c r="R87" s="42" t="str">
        <f t="shared" si="6"/>
        <v>5C</v>
      </c>
      <c r="S87" s="42" t="s">
        <v>5</v>
      </c>
      <c r="T87" s="55" t="str">
        <f t="shared" si="7"/>
        <v>aa 00 04 21 36 00 01 5C 55</v>
      </c>
      <c r="U87" s="474" t="s">
        <v>200</v>
      </c>
      <c r="V87" s="563"/>
      <c r="W87" s="563"/>
      <c r="X87" s="563"/>
      <c r="Y87" s="563"/>
      <c r="Z87" s="563"/>
      <c r="AA87" s="563"/>
      <c r="AB87" s="475"/>
      <c r="AC87" t="s">
        <v>579</v>
      </c>
    </row>
    <row r="88" spans="2:29" ht="20.100000000000001" customHeight="1" x14ac:dyDescent="0.25">
      <c r="B88" s="1" t="s">
        <v>0</v>
      </c>
      <c r="C88" s="1" t="s">
        <v>1</v>
      </c>
      <c r="D88" s="1" t="s">
        <v>2</v>
      </c>
      <c r="E88" s="2" t="s">
        <v>3</v>
      </c>
      <c r="F88" s="2" t="s">
        <v>184</v>
      </c>
      <c r="G88" s="2" t="s">
        <v>1</v>
      </c>
      <c r="H88" s="4" t="s">
        <v>14</v>
      </c>
      <c r="I88" s="57"/>
      <c r="J88" s="57"/>
      <c r="K88" s="57"/>
      <c r="L88" s="57"/>
      <c r="M88" s="57"/>
      <c r="N88" s="57"/>
      <c r="O88" s="57"/>
      <c r="P88" s="57"/>
      <c r="Q88" s="57"/>
      <c r="R88" s="42" t="str">
        <f t="shared" si="6"/>
        <v>5D</v>
      </c>
      <c r="S88" s="42" t="s">
        <v>5</v>
      </c>
      <c r="T88" s="55" t="str">
        <f t="shared" si="7"/>
        <v>aa 00 04 21 37 00 01 5D 55</v>
      </c>
      <c r="U88" s="474" t="s">
        <v>201</v>
      </c>
      <c r="V88" s="563"/>
      <c r="W88" s="563"/>
      <c r="X88" s="563"/>
      <c r="Y88" s="563"/>
      <c r="Z88" s="563"/>
      <c r="AA88" s="563"/>
      <c r="AB88" s="475"/>
      <c r="AC88" t="s">
        <v>579</v>
      </c>
    </row>
    <row r="89" spans="2:29" ht="20.100000000000001" customHeight="1" x14ac:dyDescent="0.25">
      <c r="B89" s="1" t="s">
        <v>0</v>
      </c>
      <c r="C89" s="1" t="s">
        <v>1</v>
      </c>
      <c r="D89" s="1" t="s">
        <v>2</v>
      </c>
      <c r="E89" s="2" t="s">
        <v>3</v>
      </c>
      <c r="F89" s="2" t="s">
        <v>185</v>
      </c>
      <c r="G89" s="2" t="s">
        <v>1</v>
      </c>
      <c r="H89" s="4" t="s">
        <v>14</v>
      </c>
      <c r="I89" s="57"/>
      <c r="J89" s="57"/>
      <c r="K89" s="57"/>
      <c r="L89" s="57"/>
      <c r="M89" s="57"/>
      <c r="N89" s="57"/>
      <c r="O89" s="57"/>
      <c r="P89" s="57"/>
      <c r="Q89" s="57"/>
      <c r="R89" s="42" t="str">
        <f t="shared" si="6"/>
        <v>5E</v>
      </c>
      <c r="S89" s="42" t="s">
        <v>5</v>
      </c>
      <c r="T89" s="55" t="str">
        <f t="shared" si="7"/>
        <v>aa 00 04 21 38 00 01 5E 55</v>
      </c>
      <c r="U89" s="474" t="s">
        <v>202</v>
      </c>
      <c r="V89" s="563"/>
      <c r="W89" s="563"/>
      <c r="X89" s="563"/>
      <c r="Y89" s="563"/>
      <c r="Z89" s="563"/>
      <c r="AA89" s="563"/>
      <c r="AB89" s="475"/>
      <c r="AC89" t="s">
        <v>579</v>
      </c>
    </row>
    <row r="90" spans="2:29" ht="20.100000000000001" customHeight="1" x14ac:dyDescent="0.25">
      <c r="B90" s="1" t="s">
        <v>0</v>
      </c>
      <c r="C90" s="1" t="s">
        <v>1</v>
      </c>
      <c r="D90" s="1" t="s">
        <v>2</v>
      </c>
      <c r="E90" s="2" t="s">
        <v>3</v>
      </c>
      <c r="F90" s="2" t="s">
        <v>186</v>
      </c>
      <c r="G90" s="2" t="s">
        <v>1</v>
      </c>
      <c r="H90" s="4" t="s">
        <v>14</v>
      </c>
      <c r="I90" s="57"/>
      <c r="J90" s="57"/>
      <c r="K90" s="57"/>
      <c r="L90" s="57"/>
      <c r="M90" s="57"/>
      <c r="N90" s="57"/>
      <c r="O90" s="57"/>
      <c r="P90" s="57"/>
      <c r="Q90" s="57"/>
      <c r="R90" s="42" t="str">
        <f t="shared" si="6"/>
        <v>5F</v>
      </c>
      <c r="S90" s="42" t="s">
        <v>5</v>
      </c>
      <c r="T90" s="55" t="str">
        <f t="shared" si="7"/>
        <v>aa 00 04 21 39 00 01 5F 55</v>
      </c>
      <c r="U90" s="474" t="s">
        <v>203</v>
      </c>
      <c r="V90" s="563"/>
      <c r="W90" s="563"/>
      <c r="X90" s="563"/>
      <c r="Y90" s="563"/>
      <c r="Z90" s="563"/>
      <c r="AA90" s="563"/>
      <c r="AB90" s="475"/>
      <c r="AC90" t="s">
        <v>579</v>
      </c>
    </row>
    <row r="91" spans="2:29" ht="20.100000000000001" customHeight="1" x14ac:dyDescent="0.25">
      <c r="B91" s="1" t="s">
        <v>0</v>
      </c>
      <c r="C91" s="1" t="s">
        <v>1</v>
      </c>
      <c r="D91" s="1" t="s">
        <v>2</v>
      </c>
      <c r="E91" s="2" t="s">
        <v>3</v>
      </c>
      <c r="F91" s="2" t="s">
        <v>224</v>
      </c>
      <c r="G91" s="2" t="s">
        <v>1</v>
      </c>
      <c r="H91" s="4" t="s">
        <v>14</v>
      </c>
      <c r="I91" s="57"/>
      <c r="J91" s="57"/>
      <c r="K91" s="57"/>
      <c r="L91" s="57"/>
      <c r="M91" s="57"/>
      <c r="N91" s="57"/>
      <c r="O91" s="57"/>
      <c r="P91" s="57"/>
      <c r="Q91" s="57"/>
      <c r="R91" s="42" t="str">
        <f t="shared" si="6"/>
        <v>60</v>
      </c>
      <c r="S91" s="42" t="s">
        <v>5</v>
      </c>
      <c r="T91" s="55" t="str">
        <f t="shared" si="7"/>
        <v>aa 00 04 21 3A 00 01 60 55</v>
      </c>
      <c r="U91" s="474" t="s">
        <v>204</v>
      </c>
      <c r="V91" s="563"/>
      <c r="W91" s="563"/>
      <c r="X91" s="563"/>
      <c r="Y91" s="563"/>
      <c r="Z91" s="563"/>
      <c r="AA91" s="563"/>
      <c r="AB91" s="475"/>
      <c r="AC91" t="s">
        <v>579</v>
      </c>
    </row>
    <row r="92" spans="2:29" ht="20.100000000000001" customHeight="1" x14ac:dyDescent="0.25">
      <c r="B92" s="1" t="s">
        <v>0</v>
      </c>
      <c r="C92" s="1" t="s">
        <v>1</v>
      </c>
      <c r="D92" s="1" t="s">
        <v>2</v>
      </c>
      <c r="E92" s="2" t="s">
        <v>3</v>
      </c>
      <c r="F92" s="2" t="s">
        <v>225</v>
      </c>
      <c r="G92" s="2" t="s">
        <v>1</v>
      </c>
      <c r="H92" s="4" t="s">
        <v>14</v>
      </c>
      <c r="I92" s="57"/>
      <c r="J92" s="57"/>
      <c r="K92" s="57"/>
      <c r="L92" s="57"/>
      <c r="M92" s="57"/>
      <c r="N92" s="57"/>
      <c r="O92" s="57"/>
      <c r="P92" s="57"/>
      <c r="Q92" s="57"/>
      <c r="R92" s="42" t="str">
        <f t="shared" si="6"/>
        <v>61</v>
      </c>
      <c r="S92" s="42" t="s">
        <v>5</v>
      </c>
      <c r="T92" s="55" t="str">
        <f t="shared" si="7"/>
        <v>aa 00 04 21 3B 00 01 61 55</v>
      </c>
      <c r="U92" s="474" t="s">
        <v>205</v>
      </c>
      <c r="V92" s="563"/>
      <c r="W92" s="563"/>
      <c r="X92" s="563"/>
      <c r="Y92" s="563"/>
      <c r="Z92" s="563"/>
      <c r="AA92" s="563"/>
      <c r="AB92" s="475"/>
      <c r="AC92" t="s">
        <v>579</v>
      </c>
    </row>
    <row r="93" spans="2:29" ht="20.100000000000001" customHeight="1" x14ac:dyDescent="0.25">
      <c r="B93" s="1" t="s">
        <v>0</v>
      </c>
      <c r="C93" s="1" t="s">
        <v>1</v>
      </c>
      <c r="D93" s="1" t="s">
        <v>2</v>
      </c>
      <c r="E93" s="2" t="s">
        <v>3</v>
      </c>
      <c r="F93" s="2" t="s">
        <v>226</v>
      </c>
      <c r="G93" s="2" t="s">
        <v>1</v>
      </c>
      <c r="H93" s="4" t="s">
        <v>14</v>
      </c>
      <c r="I93" s="57"/>
      <c r="J93" s="57"/>
      <c r="K93" s="57"/>
      <c r="L93" s="57"/>
      <c r="M93" s="57"/>
      <c r="N93" s="57"/>
      <c r="O93" s="57"/>
      <c r="P93" s="57"/>
      <c r="Q93" s="57"/>
      <c r="R93" s="42" t="str">
        <f t="shared" si="6"/>
        <v>62</v>
      </c>
      <c r="S93" s="42" t="s">
        <v>5</v>
      </c>
      <c r="T93" s="55" t="str">
        <f t="shared" si="7"/>
        <v>aa 00 04 21 3C 00 01 62 55</v>
      </c>
      <c r="U93" s="474" t="s">
        <v>206</v>
      </c>
      <c r="V93" s="563"/>
      <c r="W93" s="563"/>
      <c r="X93" s="563"/>
      <c r="Y93" s="563"/>
      <c r="Z93" s="563"/>
      <c r="AA93" s="563"/>
      <c r="AB93" s="475"/>
      <c r="AC93" t="s">
        <v>579</v>
      </c>
    </row>
    <row r="95" spans="2:29" ht="15" customHeight="1" x14ac:dyDescent="0.25">
      <c r="B95" s="1" t="s">
        <v>0</v>
      </c>
      <c r="C95" s="1" t="s">
        <v>1</v>
      </c>
      <c r="D95" s="1" t="s">
        <v>2</v>
      </c>
      <c r="E95" s="2" t="s">
        <v>3</v>
      </c>
      <c r="F95" s="2" t="s">
        <v>570</v>
      </c>
      <c r="G95" s="2" t="s">
        <v>1</v>
      </c>
      <c r="H95" s="4" t="s">
        <v>14</v>
      </c>
      <c r="I95" s="57"/>
      <c r="J95" s="57"/>
      <c r="K95" s="57"/>
      <c r="L95" s="57"/>
      <c r="M95" s="57"/>
      <c r="N95" s="57"/>
      <c r="O95" s="57"/>
      <c r="P95" s="57"/>
      <c r="Q95" s="57"/>
      <c r="R95" s="42" t="str">
        <f t="shared" ref="R95" si="8">DEC2HEX(MOD(HEX2DEC(C95)+HEX2DEC(D95)+HEX2DEC(E95)+HEX2DEC(F95)+HEX2DEC(G95)+HEX2DEC(H95)+HEX2DEC(I95)+HEX2DEC(J95)+HEX2DEC(K95)+HEX2DEC(L95)+HEX2DEC(M95)+HEX2DEC(N95)+HEX2DEC(Q95),256),2)</f>
        <v>63</v>
      </c>
      <c r="S95" s="42" t="s">
        <v>5</v>
      </c>
      <c r="T95" s="55" t="str">
        <f t="shared" ref="T95" si="9">IF(ISBLANK(B95),,B95&amp;" ")&amp;IF(ISBLANK(C95),,C95&amp;" ")&amp;IF(ISBLANK(D95),,D95&amp;" ")&amp;IF(ISBLANK(E95),,E95&amp;" ")&amp;IF(ISBLANK(F95),,F95&amp;" ")&amp;IF(ISBLANK(G95),,G95&amp;" ")&amp;IF(ISBLANK(H95),,H95&amp;" ")&amp;IF(ISBLANK(I95),,I95&amp;" ")&amp;IF(ISBLANK(J95),,J95&amp;" ")&amp;IF(ISBLANK(K95),,K95&amp;" ")&amp;IF(ISBLANK(L95),,L95&amp;" ")&amp;IF(ISBLANK(M95),,M95&amp;" ")&amp;IF(ISBLANK(N95),,N95&amp;" ")&amp;IF(ISBLANK(Q95),,Q95&amp;" ")&amp;IF(ISBLANK(R95),,R95&amp;" ")&amp;IF(ISBLANK(S95),,S95)</f>
        <v>aa 00 04 21 3D 00 01 63 55</v>
      </c>
      <c r="U95" s="474" t="s">
        <v>206</v>
      </c>
      <c r="V95" s="563"/>
      <c r="W95" s="563"/>
      <c r="X95" s="563"/>
      <c r="Y95" s="563"/>
      <c r="Z95" s="563"/>
      <c r="AA95" s="563"/>
      <c r="AB95" s="475"/>
      <c r="AC95" t="s">
        <v>579</v>
      </c>
    </row>
    <row r="96" spans="2:29" ht="15" customHeight="1" x14ac:dyDescent="0.25">
      <c r="B96" s="1" t="s">
        <v>0</v>
      </c>
      <c r="C96" s="1" t="s">
        <v>1</v>
      </c>
      <c r="D96" s="1" t="s">
        <v>2</v>
      </c>
      <c r="E96" s="2" t="s">
        <v>3</v>
      </c>
      <c r="F96" s="2" t="s">
        <v>571</v>
      </c>
      <c r="G96" s="2" t="s">
        <v>1</v>
      </c>
      <c r="H96" s="4" t="s">
        <v>14</v>
      </c>
      <c r="I96" s="57"/>
      <c r="J96" s="57"/>
      <c r="K96" s="57"/>
      <c r="L96" s="57"/>
      <c r="M96" s="57"/>
      <c r="N96" s="57"/>
      <c r="O96" s="57"/>
      <c r="P96" s="57"/>
      <c r="Q96" s="57"/>
      <c r="R96" s="42" t="str">
        <f t="shared" ref="R96:R103" si="10">DEC2HEX(MOD(HEX2DEC(C96)+HEX2DEC(D96)+HEX2DEC(E96)+HEX2DEC(F96)+HEX2DEC(G96)+HEX2DEC(H96)+HEX2DEC(I96)+HEX2DEC(J96)+HEX2DEC(K96)+HEX2DEC(L96)+HEX2DEC(M96)+HEX2DEC(N96)+HEX2DEC(Q96),256),2)</f>
        <v>64</v>
      </c>
      <c r="S96" s="42" t="s">
        <v>5</v>
      </c>
      <c r="T96" s="55" t="str">
        <f t="shared" ref="T96:T103" si="11">IF(ISBLANK(B96),,B96&amp;" ")&amp;IF(ISBLANK(C96),,C96&amp;" ")&amp;IF(ISBLANK(D96),,D96&amp;" ")&amp;IF(ISBLANK(E96),,E96&amp;" ")&amp;IF(ISBLANK(F96),,F96&amp;" ")&amp;IF(ISBLANK(G96),,G96&amp;" ")&amp;IF(ISBLANK(H96),,H96&amp;" ")&amp;IF(ISBLANK(I96),,I96&amp;" ")&amp;IF(ISBLANK(J96),,J96&amp;" ")&amp;IF(ISBLANK(K96),,K96&amp;" ")&amp;IF(ISBLANK(L96),,L96&amp;" ")&amp;IF(ISBLANK(M96),,M96&amp;" ")&amp;IF(ISBLANK(N96),,N96&amp;" ")&amp;IF(ISBLANK(Q96),,Q96&amp;" ")&amp;IF(ISBLANK(R96),,R96&amp;" ")&amp;IF(ISBLANK(S96),,S96)</f>
        <v>aa 00 04 21 3E 00 01 64 55</v>
      </c>
      <c r="U96" s="474" t="s">
        <v>562</v>
      </c>
      <c r="V96" s="563"/>
      <c r="W96" s="563"/>
      <c r="X96" s="563"/>
      <c r="Y96" s="563"/>
      <c r="Z96" s="563"/>
      <c r="AA96" s="563"/>
      <c r="AB96" s="475"/>
      <c r="AC96" t="s">
        <v>579</v>
      </c>
    </row>
    <row r="97" spans="2:29" ht="15" customHeight="1" x14ac:dyDescent="0.25">
      <c r="B97" s="1" t="s">
        <v>0</v>
      </c>
      <c r="C97" s="1" t="s">
        <v>1</v>
      </c>
      <c r="D97" s="1" t="s">
        <v>2</v>
      </c>
      <c r="E97" s="2" t="s">
        <v>3</v>
      </c>
      <c r="F97" s="2" t="s">
        <v>572</v>
      </c>
      <c r="G97" s="2" t="s">
        <v>1</v>
      </c>
      <c r="H97" s="4" t="s">
        <v>14</v>
      </c>
      <c r="I97" s="57"/>
      <c r="J97" s="57"/>
      <c r="K97" s="57"/>
      <c r="L97" s="57"/>
      <c r="M97" s="57"/>
      <c r="N97" s="57"/>
      <c r="O97" s="57"/>
      <c r="P97" s="57"/>
      <c r="Q97" s="57"/>
      <c r="R97" s="42" t="str">
        <f t="shared" si="10"/>
        <v>65</v>
      </c>
      <c r="S97" s="42" t="s">
        <v>5</v>
      </c>
      <c r="T97" s="55" t="str">
        <f t="shared" si="11"/>
        <v>aa 00 04 21 3F 00 01 65 55</v>
      </c>
      <c r="U97" s="474" t="s">
        <v>563</v>
      </c>
      <c r="V97" s="563"/>
      <c r="W97" s="563"/>
      <c r="X97" s="563"/>
      <c r="Y97" s="563"/>
      <c r="Z97" s="563"/>
      <c r="AA97" s="563"/>
      <c r="AB97" s="475"/>
      <c r="AC97" t="s">
        <v>579</v>
      </c>
    </row>
    <row r="98" spans="2:29" ht="15" customHeight="1" x14ac:dyDescent="0.25">
      <c r="B98" s="1" t="s">
        <v>0</v>
      </c>
      <c r="C98" s="1" t="s">
        <v>1</v>
      </c>
      <c r="D98" s="1" t="s">
        <v>2</v>
      </c>
      <c r="E98" s="2" t="s">
        <v>3</v>
      </c>
      <c r="F98" s="2" t="s">
        <v>573</v>
      </c>
      <c r="G98" s="2" t="s">
        <v>1</v>
      </c>
      <c r="H98" s="4" t="s">
        <v>14</v>
      </c>
      <c r="I98" s="57"/>
      <c r="J98" s="57"/>
      <c r="K98" s="57"/>
      <c r="L98" s="57"/>
      <c r="M98" s="57"/>
      <c r="N98" s="57"/>
      <c r="O98" s="57"/>
      <c r="P98" s="57"/>
      <c r="Q98" s="57"/>
      <c r="R98" s="42" t="str">
        <f t="shared" si="10"/>
        <v>66</v>
      </c>
      <c r="S98" s="42" t="s">
        <v>5</v>
      </c>
      <c r="T98" s="55" t="str">
        <f t="shared" si="11"/>
        <v>aa 00 04 21 40 00 01 66 55</v>
      </c>
      <c r="U98" s="474" t="s">
        <v>564</v>
      </c>
      <c r="V98" s="563"/>
      <c r="W98" s="563"/>
      <c r="X98" s="563"/>
      <c r="Y98" s="563"/>
      <c r="Z98" s="563"/>
      <c r="AA98" s="563"/>
      <c r="AB98" s="475"/>
      <c r="AC98" t="s">
        <v>579</v>
      </c>
    </row>
    <row r="99" spans="2:29" ht="15" customHeight="1" x14ac:dyDescent="0.25">
      <c r="B99" s="1" t="s">
        <v>0</v>
      </c>
      <c r="C99" s="1" t="s">
        <v>1</v>
      </c>
      <c r="D99" s="1" t="s">
        <v>2</v>
      </c>
      <c r="E99" s="2" t="s">
        <v>3</v>
      </c>
      <c r="F99" s="2" t="s">
        <v>574</v>
      </c>
      <c r="G99" s="2" t="s">
        <v>1</v>
      </c>
      <c r="H99" s="4" t="s">
        <v>14</v>
      </c>
      <c r="I99" s="57"/>
      <c r="J99" s="57"/>
      <c r="K99" s="57"/>
      <c r="L99" s="57"/>
      <c r="M99" s="57"/>
      <c r="N99" s="57"/>
      <c r="O99" s="57"/>
      <c r="P99" s="57"/>
      <c r="Q99" s="57"/>
      <c r="R99" s="42" t="str">
        <f t="shared" si="10"/>
        <v>67</v>
      </c>
      <c r="S99" s="42" t="s">
        <v>5</v>
      </c>
      <c r="T99" s="55" t="str">
        <f t="shared" si="11"/>
        <v>aa 00 04 21 41 00 01 67 55</v>
      </c>
      <c r="U99" s="474" t="s">
        <v>565</v>
      </c>
      <c r="V99" s="563"/>
      <c r="W99" s="563"/>
      <c r="X99" s="563"/>
      <c r="Y99" s="563"/>
      <c r="Z99" s="563"/>
      <c r="AA99" s="563"/>
      <c r="AB99" s="475"/>
      <c r="AC99" t="s">
        <v>579</v>
      </c>
    </row>
    <row r="100" spans="2:29" ht="15" customHeight="1" x14ac:dyDescent="0.25">
      <c r="B100" s="1" t="s">
        <v>0</v>
      </c>
      <c r="C100" s="1" t="s">
        <v>1</v>
      </c>
      <c r="D100" s="1" t="s">
        <v>2</v>
      </c>
      <c r="E100" s="2" t="s">
        <v>3</v>
      </c>
      <c r="F100" s="2" t="s">
        <v>575</v>
      </c>
      <c r="G100" s="2" t="s">
        <v>1</v>
      </c>
      <c r="H100" s="4" t="s">
        <v>14</v>
      </c>
      <c r="I100" s="57"/>
      <c r="J100" s="57"/>
      <c r="K100" s="57"/>
      <c r="L100" s="57"/>
      <c r="M100" s="57"/>
      <c r="N100" s="57"/>
      <c r="O100" s="57"/>
      <c r="P100" s="57"/>
      <c r="Q100" s="57"/>
      <c r="R100" s="42" t="str">
        <f t="shared" si="10"/>
        <v>68</v>
      </c>
      <c r="S100" s="42" t="s">
        <v>5</v>
      </c>
      <c r="T100" s="55" t="str">
        <f t="shared" si="11"/>
        <v>aa 00 04 21 42 00 01 68 55</v>
      </c>
      <c r="U100" s="474" t="s">
        <v>566</v>
      </c>
      <c r="V100" s="563"/>
      <c r="W100" s="563"/>
      <c r="X100" s="563"/>
      <c r="Y100" s="563"/>
      <c r="Z100" s="563"/>
      <c r="AA100" s="563"/>
      <c r="AB100" s="475"/>
      <c r="AC100" t="s">
        <v>579</v>
      </c>
    </row>
    <row r="101" spans="2:29" ht="15" customHeight="1" x14ac:dyDescent="0.25">
      <c r="B101" s="1" t="s">
        <v>0</v>
      </c>
      <c r="C101" s="1" t="s">
        <v>1</v>
      </c>
      <c r="D101" s="1" t="s">
        <v>2</v>
      </c>
      <c r="E101" s="2" t="s">
        <v>3</v>
      </c>
      <c r="F101" s="2" t="s">
        <v>576</v>
      </c>
      <c r="G101" s="2" t="s">
        <v>1</v>
      </c>
      <c r="H101" s="4" t="s">
        <v>14</v>
      </c>
      <c r="I101" s="57"/>
      <c r="J101" s="57"/>
      <c r="K101" s="57"/>
      <c r="L101" s="57"/>
      <c r="M101" s="57"/>
      <c r="N101" s="57"/>
      <c r="O101" s="57"/>
      <c r="P101" s="57"/>
      <c r="Q101" s="57"/>
      <c r="R101" s="42" t="str">
        <f t="shared" si="10"/>
        <v>69</v>
      </c>
      <c r="S101" s="42" t="s">
        <v>5</v>
      </c>
      <c r="T101" s="55" t="str">
        <f t="shared" si="11"/>
        <v>aa 00 04 21 43 00 01 69 55</v>
      </c>
      <c r="U101" s="474" t="s">
        <v>567</v>
      </c>
      <c r="V101" s="563"/>
      <c r="W101" s="563"/>
      <c r="X101" s="563"/>
      <c r="Y101" s="563"/>
      <c r="Z101" s="563"/>
      <c r="AA101" s="563"/>
      <c r="AB101" s="475"/>
      <c r="AC101" t="s">
        <v>579</v>
      </c>
    </row>
    <row r="102" spans="2:29" ht="15" customHeight="1" x14ac:dyDescent="0.25">
      <c r="B102" s="1" t="s">
        <v>0</v>
      </c>
      <c r="C102" s="1" t="s">
        <v>1</v>
      </c>
      <c r="D102" s="1" t="s">
        <v>2</v>
      </c>
      <c r="E102" s="2" t="s">
        <v>3</v>
      </c>
      <c r="F102" s="2" t="s">
        <v>577</v>
      </c>
      <c r="G102" s="2" t="s">
        <v>1</v>
      </c>
      <c r="H102" s="4" t="s">
        <v>14</v>
      </c>
      <c r="I102" s="57"/>
      <c r="J102" s="57"/>
      <c r="K102" s="57"/>
      <c r="L102" s="57"/>
      <c r="M102" s="57"/>
      <c r="N102" s="57"/>
      <c r="O102" s="57"/>
      <c r="P102" s="57"/>
      <c r="Q102" s="57"/>
      <c r="R102" s="42" t="str">
        <f t="shared" si="10"/>
        <v>6A</v>
      </c>
      <c r="S102" s="42" t="s">
        <v>5</v>
      </c>
      <c r="T102" s="55" t="str">
        <f t="shared" si="11"/>
        <v>aa 00 04 21 44 00 01 6A 55</v>
      </c>
      <c r="U102" s="474" t="s">
        <v>568</v>
      </c>
      <c r="V102" s="563"/>
      <c r="W102" s="563"/>
      <c r="X102" s="563"/>
      <c r="Y102" s="563"/>
      <c r="Z102" s="563"/>
      <c r="AA102" s="563"/>
      <c r="AB102" s="475"/>
      <c r="AC102" t="s">
        <v>579</v>
      </c>
    </row>
    <row r="103" spans="2:29" ht="15" customHeight="1" x14ac:dyDescent="0.25">
      <c r="B103" s="1" t="s">
        <v>0</v>
      </c>
      <c r="C103" s="1" t="s">
        <v>1</v>
      </c>
      <c r="D103" s="1" t="s">
        <v>2</v>
      </c>
      <c r="E103" s="2" t="s">
        <v>3</v>
      </c>
      <c r="F103" s="2" t="s">
        <v>578</v>
      </c>
      <c r="G103" s="2" t="s">
        <v>1</v>
      </c>
      <c r="H103" s="4" t="s">
        <v>14</v>
      </c>
      <c r="I103" s="57"/>
      <c r="J103" s="57"/>
      <c r="K103" s="57"/>
      <c r="L103" s="57"/>
      <c r="M103" s="57"/>
      <c r="N103" s="57"/>
      <c r="O103" s="57"/>
      <c r="P103" s="57"/>
      <c r="Q103" s="57"/>
      <c r="R103" s="42" t="str">
        <f t="shared" si="10"/>
        <v>6B</v>
      </c>
      <c r="S103" s="42" t="s">
        <v>5</v>
      </c>
      <c r="T103" s="55" t="str">
        <f t="shared" si="11"/>
        <v>aa 00 04 21 45 00 01 6B 55</v>
      </c>
      <c r="U103" s="474" t="s">
        <v>569</v>
      </c>
      <c r="V103" s="563"/>
      <c r="W103" s="563"/>
      <c r="X103" s="563"/>
      <c r="Y103" s="563"/>
      <c r="Z103" s="563"/>
      <c r="AA103" s="563"/>
      <c r="AB103" s="475"/>
      <c r="AC103" t="s">
        <v>579</v>
      </c>
    </row>
  </sheetData>
  <mergeCells count="96">
    <mergeCell ref="U26:AB26"/>
    <mergeCell ref="U27:AB27"/>
    <mergeCell ref="U36:AB36"/>
    <mergeCell ref="U28:AB28"/>
    <mergeCell ref="U29:AB29"/>
    <mergeCell ref="U30:AB30"/>
    <mergeCell ref="U31:AB31"/>
    <mergeCell ref="U32:AB32"/>
    <mergeCell ref="U33:AB33"/>
    <mergeCell ref="U100:AB100"/>
    <mergeCell ref="U101:AB101"/>
    <mergeCell ref="U102:AB102"/>
    <mergeCell ref="U103:AB103"/>
    <mergeCell ref="U95:AB95"/>
    <mergeCell ref="U96:AB96"/>
    <mergeCell ref="U97:AB97"/>
    <mergeCell ref="U98:AB98"/>
    <mergeCell ref="U99:AB99"/>
    <mergeCell ref="B28:S28"/>
    <mergeCell ref="U22:AB22"/>
    <mergeCell ref="U23:AB23"/>
    <mergeCell ref="B30:S30"/>
    <mergeCell ref="B13:S13"/>
    <mergeCell ref="U14:AB14"/>
    <mergeCell ref="U18:AB18"/>
    <mergeCell ref="U19:AB19"/>
    <mergeCell ref="U20:AB20"/>
    <mergeCell ref="U21:AB21"/>
    <mergeCell ref="B17:AB17"/>
    <mergeCell ref="H18:Q18"/>
    <mergeCell ref="B19:S19"/>
    <mergeCell ref="U13:AB13"/>
    <mergeCell ref="U24:AB24"/>
    <mergeCell ref="U25:AB25"/>
    <mergeCell ref="H3:Q3"/>
    <mergeCell ref="B2:AB2"/>
    <mergeCell ref="U3:AB3"/>
    <mergeCell ref="U4:AB4"/>
    <mergeCell ref="B4:S4"/>
    <mergeCell ref="U37:AB37"/>
    <mergeCell ref="U50:AB50"/>
    <mergeCell ref="U39:AB39"/>
    <mergeCell ref="U40:AB40"/>
    <mergeCell ref="U41:AB41"/>
    <mergeCell ref="U42:AB42"/>
    <mergeCell ref="U43:AB43"/>
    <mergeCell ref="U44:AB44"/>
    <mergeCell ref="U45:AB45"/>
    <mergeCell ref="U46:AB46"/>
    <mergeCell ref="U47:AB47"/>
    <mergeCell ref="U48:AB48"/>
    <mergeCell ref="U49:AB49"/>
    <mergeCell ref="U38:AB38"/>
    <mergeCell ref="U62:AB62"/>
    <mergeCell ref="U51:AB51"/>
    <mergeCell ref="U52:AB52"/>
    <mergeCell ref="U53:AB53"/>
    <mergeCell ref="U54:AB54"/>
    <mergeCell ref="U55:AB55"/>
    <mergeCell ref="U56:AB56"/>
    <mergeCell ref="U57:AB57"/>
    <mergeCell ref="U58:AB58"/>
    <mergeCell ref="U59:AB59"/>
    <mergeCell ref="U60:AB60"/>
    <mergeCell ref="U61:AB61"/>
    <mergeCell ref="U74:AB74"/>
    <mergeCell ref="U63:AB63"/>
    <mergeCell ref="U64:AB64"/>
    <mergeCell ref="U65:AB65"/>
    <mergeCell ref="U66:AB66"/>
    <mergeCell ref="U67:AB67"/>
    <mergeCell ref="U68:AB68"/>
    <mergeCell ref="U69:AB69"/>
    <mergeCell ref="U70:AB70"/>
    <mergeCell ref="U71:AB71"/>
    <mergeCell ref="U72:AB72"/>
    <mergeCell ref="U73:AB73"/>
    <mergeCell ref="U81:AB81"/>
    <mergeCell ref="U82:AB82"/>
    <mergeCell ref="U93:AB93"/>
    <mergeCell ref="U92:AB92"/>
    <mergeCell ref="U87:AB87"/>
    <mergeCell ref="U88:AB88"/>
    <mergeCell ref="U89:AB89"/>
    <mergeCell ref="U90:AB90"/>
    <mergeCell ref="U91:AB91"/>
    <mergeCell ref="U86:AB86"/>
    <mergeCell ref="U83:AB83"/>
    <mergeCell ref="U84:AB84"/>
    <mergeCell ref="U85:AB85"/>
    <mergeCell ref="U75:AB75"/>
    <mergeCell ref="U76:AB76"/>
    <mergeCell ref="U77:AB77"/>
    <mergeCell ref="U79:AB79"/>
    <mergeCell ref="U80:AB80"/>
    <mergeCell ref="U78:AB78"/>
  </mergeCells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C2:AC52"/>
  <sheetViews>
    <sheetView topLeftCell="B31" zoomScale="115" zoomScaleNormal="115" workbookViewId="0">
      <selection activeCell="G6" sqref="G6"/>
    </sheetView>
  </sheetViews>
  <sheetFormatPr defaultColWidth="9" defaultRowHeight="14.4" x14ac:dyDescent="0.25"/>
  <cols>
    <col min="1" max="20" width="3.6640625" style="43" customWidth="1"/>
    <col min="21" max="21" width="26.21875" style="43" customWidth="1"/>
    <col min="22" max="25" width="5.6640625" style="43" customWidth="1"/>
    <col min="26" max="29" width="10.6640625" style="43" customWidth="1"/>
    <col min="30" max="16384" width="9" style="43"/>
  </cols>
  <sheetData>
    <row r="2" spans="3:29" ht="15" customHeight="1" x14ac:dyDescent="0.25">
      <c r="C2" s="495" t="s">
        <v>379</v>
      </c>
      <c r="D2" s="496"/>
      <c r="E2" s="496"/>
      <c r="F2" s="496"/>
      <c r="G2" s="496"/>
      <c r="H2" s="496"/>
      <c r="I2" s="496"/>
      <c r="J2" s="496"/>
      <c r="K2" s="496"/>
      <c r="L2" s="496"/>
      <c r="M2" s="496"/>
      <c r="N2" s="496"/>
      <c r="O2" s="496"/>
      <c r="P2" s="496"/>
      <c r="Q2" s="496"/>
      <c r="R2" s="496"/>
      <c r="S2" s="496"/>
      <c r="T2" s="496"/>
      <c r="U2" s="496"/>
      <c r="V2" s="496"/>
      <c r="W2" s="496"/>
      <c r="X2" s="496"/>
      <c r="Y2" s="496"/>
      <c r="Z2" s="496"/>
      <c r="AA2" s="496"/>
      <c r="AB2" s="496"/>
      <c r="AC2" s="497"/>
    </row>
    <row r="3" spans="3:29" ht="28.5" customHeight="1" x14ac:dyDescent="0.25">
      <c r="C3" s="608" t="s">
        <v>397</v>
      </c>
      <c r="D3" s="609"/>
      <c r="E3" s="609"/>
      <c r="F3" s="609"/>
      <c r="G3" s="609"/>
      <c r="H3" s="609"/>
      <c r="I3" s="609"/>
      <c r="J3" s="609"/>
      <c r="K3" s="609"/>
      <c r="L3" s="609"/>
      <c r="M3" s="609"/>
      <c r="N3" s="609"/>
      <c r="O3" s="609"/>
      <c r="P3" s="609"/>
      <c r="Q3" s="609"/>
      <c r="R3" s="609"/>
      <c r="S3" s="609"/>
      <c r="T3" s="609"/>
      <c r="U3" s="609"/>
      <c r="V3" s="609"/>
      <c r="W3" s="609"/>
      <c r="X3" s="609"/>
      <c r="Y3" s="609"/>
      <c r="Z3" s="609"/>
      <c r="AA3" s="609"/>
      <c r="AB3" s="609"/>
      <c r="AC3" s="610"/>
    </row>
    <row r="4" spans="3:29" ht="15" customHeight="1" x14ac:dyDescent="0.25">
      <c r="C4" s="435" t="s">
        <v>275</v>
      </c>
      <c r="D4" s="435"/>
      <c r="E4" s="435"/>
      <c r="F4" s="435"/>
      <c r="G4" s="435"/>
      <c r="H4" s="435"/>
      <c r="I4" s="435"/>
      <c r="J4" s="435"/>
      <c r="K4" s="435"/>
      <c r="L4" s="435"/>
      <c r="M4" s="435"/>
      <c r="N4" s="435"/>
      <c r="O4" s="435"/>
      <c r="P4" s="435"/>
      <c r="Q4" s="435"/>
      <c r="R4" s="435"/>
      <c r="S4" s="435"/>
      <c r="T4" s="435"/>
      <c r="U4" s="104" t="s">
        <v>266</v>
      </c>
      <c r="V4" s="435" t="s">
        <v>267</v>
      </c>
      <c r="W4" s="435"/>
      <c r="X4" s="435"/>
      <c r="Y4" s="435"/>
      <c r="Z4" s="435" t="s">
        <v>268</v>
      </c>
      <c r="AA4" s="435"/>
      <c r="AB4" s="435"/>
      <c r="AC4" s="435"/>
    </row>
    <row r="5" spans="3:29" ht="15" customHeight="1" x14ac:dyDescent="0.25">
      <c r="C5" s="86" t="s">
        <v>77</v>
      </c>
      <c r="D5" s="105" t="s">
        <v>78</v>
      </c>
      <c r="E5" s="105" t="s">
        <v>10</v>
      </c>
      <c r="F5" s="105" t="s">
        <v>79</v>
      </c>
      <c r="G5" s="105" t="s">
        <v>80</v>
      </c>
      <c r="H5" s="105" t="s">
        <v>11</v>
      </c>
      <c r="I5" s="436" t="s">
        <v>83</v>
      </c>
      <c r="J5" s="436"/>
      <c r="K5" s="436"/>
      <c r="L5" s="436"/>
      <c r="M5" s="436"/>
      <c r="N5" s="436"/>
      <c r="O5" s="436"/>
      <c r="P5" s="436"/>
      <c r="Q5" s="436"/>
      <c r="R5" s="436"/>
      <c r="S5" s="83" t="s">
        <v>81</v>
      </c>
      <c r="T5" s="83" t="s">
        <v>82</v>
      </c>
      <c r="U5" s="51" t="s">
        <v>276</v>
      </c>
      <c r="V5" s="45" t="s">
        <v>80</v>
      </c>
      <c r="W5" s="45"/>
      <c r="X5" s="45"/>
      <c r="Y5" s="45"/>
      <c r="Z5" s="439" t="s">
        <v>6</v>
      </c>
      <c r="AA5" s="439"/>
      <c r="AB5" s="439"/>
      <c r="AC5" s="439"/>
    </row>
    <row r="6" spans="3:29" ht="15" customHeight="1" x14ac:dyDescent="0.25">
      <c r="C6" s="84" t="s">
        <v>0</v>
      </c>
      <c r="D6" s="75" t="s">
        <v>1</v>
      </c>
      <c r="E6" s="75" t="str">
        <f>DEC2HEX( COUNTA(F6:R6),2)</f>
        <v>03</v>
      </c>
      <c r="F6" s="76" t="s">
        <v>381</v>
      </c>
      <c r="G6" s="76" t="str">
        <f>DEC2HEX(V6,2)</f>
        <v>00</v>
      </c>
      <c r="H6" s="76" t="s">
        <v>70</v>
      </c>
      <c r="I6" s="57"/>
      <c r="J6" s="57"/>
      <c r="K6" s="57"/>
      <c r="L6" s="57"/>
      <c r="M6" s="57"/>
      <c r="N6" s="57"/>
      <c r="O6" s="57"/>
      <c r="P6" s="57"/>
      <c r="Q6" s="57"/>
      <c r="R6" s="57"/>
      <c r="S6" s="84" t="str">
        <f>DEC2HEX(MOD(HEX2DEC(D6)+HEX2DEC(E6)+HEX2DEC(F6)+HEX2DEC(G6)+HEX2DEC(H6)+HEX2DEC(I6)+HEX2DEC(J6)+HEX2DEC(K6)+HEX2DEC(L6)+HEX2DEC(M6)+HEX2DEC(N6)+HEX2DEC(O6)+HEX2DEC(R6),256),2)</f>
        <v>77</v>
      </c>
      <c r="T6" s="84" t="s">
        <v>5</v>
      </c>
      <c r="U6" s="55" t="str">
        <f>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")&amp;IF(ISBLANK(O6),,O6&amp;" ")&amp;IF(ISBLANK(R6),,R6&amp;" ")&amp;IF(ISBLANK(S6),,S6&amp;" ")&amp;IF(ISBLANK(T6),,T6)</f>
        <v>aa 00 03 64 00 10 77 55</v>
      </c>
      <c r="V6" s="116">
        <v>0</v>
      </c>
      <c r="W6" s="106"/>
      <c r="X6" s="106"/>
      <c r="Y6" s="106"/>
      <c r="Z6" s="440" t="s">
        <v>380</v>
      </c>
      <c r="AA6" s="440"/>
      <c r="AB6" s="440"/>
      <c r="AC6" s="440"/>
    </row>
    <row r="7" spans="3:29" ht="15" customHeight="1" x14ac:dyDescent="0.25">
      <c r="C7" s="84" t="s">
        <v>0</v>
      </c>
      <c r="D7" s="75" t="s">
        <v>1</v>
      </c>
      <c r="E7" s="75" t="str">
        <f t="shared" ref="E7:E15" si="0">DEC2HEX( COUNTA(F7:R7),2)</f>
        <v>03</v>
      </c>
      <c r="F7" s="76" t="s">
        <v>381</v>
      </c>
      <c r="G7" s="76" t="str">
        <f>DEC2HEX(V7,2)</f>
        <v>01</v>
      </c>
      <c r="H7" s="76" t="s">
        <v>70</v>
      </c>
      <c r="I7" s="57"/>
      <c r="J7" s="57"/>
      <c r="K7" s="57"/>
      <c r="L7" s="57"/>
      <c r="M7" s="57"/>
      <c r="N7" s="57"/>
      <c r="O7" s="57"/>
      <c r="P7" s="57"/>
      <c r="Q7" s="57"/>
      <c r="R7" s="57"/>
      <c r="S7" s="84" t="str">
        <f>DEC2HEX(MOD(HEX2DEC(D7)+HEX2DEC(E7)+HEX2DEC(F7)+HEX2DEC(G7)+HEX2DEC(H7)+HEX2DEC(I7)+HEX2DEC(J7)+HEX2DEC(K7)+HEX2DEC(L7)+HEX2DEC(M7)+HEX2DEC(N7)+HEX2DEC(O7)+HEX2DEC(R7),256),2)</f>
        <v>78</v>
      </c>
      <c r="T7" s="84" t="s">
        <v>5</v>
      </c>
      <c r="U7" s="55" t="str">
        <f>IF(ISBLANK(C7),,C7&amp;" ")&amp;IF(ISBLANK(D7),,D7&amp;" ")&amp;IF(ISBLANK(E7),,E7&amp;" ")&amp;IF(ISBLANK(F7),,F7&amp;" ")&amp;IF(ISBLANK(G7),,G7&amp;" ")&amp;IF(ISBLANK(H7),,H7&amp;" ")&amp;IF(ISBLANK(I7),,I7&amp;" ")&amp;IF(ISBLANK(J7),,J7&amp;" ")&amp;IF(ISBLANK(K7),,K7&amp;" ")&amp;IF(ISBLANK(L7),,L7&amp;" ")&amp;IF(ISBLANK(M7),,M7&amp;" ")&amp;IF(ISBLANK(N7),,N7&amp;" ")&amp;IF(ISBLANK(O7),,O7&amp;" ")&amp;IF(ISBLANK(R7),,R7&amp;" ")&amp;IF(ISBLANK(S7),,S7&amp;" ")&amp;IF(ISBLANK(T7),,T7)</f>
        <v>aa 00 03 64 01 10 78 55</v>
      </c>
      <c r="V7" s="116">
        <v>1</v>
      </c>
      <c r="W7" s="106"/>
      <c r="X7" s="106"/>
      <c r="Y7" s="106"/>
      <c r="Z7" s="440" t="s">
        <v>380</v>
      </c>
      <c r="AA7" s="440"/>
      <c r="AB7" s="440"/>
      <c r="AC7" s="440"/>
    </row>
    <row r="8" spans="3:29" ht="15" customHeight="1" x14ac:dyDescent="0.25">
      <c r="C8" s="84" t="s">
        <v>0</v>
      </c>
      <c r="D8" s="75" t="s">
        <v>1</v>
      </c>
      <c r="E8" s="75" t="str">
        <f t="shared" si="0"/>
        <v>03</v>
      </c>
      <c r="F8" s="76" t="s">
        <v>381</v>
      </c>
      <c r="G8" s="76" t="str">
        <f t="shared" ref="G8:G15" si="1">DEC2HEX(V8,2)</f>
        <v>02</v>
      </c>
      <c r="H8" s="76" t="s">
        <v>70</v>
      </c>
      <c r="I8" s="57"/>
      <c r="J8" s="57"/>
      <c r="K8" s="57"/>
      <c r="L8" s="57"/>
      <c r="M8" s="57"/>
      <c r="N8" s="57"/>
      <c r="O8" s="57"/>
      <c r="P8" s="57"/>
      <c r="Q8" s="57"/>
      <c r="R8" s="57"/>
      <c r="S8" s="84" t="str">
        <f t="shared" ref="S8:S15" si="2">DEC2HEX(MOD(HEX2DEC(D8)+HEX2DEC(E8)+HEX2DEC(F8)+HEX2DEC(G8)+HEX2DEC(H8)+HEX2DEC(I8)+HEX2DEC(J8)+HEX2DEC(K8)+HEX2DEC(L8)+HEX2DEC(M8)+HEX2DEC(N8)+HEX2DEC(O8)+HEX2DEC(R8),256),2)</f>
        <v>79</v>
      </c>
      <c r="T8" s="84" t="s">
        <v>5</v>
      </c>
      <c r="U8" s="55" t="str">
        <f t="shared" ref="U8:U15" si="3">IF(ISBLANK(C8),,C8&amp;" ")&amp;IF(ISBLANK(D8),,D8&amp;" ")&amp;IF(ISBLANK(E8),,E8&amp;" ")&amp;IF(ISBLANK(F8),,F8&amp;" ")&amp;IF(ISBLANK(G8),,G8&amp;" ")&amp;IF(ISBLANK(H8),,H8&amp;" ")&amp;IF(ISBLANK(I8),,I8&amp;" ")&amp;IF(ISBLANK(J8),,J8&amp;" ")&amp;IF(ISBLANK(K8),,K8&amp;" ")&amp;IF(ISBLANK(L8),,L8&amp;" ")&amp;IF(ISBLANK(M8),,M8&amp;" ")&amp;IF(ISBLANK(N8),,N8&amp;" ")&amp;IF(ISBLANK(O8),,O8&amp;" ")&amp;IF(ISBLANK(R8),,R8&amp;" ")&amp;IF(ISBLANK(S8),,S8&amp;" ")&amp;IF(ISBLANK(T8),,T8)</f>
        <v>aa 00 03 64 02 10 79 55</v>
      </c>
      <c r="V8" s="116">
        <v>2</v>
      </c>
      <c r="W8" s="106"/>
      <c r="X8" s="106"/>
      <c r="Y8" s="106"/>
      <c r="Z8" s="440" t="s">
        <v>380</v>
      </c>
      <c r="AA8" s="440"/>
      <c r="AB8" s="440"/>
      <c r="AC8" s="440"/>
    </row>
    <row r="9" spans="3:29" ht="15" customHeight="1" x14ac:dyDescent="0.25">
      <c r="C9" s="84" t="s">
        <v>0</v>
      </c>
      <c r="D9" s="75" t="s">
        <v>1</v>
      </c>
      <c r="E9" s="75" t="str">
        <f t="shared" si="0"/>
        <v>03</v>
      </c>
      <c r="F9" s="76" t="s">
        <v>381</v>
      </c>
      <c r="G9" s="76" t="str">
        <f t="shared" si="1"/>
        <v>03</v>
      </c>
      <c r="H9" s="76" t="s">
        <v>70</v>
      </c>
      <c r="I9" s="57"/>
      <c r="J9" s="57"/>
      <c r="K9" s="57"/>
      <c r="L9" s="57"/>
      <c r="M9" s="57"/>
      <c r="N9" s="57"/>
      <c r="O9" s="57"/>
      <c r="P9" s="57"/>
      <c r="Q9" s="57"/>
      <c r="R9" s="57"/>
      <c r="S9" s="84" t="str">
        <f t="shared" si="2"/>
        <v>7A</v>
      </c>
      <c r="T9" s="84" t="s">
        <v>5</v>
      </c>
      <c r="U9" s="55" t="str">
        <f t="shared" si="3"/>
        <v>aa 00 03 64 03 10 7A 55</v>
      </c>
      <c r="V9" s="116">
        <v>3</v>
      </c>
      <c r="W9" s="106"/>
      <c r="X9" s="106"/>
      <c r="Y9" s="106"/>
      <c r="Z9" s="440" t="s">
        <v>380</v>
      </c>
      <c r="AA9" s="440"/>
      <c r="AB9" s="440"/>
      <c r="AC9" s="440"/>
    </row>
    <row r="10" spans="3:29" ht="15" customHeight="1" x14ac:dyDescent="0.25">
      <c r="C10" s="84" t="s">
        <v>0</v>
      </c>
      <c r="D10" s="75" t="s">
        <v>1</v>
      </c>
      <c r="E10" s="75" t="str">
        <f t="shared" si="0"/>
        <v>03</v>
      </c>
      <c r="F10" s="76" t="s">
        <v>381</v>
      </c>
      <c r="G10" s="76" t="str">
        <f t="shared" si="1"/>
        <v>04</v>
      </c>
      <c r="H10" s="76" t="s">
        <v>70</v>
      </c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84" t="str">
        <f t="shared" si="2"/>
        <v>7B</v>
      </c>
      <c r="T10" s="84" t="s">
        <v>5</v>
      </c>
      <c r="U10" s="55" t="str">
        <f t="shared" si="3"/>
        <v>aa 00 03 64 04 10 7B 55</v>
      </c>
      <c r="V10" s="116">
        <v>4</v>
      </c>
      <c r="W10" s="106"/>
      <c r="X10" s="106"/>
      <c r="Y10" s="106"/>
      <c r="Z10" s="440" t="s">
        <v>380</v>
      </c>
      <c r="AA10" s="440"/>
      <c r="AB10" s="440"/>
      <c r="AC10" s="440"/>
    </row>
    <row r="11" spans="3:29" ht="15" customHeight="1" x14ac:dyDescent="0.25">
      <c r="C11" s="84" t="s">
        <v>0</v>
      </c>
      <c r="D11" s="75" t="s">
        <v>1</v>
      </c>
      <c r="E11" s="75" t="str">
        <f t="shared" si="0"/>
        <v>03</v>
      </c>
      <c r="F11" s="76" t="s">
        <v>381</v>
      </c>
      <c r="G11" s="76" t="str">
        <f t="shared" si="1"/>
        <v>05</v>
      </c>
      <c r="H11" s="76" t="s">
        <v>70</v>
      </c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84" t="str">
        <f t="shared" si="2"/>
        <v>7C</v>
      </c>
      <c r="T11" s="84" t="s">
        <v>5</v>
      </c>
      <c r="U11" s="55" t="str">
        <f t="shared" si="3"/>
        <v>aa 00 03 64 05 10 7C 55</v>
      </c>
      <c r="V11" s="116">
        <v>5</v>
      </c>
      <c r="W11" s="106"/>
      <c r="X11" s="106"/>
      <c r="Y11" s="106"/>
      <c r="Z11" s="440" t="s">
        <v>380</v>
      </c>
      <c r="AA11" s="440"/>
      <c r="AB11" s="440"/>
      <c r="AC11" s="440"/>
    </row>
    <row r="12" spans="3:29" ht="15" customHeight="1" x14ac:dyDescent="0.25">
      <c r="C12" s="84" t="s">
        <v>0</v>
      </c>
      <c r="D12" s="75" t="s">
        <v>1</v>
      </c>
      <c r="E12" s="75" t="str">
        <f t="shared" si="0"/>
        <v>03</v>
      </c>
      <c r="F12" s="76" t="s">
        <v>381</v>
      </c>
      <c r="G12" s="76" t="str">
        <f t="shared" si="1"/>
        <v>06</v>
      </c>
      <c r="H12" s="76" t="s">
        <v>70</v>
      </c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84" t="str">
        <f t="shared" si="2"/>
        <v>7D</v>
      </c>
      <c r="T12" s="84" t="s">
        <v>5</v>
      </c>
      <c r="U12" s="55" t="str">
        <f t="shared" si="3"/>
        <v>aa 00 03 64 06 10 7D 55</v>
      </c>
      <c r="V12" s="116">
        <v>6</v>
      </c>
      <c r="W12" s="106"/>
      <c r="X12" s="106"/>
      <c r="Y12" s="106"/>
      <c r="Z12" s="440" t="s">
        <v>382</v>
      </c>
      <c r="AA12" s="440"/>
      <c r="AB12" s="440"/>
      <c r="AC12" s="440"/>
    </row>
    <row r="13" spans="3:29" ht="15" customHeight="1" x14ac:dyDescent="0.25">
      <c r="C13" s="84" t="s">
        <v>0</v>
      </c>
      <c r="D13" s="75" t="s">
        <v>1</v>
      </c>
      <c r="E13" s="75" t="str">
        <f t="shared" si="0"/>
        <v>03</v>
      </c>
      <c r="F13" s="76" t="s">
        <v>381</v>
      </c>
      <c r="G13" s="76" t="str">
        <f t="shared" si="1"/>
        <v>07</v>
      </c>
      <c r="H13" s="76" t="s">
        <v>70</v>
      </c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84" t="str">
        <f t="shared" si="2"/>
        <v>7E</v>
      </c>
      <c r="T13" s="84" t="s">
        <v>5</v>
      </c>
      <c r="U13" s="55" t="str">
        <f t="shared" si="3"/>
        <v>aa 00 03 64 07 10 7E 55</v>
      </c>
      <c r="V13" s="116">
        <v>7</v>
      </c>
      <c r="W13" s="106"/>
      <c r="X13" s="106"/>
      <c r="Y13" s="106"/>
      <c r="Z13" s="440" t="s">
        <v>380</v>
      </c>
      <c r="AA13" s="440"/>
      <c r="AB13" s="440"/>
      <c r="AC13" s="440"/>
    </row>
    <row r="14" spans="3:29" ht="15" customHeight="1" x14ac:dyDescent="0.25">
      <c r="C14" s="84" t="s">
        <v>0</v>
      </c>
      <c r="D14" s="75" t="s">
        <v>1</v>
      </c>
      <c r="E14" s="75" t="str">
        <f t="shared" si="0"/>
        <v>03</v>
      </c>
      <c r="F14" s="76" t="s">
        <v>381</v>
      </c>
      <c r="G14" s="76" t="str">
        <f t="shared" si="1"/>
        <v>08</v>
      </c>
      <c r="H14" s="76" t="s">
        <v>70</v>
      </c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84" t="str">
        <f t="shared" si="2"/>
        <v>7F</v>
      </c>
      <c r="T14" s="84" t="s">
        <v>5</v>
      </c>
      <c r="U14" s="55" t="str">
        <f t="shared" si="3"/>
        <v>aa 00 03 64 08 10 7F 55</v>
      </c>
      <c r="V14" s="116">
        <v>8</v>
      </c>
      <c r="W14" s="106"/>
      <c r="X14" s="106"/>
      <c r="Y14" s="106"/>
      <c r="Z14" s="440" t="s">
        <v>380</v>
      </c>
      <c r="AA14" s="440"/>
      <c r="AB14" s="440"/>
      <c r="AC14" s="440"/>
    </row>
    <row r="15" spans="3:29" ht="15" customHeight="1" x14ac:dyDescent="0.25">
      <c r="C15" s="84" t="s">
        <v>0</v>
      </c>
      <c r="D15" s="75" t="s">
        <v>1</v>
      </c>
      <c r="E15" s="75" t="str">
        <f t="shared" si="0"/>
        <v>03</v>
      </c>
      <c r="F15" s="76" t="s">
        <v>381</v>
      </c>
      <c r="G15" s="76" t="str">
        <f t="shared" si="1"/>
        <v>09</v>
      </c>
      <c r="H15" s="76" t="s">
        <v>70</v>
      </c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84" t="str">
        <f t="shared" si="2"/>
        <v>80</v>
      </c>
      <c r="T15" s="84" t="s">
        <v>5</v>
      </c>
      <c r="U15" s="55" t="str">
        <f t="shared" si="3"/>
        <v>aa 00 03 64 09 10 80 55</v>
      </c>
      <c r="V15" s="116">
        <v>9</v>
      </c>
      <c r="W15" s="106"/>
      <c r="X15" s="106"/>
      <c r="Y15" s="106"/>
      <c r="Z15" s="440" t="s">
        <v>380</v>
      </c>
      <c r="AA15" s="440"/>
      <c r="AB15" s="440"/>
      <c r="AC15" s="440"/>
    </row>
    <row r="18" spans="3:29" ht="20.100000000000001" customHeight="1" x14ac:dyDescent="0.25">
      <c r="C18" s="495" t="s">
        <v>379</v>
      </c>
      <c r="D18" s="496"/>
      <c r="E18" s="496"/>
      <c r="F18" s="496"/>
      <c r="G18" s="496"/>
      <c r="H18" s="496"/>
      <c r="I18" s="496"/>
      <c r="J18" s="496"/>
      <c r="K18" s="496"/>
      <c r="L18" s="496"/>
      <c r="M18" s="496"/>
      <c r="N18" s="496"/>
      <c r="O18" s="496"/>
      <c r="P18" s="496"/>
      <c r="Q18" s="496"/>
      <c r="R18" s="496"/>
      <c r="S18" s="496"/>
      <c r="T18" s="496"/>
      <c r="U18" s="496"/>
      <c r="V18" s="496"/>
      <c r="W18" s="496"/>
      <c r="X18" s="496"/>
      <c r="Y18" s="496"/>
      <c r="Z18" s="496"/>
      <c r="AA18" s="496"/>
      <c r="AB18" s="496"/>
      <c r="AC18" s="497"/>
    </row>
    <row r="19" spans="3:29" ht="20.100000000000001" customHeight="1" x14ac:dyDescent="0.25">
      <c r="C19" s="608" t="s">
        <v>405</v>
      </c>
      <c r="D19" s="609"/>
      <c r="E19" s="609"/>
      <c r="F19" s="609"/>
      <c r="G19" s="609"/>
      <c r="H19" s="609"/>
      <c r="I19" s="609"/>
      <c r="J19" s="609"/>
      <c r="K19" s="609"/>
      <c r="L19" s="609"/>
      <c r="M19" s="609"/>
      <c r="N19" s="609"/>
      <c r="O19" s="609"/>
      <c r="P19" s="609"/>
      <c r="Q19" s="609"/>
      <c r="R19" s="609"/>
      <c r="S19" s="609"/>
      <c r="T19" s="609"/>
      <c r="U19" s="609"/>
      <c r="V19" s="609"/>
      <c r="W19" s="609"/>
      <c r="X19" s="609"/>
      <c r="Y19" s="609"/>
      <c r="Z19" s="609"/>
      <c r="AA19" s="609"/>
      <c r="AB19" s="609"/>
      <c r="AC19" s="610"/>
    </row>
    <row r="20" spans="3:29" ht="20.100000000000001" customHeight="1" x14ac:dyDescent="0.25">
      <c r="C20" s="435" t="s">
        <v>275</v>
      </c>
      <c r="D20" s="435"/>
      <c r="E20" s="435"/>
      <c r="F20" s="435"/>
      <c r="G20" s="435"/>
      <c r="H20" s="435"/>
      <c r="I20" s="435"/>
      <c r="J20" s="435"/>
      <c r="K20" s="435"/>
      <c r="L20" s="435"/>
      <c r="M20" s="435"/>
      <c r="N20" s="435"/>
      <c r="O20" s="435"/>
      <c r="P20" s="435"/>
      <c r="Q20" s="435"/>
      <c r="R20" s="435"/>
      <c r="S20" s="435"/>
      <c r="T20" s="435"/>
      <c r="U20" s="108" t="s">
        <v>266</v>
      </c>
      <c r="V20" s="435" t="s">
        <v>267</v>
      </c>
      <c r="W20" s="435"/>
      <c r="X20" s="435"/>
      <c r="Y20" s="435"/>
      <c r="Z20" s="435" t="s">
        <v>268</v>
      </c>
      <c r="AA20" s="435"/>
      <c r="AB20" s="435"/>
      <c r="AC20" s="435"/>
    </row>
    <row r="21" spans="3:29" ht="15" customHeight="1" x14ac:dyDescent="0.25">
      <c r="C21" s="86" t="s">
        <v>77</v>
      </c>
      <c r="D21" s="109" t="s">
        <v>78</v>
      </c>
      <c r="E21" s="109" t="s">
        <v>10</v>
      </c>
      <c r="F21" s="109" t="s">
        <v>79</v>
      </c>
      <c r="G21" s="109" t="s">
        <v>80</v>
      </c>
      <c r="H21" s="109" t="s">
        <v>11</v>
      </c>
      <c r="I21" s="488" t="s">
        <v>83</v>
      </c>
      <c r="J21" s="436"/>
      <c r="K21" s="436"/>
      <c r="L21" s="436"/>
      <c r="M21" s="436"/>
      <c r="N21" s="436"/>
      <c r="O21" s="436"/>
      <c r="P21" s="436"/>
      <c r="Q21" s="436"/>
      <c r="R21" s="436"/>
      <c r="S21" s="83" t="s">
        <v>81</v>
      </c>
      <c r="T21" s="83" t="s">
        <v>82</v>
      </c>
      <c r="U21" s="51" t="s">
        <v>276</v>
      </c>
      <c r="V21" s="45" t="s">
        <v>80</v>
      </c>
      <c r="W21" s="45"/>
      <c r="X21" s="45"/>
      <c r="Y21" s="45"/>
      <c r="Z21" s="439" t="s">
        <v>6</v>
      </c>
      <c r="AA21" s="439"/>
      <c r="AB21" s="439"/>
      <c r="AC21" s="439"/>
    </row>
    <row r="22" spans="3:29" ht="15" customHeight="1" x14ac:dyDescent="0.25">
      <c r="C22" s="84" t="s">
        <v>0</v>
      </c>
      <c r="D22" s="75" t="s">
        <v>1</v>
      </c>
      <c r="E22" s="75" t="str">
        <f t="shared" ref="E22:E31" si="4">DEC2HEX( COUNTA(F22:R22),2)</f>
        <v>04</v>
      </c>
      <c r="F22" s="76" t="s">
        <v>404</v>
      </c>
      <c r="G22" s="76" t="s">
        <v>406</v>
      </c>
      <c r="H22" s="113" t="s">
        <v>403</v>
      </c>
      <c r="I22" s="76" t="str">
        <f t="shared" ref="I22:I31" si="5">DEC2HEX(V22,2)</f>
        <v>00</v>
      </c>
      <c r="J22" s="114"/>
      <c r="K22" s="57"/>
      <c r="L22" s="57"/>
      <c r="M22" s="57"/>
      <c r="N22" s="57"/>
      <c r="O22" s="57"/>
      <c r="P22" s="57"/>
      <c r="Q22" s="57"/>
      <c r="R22" s="57"/>
      <c r="S22" s="84" t="str">
        <f t="shared" ref="S22:S31" si="6">DEC2HEX(MOD(HEX2DEC(D22)+HEX2DEC(E22)+HEX2DEC(F22)+HEX2DEC(G22)+HEX2DEC(H22)+HEX2DEC(I22)+HEX2DEC(J22)+HEX2DEC(K22)+HEX2DEC(L22)+HEX2DEC(M22)+HEX2DEC(N22)+HEX2DEC(O22)+HEX2DEC(R22),256),2)</f>
        <v>05</v>
      </c>
      <c r="T22" s="84" t="s">
        <v>5</v>
      </c>
      <c r="U22" s="267" t="str">
        <f t="shared" ref="U22:U31" si="7">IF(ISBLANK(C22),,C22&amp;" ")&amp;IF(ISBLANK(D22),,D22&amp;" ")&amp;IF(ISBLANK(E22),,E22&amp;" ")&amp;IF(ISBLANK(F22),,F22&amp;" ")&amp;IF(ISBLANK(G22),,G22&amp;" ")&amp;IF(ISBLANK(H22),,H22&amp;" ")&amp;IF(ISBLANK(I22),,I22&amp;" ")&amp;IF(ISBLANK(J22),,J22&amp;" ")&amp;IF(ISBLANK(K22),,K22&amp;" ")&amp;IF(ISBLANK(L22),,L22&amp;" ")&amp;IF(ISBLANK(M22),,M22&amp;" ")&amp;IF(ISBLANK(N22),,N22&amp;" ")&amp;IF(ISBLANK(O22),,O22&amp;" ")&amp;IF(ISBLANK(R22),,R22&amp;" ")&amp;IF(ISBLANK(S22),,S22&amp;" ")&amp;IF(ISBLANK(T22),,T22)</f>
        <v>aa 00 04 E0 00 21 00 05 55</v>
      </c>
      <c r="V22" s="116">
        <v>0</v>
      </c>
      <c r="W22" s="106"/>
      <c r="X22" s="106"/>
      <c r="Y22" s="106"/>
      <c r="Z22" s="440" t="s">
        <v>398</v>
      </c>
      <c r="AA22" s="440"/>
      <c r="AB22" s="440"/>
      <c r="AC22" s="440"/>
    </row>
    <row r="23" spans="3:29" ht="15" customHeight="1" x14ac:dyDescent="0.25">
      <c r="C23" s="84" t="s">
        <v>0</v>
      </c>
      <c r="D23" s="75" t="s">
        <v>1</v>
      </c>
      <c r="E23" s="75" t="str">
        <f t="shared" si="4"/>
        <v>04</v>
      </c>
      <c r="F23" s="76" t="s">
        <v>404</v>
      </c>
      <c r="G23" s="76" t="s">
        <v>406</v>
      </c>
      <c r="H23" s="113" t="s">
        <v>403</v>
      </c>
      <c r="I23" s="76" t="str">
        <f t="shared" si="5"/>
        <v>01</v>
      </c>
      <c r="J23" s="114"/>
      <c r="K23" s="57"/>
      <c r="L23" s="57"/>
      <c r="M23" s="57"/>
      <c r="N23" s="57"/>
      <c r="O23" s="57"/>
      <c r="P23" s="57"/>
      <c r="Q23" s="57"/>
      <c r="R23" s="57"/>
      <c r="S23" s="84" t="str">
        <f t="shared" si="6"/>
        <v>06</v>
      </c>
      <c r="T23" s="84" t="s">
        <v>5</v>
      </c>
      <c r="U23" s="267" t="str">
        <f t="shared" si="7"/>
        <v>aa 00 04 E0 00 21 01 06 55</v>
      </c>
      <c r="V23" s="116">
        <v>1</v>
      </c>
      <c r="W23" s="106"/>
      <c r="X23" s="106"/>
      <c r="Y23" s="106"/>
      <c r="Z23" s="440" t="s">
        <v>399</v>
      </c>
      <c r="AA23" s="440"/>
      <c r="AB23" s="440"/>
      <c r="AC23" s="440"/>
    </row>
    <row r="24" spans="3:29" ht="15" customHeight="1" x14ac:dyDescent="0.25">
      <c r="C24" s="84" t="s">
        <v>0</v>
      </c>
      <c r="D24" s="75" t="s">
        <v>1</v>
      </c>
      <c r="E24" s="75" t="str">
        <f t="shared" si="4"/>
        <v>04</v>
      </c>
      <c r="F24" s="76" t="s">
        <v>404</v>
      </c>
      <c r="G24" s="76" t="s">
        <v>406</v>
      </c>
      <c r="H24" s="113" t="s">
        <v>403</v>
      </c>
      <c r="I24" s="76" t="str">
        <f t="shared" si="5"/>
        <v>02</v>
      </c>
      <c r="J24" s="114"/>
      <c r="K24" s="57"/>
      <c r="L24" s="57"/>
      <c r="M24" s="57"/>
      <c r="N24" s="57"/>
      <c r="O24" s="57"/>
      <c r="P24" s="57"/>
      <c r="Q24" s="57"/>
      <c r="R24" s="57"/>
      <c r="S24" s="84" t="str">
        <f t="shared" si="6"/>
        <v>07</v>
      </c>
      <c r="T24" s="84" t="s">
        <v>5</v>
      </c>
      <c r="U24" s="267" t="str">
        <f t="shared" si="7"/>
        <v>aa 00 04 E0 00 21 02 07 55</v>
      </c>
      <c r="V24" s="116">
        <v>2</v>
      </c>
      <c r="W24" s="106"/>
      <c r="X24" s="106"/>
      <c r="Y24" s="106"/>
      <c r="Z24" s="440" t="s">
        <v>400</v>
      </c>
      <c r="AA24" s="440"/>
      <c r="AB24" s="440"/>
      <c r="AC24" s="440"/>
    </row>
    <row r="25" spans="3:29" ht="15" customHeight="1" x14ac:dyDescent="0.25">
      <c r="C25" s="84" t="s">
        <v>0</v>
      </c>
      <c r="D25" s="75" t="s">
        <v>1</v>
      </c>
      <c r="E25" s="75" t="str">
        <f t="shared" si="4"/>
        <v>04</v>
      </c>
      <c r="F25" s="76" t="s">
        <v>404</v>
      </c>
      <c r="G25" s="76" t="s">
        <v>406</v>
      </c>
      <c r="H25" s="113" t="s">
        <v>403</v>
      </c>
      <c r="I25" s="76" t="str">
        <f t="shared" si="5"/>
        <v>03</v>
      </c>
      <c r="J25" s="114"/>
      <c r="K25" s="57"/>
      <c r="L25" s="57"/>
      <c r="M25" s="57"/>
      <c r="N25" s="57"/>
      <c r="O25" s="57"/>
      <c r="P25" s="57"/>
      <c r="Q25" s="57"/>
      <c r="R25" s="57"/>
      <c r="S25" s="84" t="str">
        <f t="shared" si="6"/>
        <v>08</v>
      </c>
      <c r="T25" s="84" t="s">
        <v>5</v>
      </c>
      <c r="U25" s="55" t="str">
        <f t="shared" si="7"/>
        <v>aa 00 04 E0 00 21 03 08 55</v>
      </c>
      <c r="V25" s="116">
        <v>3</v>
      </c>
      <c r="W25" s="106"/>
      <c r="X25" s="106"/>
      <c r="Y25" s="106"/>
      <c r="Z25" s="440" t="s">
        <v>401</v>
      </c>
      <c r="AA25" s="440"/>
      <c r="AB25" s="440"/>
      <c r="AC25" s="440"/>
    </row>
    <row r="26" spans="3:29" ht="15" customHeight="1" x14ac:dyDescent="0.25">
      <c r="C26" s="84" t="s">
        <v>0</v>
      </c>
      <c r="D26" s="75" t="s">
        <v>1</v>
      </c>
      <c r="E26" s="75" t="str">
        <f t="shared" si="4"/>
        <v>04</v>
      </c>
      <c r="F26" s="76" t="s">
        <v>404</v>
      </c>
      <c r="G26" s="76" t="s">
        <v>406</v>
      </c>
      <c r="H26" s="113" t="s">
        <v>403</v>
      </c>
      <c r="I26" s="76" t="str">
        <f t="shared" si="5"/>
        <v>04</v>
      </c>
      <c r="J26" s="114"/>
      <c r="K26" s="57"/>
      <c r="L26" s="57"/>
      <c r="M26" s="57"/>
      <c r="N26" s="57"/>
      <c r="O26" s="57"/>
      <c r="P26" s="57"/>
      <c r="Q26" s="57"/>
      <c r="R26" s="57"/>
      <c r="S26" s="84" t="str">
        <f t="shared" si="6"/>
        <v>09</v>
      </c>
      <c r="T26" s="84" t="s">
        <v>5</v>
      </c>
      <c r="U26" s="55" t="str">
        <f t="shared" si="7"/>
        <v>aa 00 04 E0 00 21 04 09 55</v>
      </c>
      <c r="V26" s="116">
        <v>4</v>
      </c>
      <c r="W26" s="106"/>
      <c r="X26" s="106"/>
      <c r="Y26" s="106"/>
      <c r="Z26" s="440" t="s">
        <v>402</v>
      </c>
      <c r="AA26" s="440"/>
      <c r="AB26" s="440"/>
      <c r="AC26" s="440"/>
    </row>
    <row r="27" spans="3:29" ht="15" customHeight="1" x14ac:dyDescent="0.25">
      <c r="C27" s="84" t="s">
        <v>0</v>
      </c>
      <c r="D27" s="75" t="s">
        <v>1</v>
      </c>
      <c r="E27" s="75" t="str">
        <f t="shared" si="4"/>
        <v>04</v>
      </c>
      <c r="F27" s="76" t="s">
        <v>404</v>
      </c>
      <c r="G27" s="76" t="s">
        <v>1</v>
      </c>
      <c r="H27" s="113" t="s">
        <v>3</v>
      </c>
      <c r="I27" s="76" t="str">
        <f t="shared" si="5"/>
        <v>05</v>
      </c>
      <c r="J27" s="114"/>
      <c r="K27" s="57"/>
      <c r="L27" s="57"/>
      <c r="M27" s="57"/>
      <c r="N27" s="57"/>
      <c r="O27" s="57"/>
      <c r="P27" s="57"/>
      <c r="Q27" s="57"/>
      <c r="R27" s="57"/>
      <c r="S27" s="84" t="str">
        <f t="shared" si="6"/>
        <v>0A</v>
      </c>
      <c r="T27" s="84" t="s">
        <v>5</v>
      </c>
      <c r="U27" s="55" t="str">
        <f t="shared" si="7"/>
        <v>aa 00 04 E0 00 21 05 0A 55</v>
      </c>
      <c r="V27" s="116">
        <v>5</v>
      </c>
      <c r="W27" s="106"/>
      <c r="X27" s="106"/>
      <c r="Y27" s="106"/>
      <c r="Z27" s="440" t="s">
        <v>398</v>
      </c>
      <c r="AA27" s="440"/>
      <c r="AB27" s="440"/>
      <c r="AC27" s="440"/>
    </row>
    <row r="28" spans="3:29" ht="15" customHeight="1" x14ac:dyDescent="0.25">
      <c r="C28" s="84" t="s">
        <v>0</v>
      </c>
      <c r="D28" s="75" t="s">
        <v>1</v>
      </c>
      <c r="E28" s="75" t="str">
        <f t="shared" si="4"/>
        <v>04</v>
      </c>
      <c r="F28" s="76" t="s">
        <v>404</v>
      </c>
      <c r="G28" s="76" t="s">
        <v>1</v>
      </c>
      <c r="H28" s="113" t="s">
        <v>3</v>
      </c>
      <c r="I28" s="76" t="str">
        <f t="shared" si="5"/>
        <v>06</v>
      </c>
      <c r="J28" s="114"/>
      <c r="K28" s="57"/>
      <c r="L28" s="57"/>
      <c r="M28" s="57"/>
      <c r="N28" s="57"/>
      <c r="O28" s="57"/>
      <c r="P28" s="57"/>
      <c r="Q28" s="57"/>
      <c r="R28" s="57"/>
      <c r="S28" s="84" t="str">
        <f t="shared" si="6"/>
        <v>0B</v>
      </c>
      <c r="T28" s="84" t="s">
        <v>5</v>
      </c>
      <c r="U28" s="55" t="str">
        <f t="shared" si="7"/>
        <v>aa 00 04 E0 00 21 06 0B 55</v>
      </c>
      <c r="V28" s="116">
        <v>6</v>
      </c>
      <c r="W28" s="106"/>
      <c r="X28" s="106"/>
      <c r="Y28" s="106"/>
      <c r="Z28" s="440" t="s">
        <v>399</v>
      </c>
      <c r="AA28" s="440"/>
      <c r="AB28" s="440"/>
      <c r="AC28" s="440"/>
    </row>
    <row r="29" spans="3:29" ht="15" customHeight="1" x14ac:dyDescent="0.25">
      <c r="C29" s="84" t="s">
        <v>0</v>
      </c>
      <c r="D29" s="75" t="s">
        <v>1</v>
      </c>
      <c r="E29" s="75" t="str">
        <f t="shared" si="4"/>
        <v>04</v>
      </c>
      <c r="F29" s="76" t="s">
        <v>404</v>
      </c>
      <c r="G29" s="76" t="s">
        <v>1</v>
      </c>
      <c r="H29" s="113" t="s">
        <v>3</v>
      </c>
      <c r="I29" s="76" t="str">
        <f t="shared" si="5"/>
        <v>07</v>
      </c>
      <c r="J29" s="114"/>
      <c r="K29" s="57"/>
      <c r="L29" s="57"/>
      <c r="M29" s="57"/>
      <c r="N29" s="57"/>
      <c r="O29" s="57"/>
      <c r="P29" s="57"/>
      <c r="Q29" s="57"/>
      <c r="R29" s="57"/>
      <c r="S29" s="84" t="str">
        <f t="shared" si="6"/>
        <v>0C</v>
      </c>
      <c r="T29" s="84" t="s">
        <v>5</v>
      </c>
      <c r="U29" s="55" t="str">
        <f t="shared" si="7"/>
        <v>aa 00 04 E0 00 21 07 0C 55</v>
      </c>
      <c r="V29" s="116">
        <v>7</v>
      </c>
      <c r="W29" s="106"/>
      <c r="X29" s="106"/>
      <c r="Y29" s="106"/>
      <c r="Z29" s="440" t="s">
        <v>400</v>
      </c>
      <c r="AA29" s="440"/>
      <c r="AB29" s="440"/>
      <c r="AC29" s="440"/>
    </row>
    <row r="30" spans="3:29" ht="15" customHeight="1" x14ac:dyDescent="0.25">
      <c r="C30" s="84" t="s">
        <v>0</v>
      </c>
      <c r="D30" s="75" t="s">
        <v>1</v>
      </c>
      <c r="E30" s="75" t="str">
        <f t="shared" si="4"/>
        <v>04</v>
      </c>
      <c r="F30" s="76" t="s">
        <v>404</v>
      </c>
      <c r="G30" s="76" t="s">
        <v>1</v>
      </c>
      <c r="H30" s="113" t="s">
        <v>3</v>
      </c>
      <c r="I30" s="76" t="str">
        <f t="shared" si="5"/>
        <v>08</v>
      </c>
      <c r="J30" s="114"/>
      <c r="K30" s="57"/>
      <c r="L30" s="57"/>
      <c r="M30" s="57"/>
      <c r="N30" s="57"/>
      <c r="O30" s="57"/>
      <c r="P30" s="57"/>
      <c r="Q30" s="57"/>
      <c r="R30" s="57"/>
      <c r="S30" s="84" t="str">
        <f t="shared" si="6"/>
        <v>0D</v>
      </c>
      <c r="T30" s="84" t="s">
        <v>5</v>
      </c>
      <c r="U30" s="55" t="str">
        <f t="shared" si="7"/>
        <v>aa 00 04 E0 00 21 08 0D 55</v>
      </c>
      <c r="V30" s="116">
        <v>8</v>
      </c>
      <c r="W30" s="106"/>
      <c r="X30" s="106"/>
      <c r="Y30" s="106"/>
      <c r="Z30" s="440" t="s">
        <v>401</v>
      </c>
      <c r="AA30" s="440"/>
      <c r="AB30" s="440"/>
      <c r="AC30" s="440"/>
    </row>
    <row r="31" spans="3:29" ht="15" customHeight="1" x14ac:dyDescent="0.25">
      <c r="C31" s="84" t="s">
        <v>0</v>
      </c>
      <c r="D31" s="75" t="s">
        <v>1</v>
      </c>
      <c r="E31" s="75" t="str">
        <f t="shared" si="4"/>
        <v>04</v>
      </c>
      <c r="F31" s="76" t="s">
        <v>404</v>
      </c>
      <c r="G31" s="76" t="s">
        <v>1</v>
      </c>
      <c r="H31" s="113" t="s">
        <v>3</v>
      </c>
      <c r="I31" s="76" t="str">
        <f t="shared" si="5"/>
        <v>09</v>
      </c>
      <c r="J31" s="114"/>
      <c r="K31" s="57"/>
      <c r="L31" s="57"/>
      <c r="M31" s="57"/>
      <c r="N31" s="57"/>
      <c r="O31" s="57"/>
      <c r="P31" s="57"/>
      <c r="Q31" s="57"/>
      <c r="R31" s="57"/>
      <c r="S31" s="84" t="str">
        <f t="shared" si="6"/>
        <v>0E</v>
      </c>
      <c r="T31" s="84" t="s">
        <v>5</v>
      </c>
      <c r="U31" s="55" t="str">
        <f t="shared" si="7"/>
        <v>aa 00 04 E0 00 21 09 0E 55</v>
      </c>
      <c r="V31" s="116">
        <v>9</v>
      </c>
      <c r="W31" s="106"/>
      <c r="X31" s="106"/>
      <c r="Y31" s="106"/>
      <c r="Z31" s="440" t="s">
        <v>402</v>
      </c>
      <c r="AA31" s="440"/>
      <c r="AB31" s="440"/>
      <c r="AC31" s="440"/>
    </row>
    <row r="33" spans="3:29" x14ac:dyDescent="0.25">
      <c r="C33" s="216"/>
      <c r="D33" s="216"/>
      <c r="E33" s="216"/>
      <c r="F33" s="216"/>
      <c r="G33" s="216"/>
      <c r="H33" s="216"/>
      <c r="I33" s="216"/>
      <c r="J33" s="216"/>
      <c r="K33" s="216"/>
      <c r="L33" s="216"/>
      <c r="M33" s="216"/>
      <c r="N33" s="216"/>
      <c r="O33" s="216"/>
      <c r="P33" s="216"/>
      <c r="Q33" s="216"/>
      <c r="R33" s="216"/>
      <c r="S33" s="216"/>
      <c r="T33" s="216"/>
      <c r="U33" s="216"/>
      <c r="V33" s="216"/>
      <c r="W33" s="216"/>
      <c r="X33" s="216"/>
      <c r="Y33" s="216"/>
      <c r="Z33" s="216"/>
      <c r="AA33" s="216"/>
      <c r="AB33" s="216"/>
      <c r="AC33" s="216"/>
    </row>
    <row r="34" spans="3:29" ht="65.25" customHeight="1" x14ac:dyDescent="0.25">
      <c r="C34" s="84" t="s">
        <v>0</v>
      </c>
      <c r="D34" s="75" t="s">
        <v>1</v>
      </c>
      <c r="E34" s="75" t="str">
        <f t="shared" ref="E34" si="8">DEC2HEX( COUNTA(F34:R34),2)</f>
        <v>04</v>
      </c>
      <c r="F34" s="76" t="s">
        <v>404</v>
      </c>
      <c r="G34" s="76" t="s">
        <v>1</v>
      </c>
      <c r="H34" s="113" t="s">
        <v>586</v>
      </c>
      <c r="I34" s="54" t="str">
        <f>DEC2HEX(V34,2)</f>
        <v>0A</v>
      </c>
      <c r="J34" s="114"/>
      <c r="K34" s="57"/>
      <c r="L34" s="57"/>
      <c r="M34" s="57"/>
      <c r="N34" s="57"/>
      <c r="O34" s="57"/>
      <c r="P34" s="57"/>
      <c r="Q34" s="57"/>
      <c r="R34" s="57"/>
      <c r="S34" s="84" t="str">
        <f>DEC2HEX(MOD(HEX2DEC(D34)+HEX2DEC(E34)+HEX2DEC(F34)+HEX2DEC(G34)+HEX2DEC(H34)+HEX2DEC(I34)+HEX2DEC(J34)+HEX2DEC(K34)+HEX2DEC(L34)+HEX2DEC(M34)+HEX2DEC(N34)+HEX2DEC(O34)+HEX2DEC(R34),256),2)</f>
        <v>FE</v>
      </c>
      <c r="T34" s="84" t="s">
        <v>5</v>
      </c>
      <c r="U34" s="55" t="str">
        <f>IF(ISBLANK(C34),,C34&amp;" ")&amp;IF(ISBLANK(D34),,D34&amp;" ")&amp;IF(ISBLANK(E34),,E34&amp;" ")&amp;IF(ISBLANK(F34),,F34&amp;" ")&amp;IF(ISBLANK(G34),,G34&amp;" ")&amp;IF(ISBLANK(H34),,H34&amp;" ")&amp;IF(ISBLANK(I34),,I34&amp;" ")&amp;IF(ISBLANK(J34),,J34&amp;" ")&amp;IF(ISBLANK(K34),,K34&amp;" ")&amp;IF(ISBLANK(L34),,L34&amp;" ")&amp;IF(ISBLANK(M34),,M34&amp;" ")&amp;IF(ISBLANK(N34),,N34&amp;" ")&amp;IF(ISBLANK(O34),,O34&amp;" ")&amp;IF(ISBLANK(R34),,R34&amp;" ")&amp;IF(ISBLANK(S34),,S34&amp;" ")&amp;IF(ISBLANK(T34),,T34)</f>
        <v>aa 00 04 E0 00 10 0A FE 55</v>
      </c>
      <c r="V34" s="116">
        <v>10</v>
      </c>
      <c r="W34" s="605" t="s">
        <v>585</v>
      </c>
      <c r="X34" s="606"/>
      <c r="Y34" s="606"/>
      <c r="Z34" s="606"/>
      <c r="AA34" s="606"/>
      <c r="AB34" s="606"/>
      <c r="AC34" s="607"/>
    </row>
    <row r="38" spans="3:29" ht="22.2" x14ac:dyDescent="0.25">
      <c r="C38" s="608" t="s">
        <v>708</v>
      </c>
      <c r="D38" s="609"/>
      <c r="E38" s="609"/>
      <c r="F38" s="609"/>
      <c r="G38" s="609"/>
      <c r="H38" s="609"/>
      <c r="I38" s="609"/>
      <c r="J38" s="609"/>
      <c r="K38" s="609"/>
      <c r="L38" s="609"/>
      <c r="M38" s="609"/>
      <c r="N38" s="609"/>
      <c r="O38" s="609"/>
      <c r="P38" s="609"/>
      <c r="Q38" s="609"/>
      <c r="R38" s="609"/>
      <c r="S38" s="609"/>
      <c r="T38" s="609"/>
      <c r="U38" s="609"/>
      <c r="V38" s="609"/>
      <c r="W38" s="609"/>
      <c r="X38" s="609"/>
      <c r="Y38" s="609"/>
      <c r="Z38" s="609"/>
      <c r="AA38" s="609"/>
      <c r="AB38" s="609"/>
      <c r="AC38" s="610"/>
    </row>
    <row r="39" spans="3:29" x14ac:dyDescent="0.25">
      <c r="C39" s="435" t="s">
        <v>275</v>
      </c>
      <c r="D39" s="435"/>
      <c r="E39" s="435"/>
      <c r="F39" s="435"/>
      <c r="G39" s="435"/>
      <c r="H39" s="435"/>
      <c r="I39" s="435"/>
      <c r="J39" s="435"/>
      <c r="K39" s="435"/>
      <c r="L39" s="435"/>
      <c r="M39" s="435"/>
      <c r="N39" s="435"/>
      <c r="O39" s="435"/>
      <c r="P39" s="435"/>
      <c r="Q39" s="435"/>
      <c r="R39" s="435"/>
      <c r="S39" s="435"/>
      <c r="T39" s="435"/>
      <c r="U39" s="286" t="s">
        <v>266</v>
      </c>
      <c r="V39" s="435" t="s">
        <v>267</v>
      </c>
      <c r="W39" s="435"/>
      <c r="X39" s="435"/>
      <c r="Y39" s="435"/>
      <c r="Z39" s="435" t="s">
        <v>268</v>
      </c>
      <c r="AA39" s="435"/>
      <c r="AB39" s="435"/>
      <c r="AC39" s="435"/>
    </row>
    <row r="40" spans="3:29" ht="16.8" x14ac:dyDescent="0.25">
      <c r="C40" s="86" t="s">
        <v>77</v>
      </c>
      <c r="D40" s="287" t="s">
        <v>78</v>
      </c>
      <c r="E40" s="287" t="s">
        <v>10</v>
      </c>
      <c r="F40" s="287" t="s">
        <v>79</v>
      </c>
      <c r="G40" s="287" t="s">
        <v>80</v>
      </c>
      <c r="H40" s="287" t="s">
        <v>11</v>
      </c>
      <c r="I40" s="488" t="s">
        <v>83</v>
      </c>
      <c r="J40" s="436"/>
      <c r="K40" s="436"/>
      <c r="L40" s="436"/>
      <c r="M40" s="436"/>
      <c r="N40" s="436"/>
      <c r="O40" s="436"/>
      <c r="P40" s="436"/>
      <c r="Q40" s="436"/>
      <c r="R40" s="436"/>
      <c r="S40" s="83" t="s">
        <v>81</v>
      </c>
      <c r="T40" s="83" t="s">
        <v>82</v>
      </c>
      <c r="U40" s="51" t="s">
        <v>276</v>
      </c>
      <c r="V40" s="45"/>
      <c r="W40" s="45"/>
      <c r="X40" s="45"/>
      <c r="Y40" s="45"/>
      <c r="Z40" s="439" t="s">
        <v>6</v>
      </c>
      <c r="AA40" s="439"/>
      <c r="AB40" s="439"/>
      <c r="AC40" s="439"/>
    </row>
    <row r="41" spans="3:29" x14ac:dyDescent="0.25">
      <c r="C41" s="84" t="s">
        <v>0</v>
      </c>
      <c r="D41" s="75" t="s">
        <v>1</v>
      </c>
      <c r="E41" s="75" t="str">
        <f t="shared" ref="E41" si="9">DEC2HEX( COUNTA(F41:R41),2)</f>
        <v>03</v>
      </c>
      <c r="F41" s="76" t="s">
        <v>381</v>
      </c>
      <c r="G41" s="76" t="s">
        <v>709</v>
      </c>
      <c r="H41" s="113" t="s">
        <v>70</v>
      </c>
      <c r="I41" s="76"/>
      <c r="J41" s="114"/>
      <c r="K41" s="57"/>
      <c r="L41" s="57"/>
      <c r="M41" s="57"/>
      <c r="N41" s="57"/>
      <c r="O41" s="57"/>
      <c r="P41" s="57"/>
      <c r="Q41" s="57"/>
      <c r="R41" s="57"/>
      <c r="S41" s="84" t="str">
        <f t="shared" ref="S41" si="10">DEC2HEX(MOD(HEX2DEC(D41)+HEX2DEC(E41)+HEX2DEC(F41)+HEX2DEC(G41)+HEX2DEC(H41)+HEX2DEC(I41)+HEX2DEC(J41)+HEX2DEC(K41)+HEX2DEC(L41)+HEX2DEC(M41)+HEX2DEC(N41)+HEX2DEC(O41)+HEX2DEC(R41),256),2)</f>
        <v>77</v>
      </c>
      <c r="T41" s="84" t="s">
        <v>5</v>
      </c>
      <c r="U41" s="267" t="str">
        <f t="shared" ref="U41:U43" si="11">IF(ISBLANK(C41),,C41&amp;" ")&amp;IF(ISBLANK(D41),,D41&amp;" ")&amp;IF(ISBLANK(E41),,E41&amp;" ")&amp;IF(ISBLANK(F41),,F41&amp;" ")&amp;IF(ISBLANK(G41),,G41&amp;" ")&amp;IF(ISBLANK(H41),,H41&amp;" ")&amp;IF(ISBLANK(I41),,I41&amp;" ")&amp;IF(ISBLANK(J41),,J41&amp;" ")&amp;IF(ISBLANK(K41),,K41&amp;" ")&amp;IF(ISBLANK(L41),,L41&amp;" ")&amp;IF(ISBLANK(M41),,M41&amp;" ")&amp;IF(ISBLANK(N41),,N41&amp;" ")&amp;IF(ISBLANK(O41),,O41&amp;" ")&amp;IF(ISBLANK(R41),,R41&amp;" ")&amp;IF(ISBLANK(S41),,S41&amp;" ")&amp;IF(ISBLANK(T41),,T41)</f>
        <v>aa 00 03 64 00 10 77 55</v>
      </c>
      <c r="V41" s="116"/>
      <c r="W41" s="106"/>
      <c r="X41" s="106"/>
      <c r="Y41" s="106"/>
      <c r="Z41" s="440" t="s">
        <v>711</v>
      </c>
      <c r="AA41" s="440"/>
      <c r="AB41" s="440"/>
      <c r="AC41" s="440"/>
    </row>
    <row r="42" spans="3:29" x14ac:dyDescent="0.25">
      <c r="C42" s="84" t="s">
        <v>0</v>
      </c>
      <c r="D42" s="75" t="s">
        <v>1</v>
      </c>
      <c r="E42" s="75" t="str">
        <f t="shared" ref="E42:E44" si="12">DEC2HEX( COUNTA(F42:R42),2)</f>
        <v>03</v>
      </c>
      <c r="F42" s="76" t="s">
        <v>381</v>
      </c>
      <c r="G42" s="76" t="s">
        <v>14</v>
      </c>
      <c r="H42" s="113" t="s">
        <v>70</v>
      </c>
      <c r="I42" s="76"/>
      <c r="J42" s="114"/>
      <c r="K42" s="57"/>
      <c r="L42" s="57"/>
      <c r="M42" s="57"/>
      <c r="N42" s="57"/>
      <c r="O42" s="57"/>
      <c r="P42" s="57"/>
      <c r="Q42" s="57"/>
      <c r="R42" s="57"/>
      <c r="S42" s="84" t="str">
        <f t="shared" ref="S42:S44" si="13">DEC2HEX(MOD(HEX2DEC(D42)+HEX2DEC(E42)+HEX2DEC(F42)+HEX2DEC(G42)+HEX2DEC(H42)+HEX2DEC(I42)+HEX2DEC(J42)+HEX2DEC(K42)+HEX2DEC(L42)+HEX2DEC(M42)+HEX2DEC(N42)+HEX2DEC(O42)+HEX2DEC(R42),256),2)</f>
        <v>78</v>
      </c>
      <c r="T42" s="84" t="s">
        <v>5</v>
      </c>
      <c r="U42" s="267" t="str">
        <f t="shared" si="11"/>
        <v>aa 00 03 64 01 10 78 55</v>
      </c>
      <c r="V42" s="116"/>
      <c r="W42" s="106"/>
      <c r="X42" s="106"/>
      <c r="Y42" s="106"/>
      <c r="Z42" s="440" t="s">
        <v>399</v>
      </c>
      <c r="AA42" s="440"/>
      <c r="AB42" s="440"/>
      <c r="AC42" s="440"/>
    </row>
    <row r="43" spans="3:29" x14ac:dyDescent="0.25">
      <c r="C43" s="84" t="s">
        <v>0</v>
      </c>
      <c r="D43" s="75" t="s">
        <v>1</v>
      </c>
      <c r="E43" s="75" t="str">
        <f t="shared" si="12"/>
        <v>03</v>
      </c>
      <c r="F43" s="76" t="s">
        <v>381</v>
      </c>
      <c r="G43" s="76" t="s">
        <v>15</v>
      </c>
      <c r="H43" s="113" t="s">
        <v>70</v>
      </c>
      <c r="I43" s="76"/>
      <c r="J43" s="114"/>
      <c r="K43" s="57"/>
      <c r="L43" s="57"/>
      <c r="M43" s="57"/>
      <c r="N43" s="57"/>
      <c r="O43" s="57"/>
      <c r="P43" s="57"/>
      <c r="Q43" s="57"/>
      <c r="R43" s="57"/>
      <c r="S43" s="84" t="str">
        <f t="shared" si="13"/>
        <v>79</v>
      </c>
      <c r="T43" s="84" t="s">
        <v>5</v>
      </c>
      <c r="U43" s="267" t="str">
        <f t="shared" si="11"/>
        <v>aa 00 03 64 02 10 79 55</v>
      </c>
      <c r="V43" s="116"/>
      <c r="W43" s="106"/>
      <c r="X43" s="106"/>
      <c r="Y43" s="106"/>
      <c r="Z43" s="440" t="s">
        <v>400</v>
      </c>
      <c r="AA43" s="440"/>
      <c r="AB43" s="440"/>
      <c r="AC43" s="440"/>
    </row>
    <row r="44" spans="3:29" x14ac:dyDescent="0.25">
      <c r="C44" s="84" t="s">
        <v>0</v>
      </c>
      <c r="D44" s="75" t="s">
        <v>1</v>
      </c>
      <c r="E44" s="75" t="str">
        <f t="shared" si="12"/>
        <v>03</v>
      </c>
      <c r="F44" s="76" t="s">
        <v>381</v>
      </c>
      <c r="G44" s="76" t="s">
        <v>13</v>
      </c>
      <c r="H44" s="113" t="s">
        <v>70</v>
      </c>
      <c r="I44" s="76"/>
      <c r="J44" s="114"/>
      <c r="K44" s="57"/>
      <c r="L44" s="57"/>
      <c r="M44" s="57"/>
      <c r="N44" s="57"/>
      <c r="O44" s="57"/>
      <c r="P44" s="57"/>
      <c r="Q44" s="57"/>
      <c r="R44" s="57"/>
      <c r="S44" s="84" t="str">
        <f t="shared" si="13"/>
        <v>7A</v>
      </c>
      <c r="T44" s="84" t="s">
        <v>5</v>
      </c>
      <c r="U44" s="267" t="str">
        <f t="shared" ref="U44:U51" si="14">IF(ISBLANK(C44),,C44&amp;" ")&amp;IF(ISBLANK(D44),,D44&amp;" ")&amp;IF(ISBLANK(E44),,E44&amp;" ")&amp;IF(ISBLANK(F44),,F44&amp;" ")&amp;IF(ISBLANK(G44),,G44&amp;" ")&amp;IF(ISBLANK(H44),,H44&amp;" ")&amp;IF(ISBLANK(I44),,I44&amp;" ")&amp;IF(ISBLANK(J44),,J44&amp;" ")&amp;IF(ISBLANK(K44),,K44&amp;" ")&amp;IF(ISBLANK(L44),,L44&amp;" ")&amp;IF(ISBLANK(M44),,M44&amp;" ")&amp;IF(ISBLANK(N44),,N44&amp;" ")&amp;IF(ISBLANK(O44),,O44&amp;" ")&amp;IF(ISBLANK(R44),,R44&amp;" ")&amp;IF(ISBLANK(S44),,S44&amp;" ")&amp;IF(ISBLANK(T44),,T44)</f>
        <v>aa 00 03 64 03 10 7A 55</v>
      </c>
      <c r="V44" s="116"/>
      <c r="W44" s="106"/>
      <c r="X44" s="106"/>
      <c r="Y44" s="106"/>
      <c r="Z44" s="440" t="s">
        <v>398</v>
      </c>
      <c r="AA44" s="440"/>
      <c r="AB44" s="440"/>
      <c r="AC44" s="440"/>
    </row>
    <row r="45" spans="3:29" x14ac:dyDescent="0.25">
      <c r="C45" s="84" t="s">
        <v>0</v>
      </c>
      <c r="D45" s="75" t="s">
        <v>1</v>
      </c>
      <c r="E45" s="75" t="str">
        <f t="shared" ref="E45:E51" si="15">DEC2HEX( COUNTA(F45:R45),2)</f>
        <v>03</v>
      </c>
      <c r="F45" s="76" t="s">
        <v>381</v>
      </c>
      <c r="G45" s="76" t="s">
        <v>18</v>
      </c>
      <c r="H45" s="113" t="s">
        <v>70</v>
      </c>
      <c r="I45" s="76"/>
      <c r="J45" s="114"/>
      <c r="K45" s="57"/>
      <c r="L45" s="57"/>
      <c r="M45" s="57"/>
      <c r="N45" s="57"/>
      <c r="O45" s="57"/>
      <c r="P45" s="57"/>
      <c r="Q45" s="57"/>
      <c r="R45" s="57"/>
      <c r="S45" s="84" t="str">
        <f t="shared" ref="S45:S51" si="16">DEC2HEX(MOD(HEX2DEC(D45)+HEX2DEC(E45)+HEX2DEC(F45)+HEX2DEC(G45)+HEX2DEC(H45)+HEX2DEC(I45)+HEX2DEC(J45)+HEX2DEC(K45)+HEX2DEC(L45)+HEX2DEC(M45)+HEX2DEC(N45)+HEX2DEC(O45)+HEX2DEC(R45),256),2)</f>
        <v>7B</v>
      </c>
      <c r="T45" s="84" t="s">
        <v>5</v>
      </c>
      <c r="U45" s="267" t="str">
        <f t="shared" si="14"/>
        <v>aa 00 03 64 04 10 7B 55</v>
      </c>
      <c r="V45" s="116"/>
      <c r="W45" s="106"/>
      <c r="X45" s="106"/>
      <c r="Y45" s="106"/>
      <c r="Z45" s="440" t="s">
        <v>399</v>
      </c>
      <c r="AA45" s="440"/>
      <c r="AB45" s="440"/>
      <c r="AC45" s="440"/>
    </row>
    <row r="46" spans="3:29" x14ac:dyDescent="0.25">
      <c r="C46" s="84" t="s">
        <v>0</v>
      </c>
      <c r="D46" s="75" t="s">
        <v>1</v>
      </c>
      <c r="E46" s="75" t="str">
        <f t="shared" si="15"/>
        <v>03</v>
      </c>
      <c r="F46" s="76" t="s">
        <v>381</v>
      </c>
      <c r="G46" s="76" t="s">
        <v>122</v>
      </c>
      <c r="H46" s="113" t="s">
        <v>70</v>
      </c>
      <c r="I46" s="76"/>
      <c r="J46" s="114"/>
      <c r="K46" s="57"/>
      <c r="L46" s="57"/>
      <c r="M46" s="57"/>
      <c r="N46" s="57"/>
      <c r="O46" s="57"/>
      <c r="P46" s="57"/>
      <c r="Q46" s="57"/>
      <c r="R46" s="57"/>
      <c r="S46" s="84" t="str">
        <f t="shared" si="16"/>
        <v>7C</v>
      </c>
      <c r="T46" s="84" t="s">
        <v>5</v>
      </c>
      <c r="U46" s="267" t="str">
        <f t="shared" si="14"/>
        <v>aa 00 03 64 05 10 7C 55</v>
      </c>
      <c r="V46" s="116"/>
      <c r="W46" s="106"/>
      <c r="X46" s="106"/>
      <c r="Y46" s="106"/>
      <c r="Z46" s="440" t="s">
        <v>400</v>
      </c>
      <c r="AA46" s="440"/>
      <c r="AB46" s="440"/>
      <c r="AC46" s="440"/>
    </row>
    <row r="47" spans="3:29" x14ac:dyDescent="0.25">
      <c r="C47" s="84" t="s">
        <v>0</v>
      </c>
      <c r="D47" s="75" t="s">
        <v>1</v>
      </c>
      <c r="E47" s="75" t="str">
        <f t="shared" si="15"/>
        <v>03</v>
      </c>
      <c r="F47" s="76" t="s">
        <v>381</v>
      </c>
      <c r="G47" s="76" t="s">
        <v>123</v>
      </c>
      <c r="H47" s="113" t="s">
        <v>70</v>
      </c>
      <c r="I47" s="76"/>
      <c r="J47" s="114"/>
      <c r="K47" s="57"/>
      <c r="L47" s="57"/>
      <c r="M47" s="57"/>
      <c r="N47" s="57"/>
      <c r="O47" s="57"/>
      <c r="P47" s="57"/>
      <c r="Q47" s="57"/>
      <c r="R47" s="57"/>
      <c r="S47" s="84" t="str">
        <f t="shared" si="16"/>
        <v>7D</v>
      </c>
      <c r="T47" s="84" t="s">
        <v>5</v>
      </c>
      <c r="U47" s="267" t="str">
        <f t="shared" si="14"/>
        <v>aa 00 03 64 06 10 7D 55</v>
      </c>
      <c r="V47" s="116"/>
      <c r="W47" s="106"/>
      <c r="X47" s="106"/>
      <c r="Y47" s="106"/>
      <c r="Z47" s="440" t="s">
        <v>398</v>
      </c>
      <c r="AA47" s="440"/>
      <c r="AB47" s="440"/>
      <c r="AC47" s="440"/>
    </row>
    <row r="48" spans="3:29" x14ac:dyDescent="0.25">
      <c r="C48" s="84" t="s">
        <v>0</v>
      </c>
      <c r="D48" s="75" t="s">
        <v>1</v>
      </c>
      <c r="E48" s="75" t="str">
        <f t="shared" si="15"/>
        <v>03</v>
      </c>
      <c r="F48" s="76" t="s">
        <v>381</v>
      </c>
      <c r="G48" s="76" t="s">
        <v>124</v>
      </c>
      <c r="H48" s="113" t="s">
        <v>70</v>
      </c>
      <c r="I48" s="76"/>
      <c r="J48" s="114"/>
      <c r="K48" s="57"/>
      <c r="L48" s="57"/>
      <c r="M48" s="57"/>
      <c r="N48" s="57"/>
      <c r="O48" s="57"/>
      <c r="P48" s="57"/>
      <c r="Q48" s="57"/>
      <c r="R48" s="57"/>
      <c r="S48" s="84" t="str">
        <f t="shared" si="16"/>
        <v>7E</v>
      </c>
      <c r="T48" s="84" t="s">
        <v>5</v>
      </c>
      <c r="U48" s="267" t="str">
        <f t="shared" si="14"/>
        <v>aa 00 03 64 07 10 7E 55</v>
      </c>
      <c r="V48" s="116"/>
      <c r="W48" s="106"/>
      <c r="X48" s="106"/>
      <c r="Y48" s="106"/>
      <c r="Z48" s="440" t="s">
        <v>399</v>
      </c>
      <c r="AA48" s="440"/>
      <c r="AB48" s="440"/>
      <c r="AC48" s="440"/>
    </row>
    <row r="49" spans="3:29" x14ac:dyDescent="0.25">
      <c r="C49" s="84" t="s">
        <v>0</v>
      </c>
      <c r="D49" s="75" t="s">
        <v>1</v>
      </c>
      <c r="E49" s="75" t="str">
        <f t="shared" si="15"/>
        <v>03</v>
      </c>
      <c r="F49" s="76" t="s">
        <v>381</v>
      </c>
      <c r="G49" s="76" t="s">
        <v>125</v>
      </c>
      <c r="H49" s="113" t="s">
        <v>70</v>
      </c>
      <c r="I49" s="76"/>
      <c r="J49" s="114"/>
      <c r="K49" s="57"/>
      <c r="L49" s="57"/>
      <c r="M49" s="57"/>
      <c r="N49" s="57"/>
      <c r="O49" s="57"/>
      <c r="P49" s="57"/>
      <c r="Q49" s="57"/>
      <c r="R49" s="57"/>
      <c r="S49" s="84" t="str">
        <f t="shared" si="16"/>
        <v>7F</v>
      </c>
      <c r="T49" s="84" t="s">
        <v>5</v>
      </c>
      <c r="U49" s="267" t="str">
        <f t="shared" si="14"/>
        <v>aa 00 03 64 08 10 7F 55</v>
      </c>
      <c r="V49" s="116"/>
      <c r="W49" s="106"/>
      <c r="X49" s="106"/>
      <c r="Y49" s="106"/>
      <c r="Z49" s="440" t="s">
        <v>400</v>
      </c>
      <c r="AA49" s="440"/>
      <c r="AB49" s="440"/>
      <c r="AC49" s="440"/>
    </row>
    <row r="50" spans="3:29" x14ac:dyDescent="0.25">
      <c r="C50" s="84" t="s">
        <v>0</v>
      </c>
      <c r="D50" s="75" t="s">
        <v>1</v>
      </c>
      <c r="E50" s="75" t="str">
        <f t="shared" si="15"/>
        <v>03</v>
      </c>
      <c r="F50" s="76" t="s">
        <v>381</v>
      </c>
      <c r="G50" s="76" t="s">
        <v>126</v>
      </c>
      <c r="H50" s="113" t="s">
        <v>70</v>
      </c>
      <c r="I50" s="76"/>
      <c r="J50" s="114"/>
      <c r="K50" s="57"/>
      <c r="L50" s="57"/>
      <c r="M50" s="57"/>
      <c r="N50" s="57"/>
      <c r="O50" s="57"/>
      <c r="P50" s="57"/>
      <c r="Q50" s="57"/>
      <c r="R50" s="57"/>
      <c r="S50" s="84" t="str">
        <f t="shared" si="16"/>
        <v>80</v>
      </c>
      <c r="T50" s="84" t="s">
        <v>5</v>
      </c>
      <c r="U50" s="267" t="str">
        <f t="shared" si="14"/>
        <v>aa 00 03 64 09 10 80 55</v>
      </c>
      <c r="V50" s="116"/>
      <c r="W50" s="106"/>
      <c r="X50" s="106"/>
      <c r="Y50" s="106"/>
      <c r="Z50" s="440" t="s">
        <v>398</v>
      </c>
      <c r="AA50" s="440"/>
      <c r="AB50" s="440"/>
      <c r="AC50" s="440"/>
    </row>
    <row r="51" spans="3:29" x14ac:dyDescent="0.25">
      <c r="C51" s="84" t="s">
        <v>0</v>
      </c>
      <c r="D51" s="75" t="s">
        <v>1</v>
      </c>
      <c r="E51" s="75" t="str">
        <f t="shared" si="15"/>
        <v>03</v>
      </c>
      <c r="F51" s="76" t="s">
        <v>381</v>
      </c>
      <c r="G51" s="76" t="s">
        <v>710</v>
      </c>
      <c r="H51" s="113" t="s">
        <v>70</v>
      </c>
      <c r="I51" s="76"/>
      <c r="J51" s="114"/>
      <c r="K51" s="57"/>
      <c r="L51" s="57"/>
      <c r="M51" s="57"/>
      <c r="N51" s="57"/>
      <c r="O51" s="57"/>
      <c r="P51" s="57"/>
      <c r="Q51" s="57"/>
      <c r="R51" s="57"/>
      <c r="S51" s="84" t="str">
        <f t="shared" si="16"/>
        <v>81</v>
      </c>
      <c r="T51" s="84" t="s">
        <v>5</v>
      </c>
      <c r="U51" s="267" t="str">
        <f t="shared" si="14"/>
        <v>aa 00 03 64 0a 10 81 55</v>
      </c>
      <c r="V51" s="116"/>
      <c r="W51" s="106"/>
      <c r="X51" s="106"/>
      <c r="Y51" s="106"/>
      <c r="Z51" s="440" t="s">
        <v>399</v>
      </c>
      <c r="AA51" s="440"/>
      <c r="AB51" s="440"/>
      <c r="AC51" s="440"/>
    </row>
    <row r="52" spans="3:29" x14ac:dyDescent="0.25">
      <c r="C52" s="84"/>
      <c r="D52" s="75"/>
      <c r="E52" s="75"/>
      <c r="F52" s="76"/>
      <c r="G52" s="76"/>
      <c r="H52" s="113"/>
      <c r="I52" s="76"/>
      <c r="J52" s="114"/>
      <c r="K52" s="57"/>
      <c r="L52" s="57"/>
      <c r="M52" s="57"/>
      <c r="N52" s="57"/>
      <c r="O52" s="57"/>
      <c r="P52" s="57"/>
      <c r="Q52" s="57"/>
      <c r="R52" s="57"/>
      <c r="S52" s="84"/>
      <c r="T52" s="84"/>
      <c r="U52" s="267"/>
      <c r="V52" s="116"/>
      <c r="W52" s="106"/>
      <c r="X52" s="106"/>
      <c r="Y52" s="106"/>
      <c r="Z52" s="440"/>
      <c r="AA52" s="440"/>
      <c r="AB52" s="440"/>
      <c r="AC52" s="440"/>
    </row>
  </sheetData>
  <sheetProtection selectLockedCells="1"/>
  <mergeCells count="53">
    <mergeCell ref="Z51:AC51"/>
    <mergeCell ref="Z52:AC52"/>
    <mergeCell ref="Z46:AC46"/>
    <mergeCell ref="Z47:AC47"/>
    <mergeCell ref="Z48:AC48"/>
    <mergeCell ref="Z49:AC49"/>
    <mergeCell ref="Z50:AC50"/>
    <mergeCell ref="Z41:AC41"/>
    <mergeCell ref="Z42:AC42"/>
    <mergeCell ref="Z43:AC43"/>
    <mergeCell ref="Z44:AC44"/>
    <mergeCell ref="Z45:AC45"/>
    <mergeCell ref="C38:AC38"/>
    <mergeCell ref="C39:T39"/>
    <mergeCell ref="V39:Y39"/>
    <mergeCell ref="Z39:AC39"/>
    <mergeCell ref="I40:R40"/>
    <mergeCell ref="Z40:AC40"/>
    <mergeCell ref="Z25:AC25"/>
    <mergeCell ref="Z26:AC26"/>
    <mergeCell ref="I21:R21"/>
    <mergeCell ref="Z21:AC21"/>
    <mergeCell ref="Z22:AC22"/>
    <mergeCell ref="Z23:AC23"/>
    <mergeCell ref="Z24:AC24"/>
    <mergeCell ref="Z9:AC9"/>
    <mergeCell ref="Z10:AC10"/>
    <mergeCell ref="C18:AC18"/>
    <mergeCell ref="C19:AC19"/>
    <mergeCell ref="C20:T20"/>
    <mergeCell ref="V20:Y20"/>
    <mergeCell ref="Z20:AC20"/>
    <mergeCell ref="W34:AC34"/>
    <mergeCell ref="I5:R5"/>
    <mergeCell ref="Z5:AC5"/>
    <mergeCell ref="C2:AC2"/>
    <mergeCell ref="C3:AC3"/>
    <mergeCell ref="C4:T4"/>
    <mergeCell ref="V4:Y4"/>
    <mergeCell ref="Z4:AC4"/>
    <mergeCell ref="Z11:AC11"/>
    <mergeCell ref="Z12:AC12"/>
    <mergeCell ref="Z13:AC13"/>
    <mergeCell ref="Z14:AC14"/>
    <mergeCell ref="Z15:AC15"/>
    <mergeCell ref="Z6:AC6"/>
    <mergeCell ref="Z7:AC7"/>
    <mergeCell ref="Z8:AC8"/>
    <mergeCell ref="Z31:AC31"/>
    <mergeCell ref="Z27:AC27"/>
    <mergeCell ref="Z28:AC28"/>
    <mergeCell ref="Z29:AC29"/>
    <mergeCell ref="Z30:AC30"/>
  </mergeCells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"/>
  <dimension ref="B2:AB14"/>
  <sheetViews>
    <sheetView zoomScale="115" zoomScaleNormal="115" workbookViewId="0">
      <selection activeCell="T6" sqref="T6"/>
    </sheetView>
  </sheetViews>
  <sheetFormatPr defaultColWidth="9" defaultRowHeight="14.4" x14ac:dyDescent="0.25"/>
  <cols>
    <col min="1" max="19" width="3.6640625" style="43" customWidth="1"/>
    <col min="20" max="20" width="40.6640625" style="43" customWidth="1"/>
    <col min="21" max="24" width="5.6640625" style="43" customWidth="1"/>
    <col min="25" max="28" width="10.6640625" style="43" customWidth="1"/>
    <col min="29" max="16384" width="9" style="43"/>
  </cols>
  <sheetData>
    <row r="2" spans="2:28" x14ac:dyDescent="0.25">
      <c r="B2" s="495" t="s">
        <v>379</v>
      </c>
      <c r="C2" s="496"/>
      <c r="D2" s="496"/>
      <c r="E2" s="496"/>
      <c r="F2" s="496"/>
      <c r="G2" s="496"/>
      <c r="H2" s="496"/>
      <c r="I2" s="496"/>
      <c r="J2" s="496"/>
      <c r="K2" s="496"/>
      <c r="L2" s="496"/>
      <c r="M2" s="496"/>
      <c r="N2" s="496"/>
      <c r="O2" s="496"/>
      <c r="P2" s="496"/>
      <c r="Q2" s="496"/>
      <c r="R2" s="496"/>
      <c r="S2" s="496"/>
      <c r="T2" s="496"/>
      <c r="U2" s="496"/>
      <c r="V2" s="496"/>
      <c r="W2" s="496"/>
      <c r="X2" s="496"/>
      <c r="Y2" s="496"/>
      <c r="Z2" s="496"/>
      <c r="AA2" s="496"/>
      <c r="AB2" s="497"/>
    </row>
    <row r="3" spans="2:28" ht="22.2" x14ac:dyDescent="0.25">
      <c r="B3" s="608" t="s">
        <v>387</v>
      </c>
      <c r="C3" s="609"/>
      <c r="D3" s="609"/>
      <c r="E3" s="609"/>
      <c r="F3" s="609"/>
      <c r="G3" s="609"/>
      <c r="H3" s="609"/>
      <c r="I3" s="609"/>
      <c r="J3" s="609"/>
      <c r="K3" s="609"/>
      <c r="L3" s="609"/>
      <c r="M3" s="609"/>
      <c r="N3" s="609"/>
      <c r="O3" s="609"/>
      <c r="P3" s="609"/>
      <c r="Q3" s="609"/>
      <c r="R3" s="609"/>
      <c r="S3" s="609"/>
      <c r="T3" s="609"/>
      <c r="U3" s="609"/>
      <c r="V3" s="609"/>
      <c r="W3" s="609"/>
      <c r="X3" s="609"/>
      <c r="Y3" s="609"/>
      <c r="Z3" s="609"/>
      <c r="AA3" s="609"/>
      <c r="AB3" s="610"/>
    </row>
    <row r="4" spans="2:28" ht="30" customHeight="1" x14ac:dyDescent="0.25">
      <c r="B4" s="435" t="s">
        <v>275</v>
      </c>
      <c r="C4" s="435"/>
      <c r="D4" s="435"/>
      <c r="E4" s="435"/>
      <c r="F4" s="435"/>
      <c r="G4" s="435"/>
      <c r="H4" s="435"/>
      <c r="I4" s="435"/>
      <c r="J4" s="435"/>
      <c r="K4" s="435"/>
      <c r="L4" s="435"/>
      <c r="M4" s="435"/>
      <c r="N4" s="435"/>
      <c r="O4" s="435"/>
      <c r="P4" s="435"/>
      <c r="Q4" s="435"/>
      <c r="R4" s="435"/>
      <c r="S4" s="435"/>
      <c r="T4" s="108" t="s">
        <v>266</v>
      </c>
      <c r="U4" s="611" t="s">
        <v>392</v>
      </c>
      <c r="V4" s="435"/>
      <c r="W4" s="435"/>
      <c r="X4" s="435"/>
      <c r="Y4" s="435" t="s">
        <v>268</v>
      </c>
      <c r="Z4" s="435"/>
      <c r="AA4" s="435"/>
      <c r="AB4" s="435"/>
    </row>
    <row r="5" spans="2:28" ht="12" customHeight="1" x14ac:dyDescent="0.25">
      <c r="B5" s="86" t="s">
        <v>77</v>
      </c>
      <c r="C5" s="109" t="s">
        <v>78</v>
      </c>
      <c r="D5" s="109" t="s">
        <v>10</v>
      </c>
      <c r="E5" s="109" t="s">
        <v>79</v>
      </c>
      <c r="F5" s="109" t="s">
        <v>80</v>
      </c>
      <c r="G5" s="109" t="s">
        <v>11</v>
      </c>
      <c r="H5" s="488" t="s">
        <v>83</v>
      </c>
      <c r="I5" s="488"/>
      <c r="J5" s="488"/>
      <c r="K5" s="488"/>
      <c r="L5" s="488"/>
      <c r="M5" s="488"/>
      <c r="N5" s="436"/>
      <c r="O5" s="436"/>
      <c r="P5" s="436"/>
      <c r="Q5" s="436"/>
      <c r="R5" s="83" t="s">
        <v>81</v>
      </c>
      <c r="S5" s="83" t="s">
        <v>82</v>
      </c>
      <c r="T5" s="51" t="s">
        <v>276</v>
      </c>
      <c r="U5" s="45" t="s">
        <v>394</v>
      </c>
      <c r="V5" s="112" t="s">
        <v>389</v>
      </c>
      <c r="W5" s="112" t="s">
        <v>390</v>
      </c>
      <c r="X5" s="45"/>
      <c r="Y5" s="439" t="s">
        <v>6</v>
      </c>
      <c r="Z5" s="439"/>
      <c r="AA5" s="439"/>
      <c r="AB5" s="439"/>
    </row>
    <row r="6" spans="2:28" ht="12" customHeight="1" x14ac:dyDescent="0.25">
      <c r="B6" s="84" t="s">
        <v>0</v>
      </c>
      <c r="C6" s="75" t="s">
        <v>1</v>
      </c>
      <c r="D6" s="75" t="s">
        <v>52</v>
      </c>
      <c r="E6" s="76" t="s">
        <v>388</v>
      </c>
      <c r="F6" s="76" t="s">
        <v>1</v>
      </c>
      <c r="G6" s="113" t="s">
        <v>1</v>
      </c>
      <c r="H6" s="54" t="str">
        <f>LEFT(DEC2HEX(U6,4),2)</f>
        <v>03</v>
      </c>
      <c r="I6" s="54" t="str">
        <f>RIGHT(DEC2HEX(U6,4),2)</f>
        <v>E8</v>
      </c>
      <c r="J6" s="54" t="str">
        <f>LEFT(DEC2HEX(V6,4),2)</f>
        <v>00</v>
      </c>
      <c r="K6" s="54" t="str">
        <f>RIGHT(DEC2HEX(V6,4),2)</f>
        <v>00</v>
      </c>
      <c r="L6" s="54" t="str">
        <f>LEFT(DEC2HEX(W6,4),2)</f>
        <v>00</v>
      </c>
      <c r="M6" s="54" t="str">
        <f>RIGHT(DEC2HEX(W6,4),2)</f>
        <v>00</v>
      </c>
      <c r="N6" s="114"/>
      <c r="O6" s="57"/>
      <c r="P6" s="57"/>
      <c r="Q6" s="57"/>
      <c r="R6" s="84" t="str">
        <f>DEC2HEX(MOD(HEX2DEC(C6)+HEX2DEC(D6)+HEX2DEC(E6)+HEX2DEC(F6)+HEX2DEC(G6)+HEX2DEC(H6)+HEX2DEC(I6)+HEX2DEC(J6)+HEX2DEC(K6)+HEX2DEC(L6)+HEX2DEC(M6)+HEX2DEC(N6)+HEX2DEC(Q6),256),2)</f>
        <v>D6</v>
      </c>
      <c r="S6" s="84" t="s">
        <v>5</v>
      </c>
      <c r="T6" s="55" t="str">
        <f>IF(ISBLANK(B6),,B6&amp;" ")&amp;IF(ISBLANK(C6),,C6&amp;"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")&amp;IF(ISBLANK(Q6),,Q6&amp;" ")&amp;IF(ISBLANK(R6),,R6&amp;" ")&amp;IF(ISBLANK(S6),,S6)</f>
        <v>aa 00 09 E2 00 00 03 E8 00 00 00 00 D6 55</v>
      </c>
      <c r="U6" s="110">
        <v>1000</v>
      </c>
      <c r="V6" s="77">
        <v>0</v>
      </c>
      <c r="W6" s="77">
        <v>0</v>
      </c>
      <c r="X6" s="111"/>
      <c r="Y6" s="440" t="s">
        <v>391</v>
      </c>
      <c r="Z6" s="440"/>
      <c r="AA6" s="440"/>
      <c r="AB6" s="440"/>
    </row>
    <row r="10" spans="2:28" x14ac:dyDescent="0.25">
      <c r="B10" s="495" t="s">
        <v>379</v>
      </c>
      <c r="C10" s="496"/>
      <c r="D10" s="496"/>
      <c r="E10" s="496"/>
      <c r="F10" s="496"/>
      <c r="G10" s="496"/>
      <c r="H10" s="496"/>
      <c r="I10" s="496"/>
      <c r="J10" s="496"/>
      <c r="K10" s="496"/>
      <c r="L10" s="496"/>
      <c r="M10" s="496"/>
      <c r="N10" s="496"/>
      <c r="O10" s="496"/>
      <c r="P10" s="496"/>
      <c r="Q10" s="496"/>
      <c r="R10" s="496"/>
      <c r="S10" s="496"/>
      <c r="T10" s="496"/>
      <c r="U10" s="496"/>
      <c r="V10" s="496"/>
      <c r="W10" s="496"/>
      <c r="X10" s="496"/>
      <c r="Y10" s="496"/>
      <c r="Z10" s="496"/>
      <c r="AA10" s="496"/>
      <c r="AB10" s="497"/>
    </row>
    <row r="11" spans="2:28" ht="22.2" x14ac:dyDescent="0.25">
      <c r="B11" s="608" t="s">
        <v>393</v>
      </c>
      <c r="C11" s="609"/>
      <c r="D11" s="609"/>
      <c r="E11" s="609"/>
      <c r="F11" s="609"/>
      <c r="G11" s="609"/>
      <c r="H11" s="609"/>
      <c r="I11" s="609"/>
      <c r="J11" s="609"/>
      <c r="K11" s="609"/>
      <c r="L11" s="609"/>
      <c r="M11" s="609"/>
      <c r="N11" s="609"/>
      <c r="O11" s="609"/>
      <c r="P11" s="609"/>
      <c r="Q11" s="609"/>
      <c r="R11" s="609"/>
      <c r="S11" s="609"/>
      <c r="T11" s="609"/>
      <c r="U11" s="609"/>
      <c r="V11" s="609"/>
      <c r="W11" s="609"/>
      <c r="X11" s="609"/>
      <c r="Y11" s="609"/>
      <c r="Z11" s="609"/>
      <c r="AA11" s="609"/>
      <c r="AB11" s="610"/>
    </row>
    <row r="12" spans="2:28" x14ac:dyDescent="0.25">
      <c r="B12" s="435" t="s">
        <v>275</v>
      </c>
      <c r="C12" s="435"/>
      <c r="D12" s="435"/>
      <c r="E12" s="435"/>
      <c r="F12" s="435"/>
      <c r="G12" s="435"/>
      <c r="H12" s="435"/>
      <c r="I12" s="435"/>
      <c r="J12" s="435"/>
      <c r="K12" s="435"/>
      <c r="L12" s="435"/>
      <c r="M12" s="435"/>
      <c r="N12" s="435"/>
      <c r="O12" s="435"/>
      <c r="P12" s="435"/>
      <c r="Q12" s="435"/>
      <c r="R12" s="435"/>
      <c r="S12" s="435"/>
      <c r="T12" s="108" t="s">
        <v>266</v>
      </c>
      <c r="U12" s="611" t="s">
        <v>392</v>
      </c>
      <c r="V12" s="435"/>
      <c r="W12" s="435"/>
      <c r="X12" s="435"/>
      <c r="Y12" s="435" t="s">
        <v>268</v>
      </c>
      <c r="Z12" s="435"/>
      <c r="AA12" s="435"/>
      <c r="AB12" s="435"/>
    </row>
    <row r="13" spans="2:28" ht="16.8" x14ac:dyDescent="0.25">
      <c r="B13" s="86" t="s">
        <v>77</v>
      </c>
      <c r="C13" s="109" t="s">
        <v>78</v>
      </c>
      <c r="D13" s="109" t="s">
        <v>10</v>
      </c>
      <c r="E13" s="109" t="s">
        <v>79</v>
      </c>
      <c r="F13" s="109" t="s">
        <v>80</v>
      </c>
      <c r="G13" s="109" t="s">
        <v>11</v>
      </c>
      <c r="H13" s="488" t="s">
        <v>83</v>
      </c>
      <c r="I13" s="488"/>
      <c r="J13" s="488"/>
      <c r="K13" s="488"/>
      <c r="L13" s="488"/>
      <c r="M13" s="488"/>
      <c r="N13" s="436"/>
      <c r="O13" s="436"/>
      <c r="P13" s="436"/>
      <c r="Q13" s="436"/>
      <c r="R13" s="83" t="s">
        <v>81</v>
      </c>
      <c r="S13" s="83" t="s">
        <v>82</v>
      </c>
      <c r="T13" s="51" t="s">
        <v>276</v>
      </c>
      <c r="U13" s="45" t="s">
        <v>394</v>
      </c>
      <c r="V13" s="112"/>
      <c r="W13" s="112"/>
      <c r="X13" s="45"/>
      <c r="Y13" s="439" t="s">
        <v>6</v>
      </c>
      <c r="Z13" s="439"/>
      <c r="AA13" s="439"/>
      <c r="AB13" s="439"/>
    </row>
    <row r="14" spans="2:28" x14ac:dyDescent="0.25">
      <c r="B14" s="84" t="s">
        <v>0</v>
      </c>
      <c r="C14" s="75" t="s">
        <v>1</v>
      </c>
      <c r="D14" s="75" t="s">
        <v>269</v>
      </c>
      <c r="E14" s="76" t="s">
        <v>395</v>
      </c>
      <c r="F14" s="76" t="s">
        <v>1</v>
      </c>
      <c r="G14" s="113" t="s">
        <v>1</v>
      </c>
      <c r="H14" s="54" t="str">
        <f>LEFT(DEC2HEX(U14,4),2)</f>
        <v>03</v>
      </c>
      <c r="I14" s="54" t="str">
        <f>RIGHT(DEC2HEX(U14,4),2)</f>
        <v>E8</v>
      </c>
      <c r="J14" s="114"/>
      <c r="K14" s="114"/>
      <c r="L14" s="114"/>
      <c r="M14" s="114"/>
      <c r="N14" s="114"/>
      <c r="O14" s="57"/>
      <c r="P14" s="57"/>
      <c r="Q14" s="57"/>
      <c r="R14" s="84" t="str">
        <f>DEC2HEX(MOD(HEX2DEC(C14)+HEX2DEC(D14)+HEX2DEC(E14)+HEX2DEC(F14)+HEX2DEC(G14)+HEX2DEC(H14)+HEX2DEC(I14)+HEX2DEC(J14)+HEX2DEC(K14)+HEX2DEC(L14)+HEX2DEC(M14)+HEX2DEC(N14)+HEX2DEC(Q14),256),2)</f>
        <v>D3</v>
      </c>
      <c r="S14" s="84" t="s">
        <v>5</v>
      </c>
      <c r="T14" s="55" t="str">
        <f>IF(ISBLANK(B14),,B14&amp;" ")&amp;IF(ISBLANK(C14),,C14&amp;" ")&amp;IF(ISBLANK(D14),,D14&amp;" ")&amp;IF(ISBLANK(E14),,E14&amp;" ")&amp;IF(ISBLANK(F14),,F14&amp;" ")&amp;IF(ISBLANK(G14),,G14&amp;" ")&amp;IF(ISBLANK(H14),,H14&amp;" ")&amp;IF(ISBLANK(I14),,I14&amp;" ")&amp;IF(ISBLANK(J14),,J14&amp;" ")&amp;IF(ISBLANK(K14),,K14&amp;" ")&amp;IF(ISBLANK(L14),,L14&amp;" ")&amp;IF(ISBLANK(M14),,M14&amp;" ")&amp;IF(ISBLANK(N14),,N14&amp;" ")&amp;IF(ISBLANK(Q14),,Q14&amp;" ")&amp;IF(ISBLANK(R14),,R14&amp;" ")&amp;IF(ISBLANK(S14),,S14)</f>
        <v>aa 00 05 E3 00 00 03 E8 D3 55</v>
      </c>
      <c r="U14" s="115">
        <v>1000</v>
      </c>
      <c r="V14" s="106"/>
      <c r="W14" s="111"/>
      <c r="X14" s="111"/>
      <c r="Y14" s="440" t="s">
        <v>725</v>
      </c>
      <c r="Z14" s="440"/>
      <c r="AA14" s="440"/>
      <c r="AB14" s="440"/>
    </row>
  </sheetData>
  <mergeCells count="16">
    <mergeCell ref="Y13:AB13"/>
    <mergeCell ref="Y14:AB14"/>
    <mergeCell ref="B10:AB10"/>
    <mergeCell ref="B11:AB11"/>
    <mergeCell ref="B12:S12"/>
    <mergeCell ref="U12:X12"/>
    <mergeCell ref="Y12:AB12"/>
    <mergeCell ref="H13:Q13"/>
    <mergeCell ref="Y6:AB6"/>
    <mergeCell ref="B2:AB2"/>
    <mergeCell ref="B3:AB3"/>
    <mergeCell ref="B4:S4"/>
    <mergeCell ref="U4:X4"/>
    <mergeCell ref="Y4:AB4"/>
    <mergeCell ref="H5:Q5"/>
    <mergeCell ref="Y5:AB5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AY108"/>
  <sheetViews>
    <sheetView zoomScale="85" zoomScaleNormal="85" workbookViewId="0">
      <selection activeCell="T16" sqref="T16"/>
    </sheetView>
  </sheetViews>
  <sheetFormatPr defaultRowHeight="14.1" customHeight="1" x14ac:dyDescent="0.25"/>
  <cols>
    <col min="1" max="1" width="4.109375" customWidth="1"/>
    <col min="2" max="2" width="3.6640625" style="212" customWidth="1"/>
    <col min="3" max="6" width="3.6640625" customWidth="1"/>
    <col min="7" max="7" width="6.33203125" customWidth="1"/>
    <col min="8" max="14" width="3.6640625" customWidth="1"/>
    <col min="15" max="18" width="3.6640625" style="212" customWidth="1"/>
    <col min="19" max="19" width="3.6640625" customWidth="1"/>
    <col min="20" max="20" width="34.6640625" customWidth="1"/>
    <col min="21" max="21" width="7.109375" style="97" customWidth="1"/>
    <col min="22" max="22" width="7.44140625" style="97" customWidth="1"/>
    <col min="23" max="23" width="40.21875" customWidth="1"/>
    <col min="24" max="24" width="4.109375" customWidth="1"/>
    <col min="25" max="42" width="3.6640625" customWidth="1"/>
    <col min="43" max="43" width="27.33203125" customWidth="1"/>
    <col min="44" max="47" width="5.6640625" customWidth="1"/>
    <col min="48" max="51" width="10.6640625" customWidth="1"/>
  </cols>
  <sheetData>
    <row r="1" spans="2:51" ht="14.1" customHeight="1" x14ac:dyDescent="0.25">
      <c r="B1" s="536" t="s">
        <v>412</v>
      </c>
      <c r="C1" s="536"/>
      <c r="D1" s="536"/>
      <c r="E1" s="536"/>
      <c r="F1" s="536"/>
      <c r="G1" s="536"/>
      <c r="H1" s="536"/>
      <c r="I1" s="536"/>
      <c r="J1" s="536"/>
      <c r="K1" s="536"/>
      <c r="L1" s="536"/>
      <c r="M1" s="536"/>
      <c r="N1" s="536"/>
      <c r="O1" s="536"/>
      <c r="P1" s="536"/>
      <c r="Q1" s="536"/>
      <c r="R1" s="536"/>
      <c r="S1" s="536"/>
      <c r="T1" s="536"/>
      <c r="U1" s="536"/>
      <c r="V1" s="536"/>
      <c r="W1" s="536"/>
      <c r="Y1" s="498" t="s">
        <v>413</v>
      </c>
      <c r="Z1" s="498"/>
      <c r="AA1" s="498"/>
      <c r="AB1" s="498"/>
      <c r="AC1" s="498"/>
      <c r="AD1" s="498"/>
      <c r="AE1" s="498"/>
      <c r="AF1" s="498"/>
      <c r="AG1" s="498"/>
      <c r="AH1" s="498"/>
      <c r="AI1" s="498"/>
      <c r="AJ1" s="498"/>
      <c r="AK1" s="498"/>
      <c r="AL1" s="498"/>
      <c r="AM1" s="498"/>
      <c r="AN1" s="498"/>
      <c r="AO1" s="498"/>
      <c r="AP1" s="498"/>
      <c r="AQ1" s="498"/>
      <c r="AR1" s="498"/>
      <c r="AS1" s="498"/>
      <c r="AT1" s="498"/>
      <c r="AU1" s="498"/>
      <c r="AV1" s="498"/>
      <c r="AW1" s="498"/>
      <c r="AX1" s="498"/>
      <c r="AY1" s="498"/>
    </row>
    <row r="2" spans="2:51" ht="14.1" customHeight="1" x14ac:dyDescent="0.25">
      <c r="B2" s="536"/>
      <c r="C2" s="536"/>
      <c r="D2" s="536"/>
      <c r="E2" s="536"/>
      <c r="F2" s="536"/>
      <c r="G2" s="536"/>
      <c r="H2" s="536"/>
      <c r="I2" s="536"/>
      <c r="J2" s="536"/>
      <c r="K2" s="536"/>
      <c r="L2" s="536"/>
      <c r="M2" s="536"/>
      <c r="N2" s="536"/>
      <c r="O2" s="536"/>
      <c r="P2" s="536"/>
      <c r="Q2" s="536"/>
      <c r="R2" s="536"/>
      <c r="S2" s="536"/>
      <c r="T2" s="536"/>
      <c r="U2" s="536"/>
      <c r="V2" s="536"/>
      <c r="W2" s="536"/>
      <c r="Y2" s="498"/>
      <c r="Z2" s="498"/>
      <c r="AA2" s="498"/>
      <c r="AB2" s="498"/>
      <c r="AC2" s="498"/>
      <c r="AD2" s="498"/>
      <c r="AE2" s="498"/>
      <c r="AF2" s="498"/>
      <c r="AG2" s="498"/>
      <c r="AH2" s="498"/>
      <c r="AI2" s="498"/>
      <c r="AJ2" s="498"/>
      <c r="AK2" s="498"/>
      <c r="AL2" s="498"/>
      <c r="AM2" s="498"/>
      <c r="AN2" s="498"/>
      <c r="AO2" s="498"/>
      <c r="AP2" s="498"/>
      <c r="AQ2" s="498"/>
      <c r="AR2" s="498"/>
      <c r="AS2" s="498"/>
      <c r="AT2" s="498"/>
      <c r="AU2" s="498"/>
      <c r="AV2" s="498"/>
      <c r="AW2" s="498"/>
      <c r="AX2" s="498"/>
      <c r="AY2" s="498"/>
    </row>
    <row r="3" spans="2:51" ht="14.1" customHeight="1" x14ac:dyDescent="0.25">
      <c r="B3" s="432" t="s">
        <v>241</v>
      </c>
      <c r="C3" s="432"/>
      <c r="D3" s="432"/>
      <c r="E3" s="432"/>
      <c r="F3" s="432"/>
      <c r="G3" s="432"/>
      <c r="H3" s="432"/>
      <c r="I3" s="432"/>
      <c r="J3" s="432"/>
      <c r="K3" s="432"/>
      <c r="L3" s="432"/>
      <c r="M3" s="432"/>
      <c r="N3" s="432"/>
      <c r="O3" s="432"/>
      <c r="P3" s="432"/>
      <c r="Q3" s="432"/>
      <c r="R3" s="432"/>
      <c r="S3" s="432"/>
      <c r="T3" s="432"/>
      <c r="U3" s="432"/>
      <c r="V3" s="432"/>
      <c r="W3" s="432"/>
      <c r="Y3" s="435" t="s">
        <v>275</v>
      </c>
      <c r="Z3" s="435"/>
      <c r="AA3" s="435"/>
      <c r="AB3" s="435"/>
      <c r="AC3" s="435"/>
      <c r="AD3" s="435"/>
      <c r="AE3" s="435"/>
      <c r="AF3" s="435"/>
      <c r="AG3" s="435"/>
      <c r="AH3" s="435"/>
      <c r="AI3" s="435"/>
      <c r="AJ3" s="435"/>
      <c r="AK3" s="435"/>
      <c r="AL3" s="435"/>
      <c r="AM3" s="435"/>
      <c r="AN3" s="435"/>
      <c r="AO3" s="435"/>
      <c r="AP3" s="435"/>
      <c r="AQ3" s="119" t="s">
        <v>266</v>
      </c>
      <c r="AR3" s="435" t="s">
        <v>267</v>
      </c>
      <c r="AS3" s="435"/>
      <c r="AT3" s="435"/>
      <c r="AU3" s="435"/>
      <c r="AV3" s="435" t="s">
        <v>268</v>
      </c>
      <c r="AW3" s="435"/>
      <c r="AX3" s="435"/>
      <c r="AY3" s="435"/>
    </row>
    <row r="4" spans="2:51" ht="14.1" customHeight="1" x14ac:dyDescent="0.25">
      <c r="B4" s="210"/>
      <c r="C4" s="32"/>
      <c r="D4" s="32" t="s">
        <v>378</v>
      </c>
      <c r="E4" s="33" t="s">
        <v>229</v>
      </c>
      <c r="F4" s="33" t="s">
        <v>230</v>
      </c>
      <c r="G4" s="33" t="s">
        <v>231</v>
      </c>
      <c r="H4" s="33" t="s">
        <v>232</v>
      </c>
      <c r="I4" s="487" t="s">
        <v>233</v>
      </c>
      <c r="J4" s="487"/>
      <c r="K4" s="240"/>
      <c r="L4" s="33" t="s">
        <v>234</v>
      </c>
      <c r="M4" s="122" t="s">
        <v>235</v>
      </c>
      <c r="N4" s="231"/>
      <c r="O4" s="122"/>
      <c r="P4" s="122"/>
      <c r="Q4" s="122"/>
      <c r="R4" s="232" t="s">
        <v>81</v>
      </c>
      <c r="S4" s="32"/>
      <c r="T4" s="14" t="s">
        <v>236</v>
      </c>
      <c r="U4" s="23" t="s">
        <v>237</v>
      </c>
      <c r="V4" s="344"/>
      <c r="W4" s="345"/>
      <c r="Y4" s="86" t="s">
        <v>77</v>
      </c>
      <c r="Z4" s="120" t="s">
        <v>78</v>
      </c>
      <c r="AA4" s="120" t="s">
        <v>10</v>
      </c>
      <c r="AB4" s="120" t="s">
        <v>79</v>
      </c>
      <c r="AC4" s="120" t="s">
        <v>80</v>
      </c>
      <c r="AD4" s="120" t="s">
        <v>11</v>
      </c>
      <c r="AE4" s="436" t="s">
        <v>83</v>
      </c>
      <c r="AF4" s="436"/>
      <c r="AG4" s="436"/>
      <c r="AH4" s="436"/>
      <c r="AI4" s="436"/>
      <c r="AJ4" s="436"/>
      <c r="AK4" s="436"/>
      <c r="AL4" s="436"/>
      <c r="AM4" s="436"/>
      <c r="AN4" s="436"/>
      <c r="AO4" s="83" t="s">
        <v>81</v>
      </c>
      <c r="AP4" s="83" t="s">
        <v>82</v>
      </c>
      <c r="AQ4" s="51" t="s">
        <v>276</v>
      </c>
      <c r="AR4" s="45" t="s">
        <v>417</v>
      </c>
      <c r="AS4" s="45" t="s">
        <v>418</v>
      </c>
      <c r="AT4" s="439" t="s">
        <v>6</v>
      </c>
      <c r="AU4" s="439"/>
      <c r="AV4" s="439"/>
      <c r="AW4" s="439"/>
      <c r="AX4" s="439"/>
      <c r="AY4" s="439"/>
    </row>
    <row r="5" spans="2:51" ht="14.1" customHeight="1" x14ac:dyDescent="0.25">
      <c r="B5" s="10" t="s">
        <v>0</v>
      </c>
      <c r="C5" s="1" t="s">
        <v>1</v>
      </c>
      <c r="D5" s="75" t="str">
        <f>DEC2HEX( COUNTA(E5:Q5),2)</f>
        <v>08</v>
      </c>
      <c r="E5" s="2" t="s">
        <v>71</v>
      </c>
      <c r="F5" s="2" t="s">
        <v>69</v>
      </c>
      <c r="G5" s="2" t="s">
        <v>70</v>
      </c>
      <c r="H5" s="3" t="s">
        <v>540</v>
      </c>
      <c r="I5" s="3" t="str">
        <f t="shared" ref="I5:I13" si="0">LEFT(RIGHT(DEC2HEX(U5,4),4),2)</f>
        <v>03</v>
      </c>
      <c r="J5" s="3" t="str">
        <f t="shared" ref="J5:J13" si="1">LEFT(RIGHT(DEC2HEX(U5,4),2),2)</f>
        <v>E8</v>
      </c>
      <c r="K5" s="3"/>
      <c r="L5" s="3" t="s">
        <v>1</v>
      </c>
      <c r="M5" s="3" t="s">
        <v>1</v>
      </c>
      <c r="N5" s="231"/>
      <c r="O5" s="224"/>
      <c r="P5" s="224"/>
      <c r="Q5" s="224"/>
      <c r="R5" s="84" t="str">
        <f>DEC2HEX(MOD(HEX2DEC(C5)+HEX2DEC(D5)+HEX2DEC(E5)+HEX2DEC(F5)+HEX2DEC(G5)+HEX2DEC(H5)+HEX2DEC(I5)+HEX2DEC(J5)+HEX2DEC(K5)+HEX2DEC(L5)+HEX2DEC(M5)+HEX2DEC(N5)+HEX2DEC(O5)+HEX2DEC(P5)+HEX2DEC(Q5),256),2)</f>
        <v>37</v>
      </c>
      <c r="S5" s="10" t="s">
        <v>5</v>
      </c>
      <c r="T5" s="55" t="str">
        <f>IF(ISBLANK(B5),,B5&amp;" ")&amp;IF(ISBLANK(C5),,C5&amp;" ")&amp;IF(ISBLANK(D5),,D5&amp;" ")&amp;IF(ISBLANK(E5),,E5&amp;" ")&amp;IF(ISBLANK(F5),,F5&amp;" ")&amp;IF(ISBLANK(G5),,G5&amp;" ")&amp;IF(ISBLANK(H5),,H5&amp;" ")&amp;IF(ISBLANK(I5),,I5&amp;" ")&amp;IF(ISBLANK(J5),,J5&amp;" ")&amp;IF(ISBLANK(K5),,K5&amp;" ")&amp;IF(ISBLANK(L5),,L5&amp;" ")&amp;IF(ISBLANK(M5),,M5&amp;" ")&amp;IF(ISBLANK(N5),,N5&amp;" ")&amp;IF(ISBLANK(O5),,O5&amp;" ")&amp;IF(ISBLANK(P5),,P5&amp;" ")&amp;IF(ISBLANK(Q5),,Q5&amp;" ")&amp;IF(ISBLANK(R5),,R5&amp;" ")&amp;IF(ISBLANK(S5),,S5)</f>
        <v>aa 00 08 23 01 10 10 03 E8 00 00 37 55</v>
      </c>
      <c r="U5" s="41">
        <v>1000</v>
      </c>
      <c r="V5" s="346" t="s">
        <v>612</v>
      </c>
      <c r="W5" s="347"/>
      <c r="Y5" s="84" t="s">
        <v>0</v>
      </c>
      <c r="Z5" s="75" t="s">
        <v>1</v>
      </c>
      <c r="AA5" s="75" t="s">
        <v>9</v>
      </c>
      <c r="AB5" s="76" t="s">
        <v>419</v>
      </c>
      <c r="AC5" s="76" t="s">
        <v>1</v>
      </c>
      <c r="AD5" s="76" t="s">
        <v>1</v>
      </c>
      <c r="AE5" s="54" t="str">
        <f>DEC2HEX(AR5,2)</f>
        <v>01</v>
      </c>
      <c r="AF5" s="54" t="str">
        <f>DEC2HEX(AS5,2)</f>
        <v>0A</v>
      </c>
      <c r="AG5" s="57"/>
      <c r="AH5" s="57"/>
      <c r="AI5" s="57"/>
      <c r="AJ5" s="57"/>
      <c r="AK5" s="57"/>
      <c r="AL5" s="57"/>
      <c r="AM5" s="57"/>
      <c r="AN5" s="57"/>
      <c r="AO5" s="84" t="str">
        <f>DEC2HEX(MOD(HEX2DEC(Z5)+HEX2DEC(AA5)+HEX2DEC(AB5)+HEX2DEC(AC5)+HEX2DEC(AD5)+HEX2DEC(AE5)+HEX2DEC(AF5)+HEX2DEC(AG5)+HEX2DEC(AH5)+HEX2DEC(AI5)+HEX2DEC(AJ5)+HEX2DEC(AK5)+HEX2DEC(AN5),256),2)</f>
        <v>80</v>
      </c>
      <c r="AP5" s="84" t="s">
        <v>5</v>
      </c>
      <c r="AQ5" s="55" t="str">
        <f>IF(ISBLANK(Y5),,Y5&amp;" ")&amp;IF(ISBLANK(Z5),,Z5&amp;" ")&amp;IF(ISBLANK(AA5),,AA5&amp;" ")&amp;IF(ISBLANK(AB5),,AB5&amp;" ")&amp;IF(ISBLANK(AC5),,AC5&amp;" ")&amp;IF(ISBLANK(AD5),,AD5&amp;" ")&amp;IF(ISBLANK(AE5),,AE5&amp;" ")&amp;IF(ISBLANK(AF5),,AF5&amp;" ")&amp;IF(ISBLANK(AG5),,AG5&amp;" ")&amp;IF(ISBLANK(AH5),,AH5&amp;" ")&amp;IF(ISBLANK(AI5),,AI5&amp;" ")&amp;IF(ISBLANK(AJ5),,AJ5&amp;" ")&amp;IF(ISBLANK(AK5),,AK5&amp;" ")&amp;IF(ISBLANK(AN5),,AN5&amp;" ")&amp;IF(ISBLANK(AO5),,AO5&amp;" ")&amp;IF(ISBLANK(AP5),,AP5)</f>
        <v>aa 00 05 70 00 00 01 0A 80 55</v>
      </c>
      <c r="AR5" s="116">
        <v>1</v>
      </c>
      <c r="AS5" s="116">
        <v>10</v>
      </c>
      <c r="AT5" s="440" t="s">
        <v>415</v>
      </c>
      <c r="AU5" s="440"/>
      <c r="AV5" s="440"/>
      <c r="AW5" s="440"/>
      <c r="AX5" s="440"/>
      <c r="AY5" s="440"/>
    </row>
    <row r="6" spans="2:51" ht="14.1" customHeight="1" x14ac:dyDescent="0.25">
      <c r="B6" s="10" t="s">
        <v>0</v>
      </c>
      <c r="C6" s="1" t="s">
        <v>1</v>
      </c>
      <c r="D6" s="75" t="str">
        <f t="shared" ref="D6:D13" si="2">DEC2HEX( COUNTA(E6:Q6),2)</f>
        <v>08</v>
      </c>
      <c r="E6" s="2" t="s">
        <v>71</v>
      </c>
      <c r="F6" s="2" t="s">
        <v>15</v>
      </c>
      <c r="G6" s="2" t="s">
        <v>70</v>
      </c>
      <c r="H6" s="3" t="s">
        <v>540</v>
      </c>
      <c r="I6" s="3" t="str">
        <f t="shared" si="0"/>
        <v>03</v>
      </c>
      <c r="J6" s="3" t="str">
        <f t="shared" si="1"/>
        <v>E8</v>
      </c>
      <c r="K6" s="3"/>
      <c r="L6" s="3" t="s">
        <v>1</v>
      </c>
      <c r="M6" s="3" t="s">
        <v>1</v>
      </c>
      <c r="N6" s="231"/>
      <c r="O6" s="224"/>
      <c r="P6" s="224"/>
      <c r="Q6" s="224"/>
      <c r="R6" s="84" t="str">
        <f t="shared" ref="R6:R13" si="3">DEC2HEX(MOD(HEX2DEC(C6)+HEX2DEC(D6)+HEX2DEC(E6)+HEX2DEC(F6)+HEX2DEC(G6)+HEX2DEC(H6)+HEX2DEC(I6)+HEX2DEC(J6)+HEX2DEC(K6)+HEX2DEC(L6)+HEX2DEC(M6)+HEX2DEC(N6)+HEX2DEC(O6)+HEX2DEC(P6)+HEX2DEC(Q6),256),2)</f>
        <v>38</v>
      </c>
      <c r="S6" s="10" t="s">
        <v>5</v>
      </c>
      <c r="T6" s="55" t="str">
        <f t="shared" ref="T6:T13" si="4">IF(ISBLANK(B6),,B6&amp;" ")&amp;IF(ISBLANK(C6),,C6&amp;"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")&amp;IF(ISBLANK(O6),,O6&amp;" ")&amp;IF(ISBLANK(P6),,P6&amp;" ")&amp;IF(ISBLANK(Q6),,Q6&amp;" ")&amp;IF(ISBLANK(R6),,R6&amp;" ")&amp;IF(ISBLANK(S6),,S6)</f>
        <v>aa 00 08 23 02 10 10 03 E8 00 00 38 55</v>
      </c>
      <c r="U6" s="41">
        <v>1000</v>
      </c>
      <c r="V6" s="346" t="s">
        <v>539</v>
      </c>
      <c r="W6" s="347"/>
      <c r="Y6" s="84" t="s">
        <v>0</v>
      </c>
      <c r="Z6" s="75" t="s">
        <v>1</v>
      </c>
      <c r="AA6" s="75" t="s">
        <v>8</v>
      </c>
      <c r="AB6" s="76" t="s">
        <v>419</v>
      </c>
      <c r="AC6" s="76" t="s">
        <v>1</v>
      </c>
      <c r="AD6" s="76" t="s">
        <v>70</v>
      </c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84" t="str">
        <f>DEC2HEX(MOD(HEX2DEC(Z6)+HEX2DEC(AA6)+HEX2DEC(AB6)+HEX2DEC(AC6)+HEX2DEC(AD6)+HEX2DEC(AE6)+HEX2DEC(AF6)+HEX2DEC(AG6)+HEX2DEC(AH6)+HEX2DEC(AI6)+HEX2DEC(AJ6)+HEX2DEC(AK6)+HEX2DEC(AN6),256),2)</f>
        <v>83</v>
      </c>
      <c r="AP6" s="84" t="s">
        <v>5</v>
      </c>
      <c r="AQ6" s="55" t="str">
        <f>IF(ISBLANK(Y6),,Y6&amp;" ")&amp;IF(ISBLANK(Z6),,Z6&amp;" ")&amp;IF(ISBLANK(AA6),,AA6&amp;" ")&amp;IF(ISBLANK(AB6),,AB6&amp;" ")&amp;IF(ISBLANK(AC6),,AC6&amp;" ")&amp;IF(ISBLANK(AD6),,AD6&amp;" ")&amp;IF(ISBLANK(AE6),,AE6&amp;" ")&amp;IF(ISBLANK(AF6),,AF6&amp;" ")&amp;IF(ISBLANK(AG6),,AG6&amp;" ")&amp;IF(ISBLANK(AH6),,AH6&amp;" ")&amp;IF(ISBLANK(AI6),,AI6&amp;" ")&amp;IF(ISBLANK(AJ6),,AJ6&amp;" ")&amp;IF(ISBLANK(AK6),,AK6&amp;" ")&amp;IF(ISBLANK(AN6),,AN6&amp;" ")&amp;IF(ISBLANK(AO6),,AO6&amp;" ")&amp;IF(ISBLANK(AP6),,AP6)</f>
        <v>aa 00 03 70 00 10 83 55</v>
      </c>
      <c r="AR6" s="440" t="s">
        <v>414</v>
      </c>
      <c r="AS6" s="440"/>
      <c r="AT6" s="440"/>
      <c r="AU6" s="440"/>
      <c r="AV6" s="440"/>
      <c r="AW6" s="440"/>
      <c r="AX6" s="440"/>
      <c r="AY6" s="440"/>
    </row>
    <row r="7" spans="2:51" ht="14.1" customHeight="1" x14ac:dyDescent="0.25">
      <c r="B7" s="10" t="s">
        <v>0</v>
      </c>
      <c r="C7" s="1" t="s">
        <v>1</v>
      </c>
      <c r="D7" s="75" t="str">
        <f t="shared" si="2"/>
        <v>08</v>
      </c>
      <c r="E7" s="2" t="s">
        <v>71</v>
      </c>
      <c r="F7" s="2" t="s">
        <v>13</v>
      </c>
      <c r="G7" s="2" t="s">
        <v>70</v>
      </c>
      <c r="H7" s="3" t="s">
        <v>540</v>
      </c>
      <c r="I7" s="3" t="str">
        <f t="shared" si="0"/>
        <v>03</v>
      </c>
      <c r="J7" s="3" t="str">
        <f t="shared" si="1"/>
        <v>E8</v>
      </c>
      <c r="K7" s="3"/>
      <c r="L7" s="3" t="s">
        <v>1</v>
      </c>
      <c r="M7" s="3" t="s">
        <v>1</v>
      </c>
      <c r="N7" s="231"/>
      <c r="O7" s="224"/>
      <c r="P7" s="224"/>
      <c r="Q7" s="224"/>
      <c r="R7" s="84" t="str">
        <f t="shared" si="3"/>
        <v>39</v>
      </c>
      <c r="S7" s="10" t="s">
        <v>5</v>
      </c>
      <c r="T7" s="55" t="str">
        <f t="shared" si="4"/>
        <v>aa 00 08 23 03 10 10 03 E8 00 00 39 55</v>
      </c>
      <c r="U7" s="41">
        <v>1000</v>
      </c>
      <c r="V7" s="346" t="s">
        <v>517</v>
      </c>
      <c r="W7" s="347"/>
      <c r="Y7" s="84" t="s">
        <v>0</v>
      </c>
      <c r="Z7" s="75" t="s">
        <v>1</v>
      </c>
      <c r="AA7" s="75" t="s">
        <v>430</v>
      </c>
      <c r="AB7" s="76" t="s">
        <v>419</v>
      </c>
      <c r="AC7" s="76" t="s">
        <v>1</v>
      </c>
      <c r="AD7" s="76" t="s">
        <v>28</v>
      </c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84" t="str">
        <f>DEC2HEX(MOD(HEX2DEC(Z7)+HEX2DEC(AA7)+HEX2DEC(AB7)+HEX2DEC(AC7)+HEX2DEC(AD7)+HEX2DEC(AE7)+HEX2DEC(AF7)+HEX2DEC(AG7)+HEX2DEC(AH7)+HEX2DEC(AI7)+HEX2DEC(AJ7)+HEX2DEC(AK7)+HEX2DEC(AN7),256),2)</f>
        <v>84</v>
      </c>
      <c r="AP7" s="84" t="s">
        <v>5</v>
      </c>
      <c r="AQ7" s="55" t="str">
        <f>IF(ISBLANK(Y7),,Y7&amp;" ")&amp;IF(ISBLANK(Z7),,Z7&amp;" ")&amp;IF(ISBLANK(AA7),,AA7&amp;" ")&amp;IF(ISBLANK(AB7),,AB7&amp;" ")&amp;IF(ISBLANK(AC7),,AC7&amp;" ")&amp;IF(ISBLANK(AD7),,AD7&amp;" ")&amp;IF(ISBLANK(AE7),,AE7&amp;" ")&amp;IF(ISBLANK(AF7),,AF7&amp;" ")&amp;IF(ISBLANK(AG7),,AG7&amp;" ")&amp;IF(ISBLANK(AH7),,AH7&amp;" ")&amp;IF(ISBLANK(AI7),,AI7&amp;" ")&amp;IF(ISBLANK(AJ7),,AJ7&amp;" ")&amp;IF(ISBLANK(AK7),,AK7&amp;" ")&amp;IF(ISBLANK(AN7),,AN7&amp;" ")&amp;IF(ISBLANK(AO7),,AO7&amp;" ")&amp;IF(ISBLANK(AP7),,AP7)</f>
        <v>aa 00 03 70 00 11 84 55</v>
      </c>
      <c r="AR7" s="440" t="s">
        <v>416</v>
      </c>
      <c r="AS7" s="440"/>
      <c r="AT7" s="440"/>
      <c r="AU7" s="440"/>
      <c r="AV7" s="440"/>
      <c r="AW7" s="440"/>
      <c r="AX7" s="440"/>
      <c r="AY7" s="440"/>
    </row>
    <row r="8" spans="2:51" ht="14.1" customHeight="1" x14ac:dyDescent="0.25">
      <c r="B8" s="10" t="s">
        <v>0</v>
      </c>
      <c r="C8" s="1" t="s">
        <v>1</v>
      </c>
      <c r="D8" s="75" t="str">
        <f t="shared" si="2"/>
        <v>08</v>
      </c>
      <c r="E8" s="2" t="s">
        <v>71</v>
      </c>
      <c r="F8" s="2" t="s">
        <v>18</v>
      </c>
      <c r="G8" s="2" t="s">
        <v>70</v>
      </c>
      <c r="H8" s="3" t="s">
        <v>540</v>
      </c>
      <c r="I8" s="3" t="str">
        <f>LEFT(RIGHT(DEC2HEX(U8,4),4),2)</f>
        <v>03</v>
      </c>
      <c r="J8" s="3" t="str">
        <f>LEFT(RIGHT(DEC2HEX(U8,4),2),2)</f>
        <v>E8</v>
      </c>
      <c r="K8" s="3"/>
      <c r="L8" s="3" t="s">
        <v>1</v>
      </c>
      <c r="M8" s="3" t="s">
        <v>1</v>
      </c>
      <c r="N8" s="231"/>
      <c r="O8" s="224"/>
      <c r="P8" s="224"/>
      <c r="Q8" s="224"/>
      <c r="R8" s="84" t="str">
        <f t="shared" si="3"/>
        <v>3A</v>
      </c>
      <c r="S8" s="10" t="s">
        <v>5</v>
      </c>
      <c r="T8" s="55" t="str">
        <f t="shared" si="4"/>
        <v>aa 00 08 23 04 10 10 03 E8 00 00 3A 55</v>
      </c>
      <c r="U8" s="41">
        <v>1000</v>
      </c>
      <c r="V8" s="346" t="s">
        <v>516</v>
      </c>
      <c r="W8" s="347"/>
    </row>
    <row r="9" spans="2:51" ht="14.1" customHeight="1" thickBot="1" x14ac:dyDescent="0.3">
      <c r="B9" s="10" t="s">
        <v>0</v>
      </c>
      <c r="C9" s="1" t="s">
        <v>1</v>
      </c>
      <c r="D9" s="75" t="str">
        <f t="shared" si="2"/>
        <v>08</v>
      </c>
      <c r="E9" s="2" t="s">
        <v>71</v>
      </c>
      <c r="F9" s="2" t="s">
        <v>122</v>
      </c>
      <c r="G9" s="2" t="s">
        <v>70</v>
      </c>
      <c r="H9" s="3" t="s">
        <v>540</v>
      </c>
      <c r="I9" s="3" t="str">
        <f>LEFT(RIGHT(DEC2HEX(U9,4),4),2)</f>
        <v>03</v>
      </c>
      <c r="J9" s="3" t="str">
        <f>LEFT(RIGHT(DEC2HEX(U9,4),2),2)</f>
        <v>E8</v>
      </c>
      <c r="K9" s="3"/>
      <c r="L9" s="3" t="s">
        <v>1</v>
      </c>
      <c r="M9" s="3" t="s">
        <v>1</v>
      </c>
      <c r="N9" s="231"/>
      <c r="O9" s="224"/>
      <c r="P9" s="224"/>
      <c r="Q9" s="224"/>
      <c r="R9" s="84" t="str">
        <f t="shared" si="3"/>
        <v>3B</v>
      </c>
      <c r="S9" s="10" t="s">
        <v>5</v>
      </c>
      <c r="T9" s="243" t="str">
        <f t="shared" si="4"/>
        <v>aa 00 08 23 05 10 10 03 E8 00 00 3B 55</v>
      </c>
      <c r="U9" s="41">
        <v>1000</v>
      </c>
      <c r="V9" s="346" t="s">
        <v>642</v>
      </c>
      <c r="W9" s="347"/>
      <c r="Y9" s="498" t="s">
        <v>420</v>
      </c>
      <c r="Z9" s="498"/>
      <c r="AA9" s="498"/>
      <c r="AB9" s="498"/>
      <c r="AC9" s="498"/>
      <c r="AD9" s="498"/>
      <c r="AE9" s="498"/>
      <c r="AF9" s="498"/>
      <c r="AG9" s="498"/>
      <c r="AH9" s="498"/>
      <c r="AI9" s="498"/>
      <c r="AJ9" s="498"/>
      <c r="AK9" s="498"/>
      <c r="AL9" s="498"/>
      <c r="AM9" s="498"/>
      <c r="AN9" s="498"/>
      <c r="AO9" s="498"/>
      <c r="AP9" s="498"/>
      <c r="AQ9" s="498"/>
      <c r="AR9" s="498"/>
      <c r="AS9" s="498"/>
      <c r="AT9" s="498"/>
      <c r="AU9" s="498"/>
      <c r="AV9" s="498"/>
      <c r="AW9" s="498"/>
      <c r="AX9" s="498"/>
      <c r="AY9" s="498"/>
    </row>
    <row r="10" spans="2:51" ht="14.1" customHeight="1" x14ac:dyDescent="0.25">
      <c r="B10" s="10" t="s">
        <v>0</v>
      </c>
      <c r="C10" s="1" t="s">
        <v>1</v>
      </c>
      <c r="D10" s="75" t="str">
        <f t="shared" si="2"/>
        <v>08</v>
      </c>
      <c r="E10" s="2" t="s">
        <v>71</v>
      </c>
      <c r="F10" s="2" t="s">
        <v>431</v>
      </c>
      <c r="G10" s="2" t="s">
        <v>70</v>
      </c>
      <c r="H10" s="3" t="s">
        <v>540</v>
      </c>
      <c r="I10" s="3" t="str">
        <f>LEFT(RIGHT(DEC2HEX(U10,4),4),2)</f>
        <v>03</v>
      </c>
      <c r="J10" s="3" t="str">
        <f>LEFT(RIGHT(DEC2HEX(U10,4),2),2)</f>
        <v>E8</v>
      </c>
      <c r="K10" s="3"/>
      <c r="L10" s="3" t="s">
        <v>1</v>
      </c>
      <c r="M10" s="3" t="s">
        <v>1</v>
      </c>
      <c r="N10" s="231"/>
      <c r="O10" s="224"/>
      <c r="P10" s="224"/>
      <c r="Q10" s="224"/>
      <c r="R10" s="84" t="str">
        <f t="shared" si="3"/>
        <v>3C</v>
      </c>
      <c r="S10" s="245" t="s">
        <v>5</v>
      </c>
      <c r="T10" s="247" t="str">
        <f t="shared" si="4"/>
        <v>aa 00 08 23 06 10 10 03 E8 00 00 3C 55</v>
      </c>
      <c r="U10" s="41">
        <v>1000</v>
      </c>
      <c r="V10" s="346" t="s">
        <v>643</v>
      </c>
      <c r="W10" s="347"/>
      <c r="Y10" s="498"/>
      <c r="Z10" s="498"/>
      <c r="AA10" s="498"/>
      <c r="AB10" s="498"/>
      <c r="AC10" s="498"/>
      <c r="AD10" s="498"/>
      <c r="AE10" s="498"/>
      <c r="AF10" s="498"/>
      <c r="AG10" s="498"/>
      <c r="AH10" s="498"/>
      <c r="AI10" s="498"/>
      <c r="AJ10" s="498"/>
      <c r="AK10" s="498"/>
      <c r="AL10" s="498"/>
      <c r="AM10" s="498"/>
      <c r="AN10" s="498"/>
      <c r="AO10" s="498"/>
      <c r="AP10" s="498"/>
      <c r="AQ10" s="498"/>
      <c r="AR10" s="498"/>
      <c r="AS10" s="498"/>
      <c r="AT10" s="498"/>
      <c r="AU10" s="498"/>
      <c r="AV10" s="498"/>
      <c r="AW10" s="498"/>
      <c r="AX10" s="498"/>
      <c r="AY10" s="498"/>
    </row>
    <row r="11" spans="2:51" ht="14.1" customHeight="1" x14ac:dyDescent="0.25">
      <c r="B11" s="10" t="s">
        <v>0</v>
      </c>
      <c r="C11" s="1" t="s">
        <v>1</v>
      </c>
      <c r="D11" s="75" t="str">
        <f t="shared" si="2"/>
        <v>08</v>
      </c>
      <c r="E11" s="2" t="s">
        <v>71</v>
      </c>
      <c r="F11" s="2" t="s">
        <v>512</v>
      </c>
      <c r="G11" s="2" t="s">
        <v>70</v>
      </c>
      <c r="H11" s="3" t="s">
        <v>540</v>
      </c>
      <c r="I11" s="3" t="str">
        <f t="shared" si="0"/>
        <v>03</v>
      </c>
      <c r="J11" s="3" t="str">
        <f t="shared" si="1"/>
        <v>E8</v>
      </c>
      <c r="K11" s="3"/>
      <c r="L11" s="3" t="s">
        <v>1</v>
      </c>
      <c r="M11" s="3" t="s">
        <v>1</v>
      </c>
      <c r="N11" s="231"/>
      <c r="O11" s="224"/>
      <c r="P11" s="224"/>
      <c r="Q11" s="224"/>
      <c r="R11" s="84" t="str">
        <f t="shared" si="3"/>
        <v>3D</v>
      </c>
      <c r="S11" s="245" t="s">
        <v>5</v>
      </c>
      <c r="T11" s="248" t="str">
        <f t="shared" si="4"/>
        <v>aa 00 08 23 07 10 10 03 E8 00 00 3D 55</v>
      </c>
      <c r="U11" s="41">
        <v>1000</v>
      </c>
      <c r="V11" s="346" t="s">
        <v>644</v>
      </c>
      <c r="W11" s="347"/>
    </row>
    <row r="12" spans="2:51" ht="14.1" customHeight="1" thickBot="1" x14ac:dyDescent="0.3">
      <c r="B12" s="10" t="s">
        <v>0</v>
      </c>
      <c r="C12" s="1" t="s">
        <v>1</v>
      </c>
      <c r="D12" s="75" t="str">
        <f t="shared" si="2"/>
        <v>08</v>
      </c>
      <c r="E12" s="2" t="s">
        <v>71</v>
      </c>
      <c r="F12" s="2" t="s">
        <v>125</v>
      </c>
      <c r="G12" s="2" t="s">
        <v>70</v>
      </c>
      <c r="H12" s="3" t="s">
        <v>540</v>
      </c>
      <c r="I12" s="3" t="str">
        <f t="shared" si="0"/>
        <v>03</v>
      </c>
      <c r="J12" s="3" t="str">
        <f t="shared" si="1"/>
        <v>E8</v>
      </c>
      <c r="K12" s="3"/>
      <c r="L12" s="3" t="s">
        <v>1</v>
      </c>
      <c r="M12" s="3" t="s">
        <v>1</v>
      </c>
      <c r="N12" s="231"/>
      <c r="O12" s="224"/>
      <c r="P12" s="224"/>
      <c r="Q12" s="224"/>
      <c r="R12" s="84" t="str">
        <f t="shared" si="3"/>
        <v>3E</v>
      </c>
      <c r="S12" s="245" t="s">
        <v>5</v>
      </c>
      <c r="T12" s="246" t="str">
        <f t="shared" si="4"/>
        <v>aa 00 08 23 08 10 10 03 E8 00 00 3E 55</v>
      </c>
      <c r="U12" s="41">
        <v>1000</v>
      </c>
      <c r="V12" s="346" t="s">
        <v>645</v>
      </c>
      <c r="W12" s="347"/>
      <c r="Y12" s="498" t="s">
        <v>420</v>
      </c>
      <c r="Z12" s="498"/>
      <c r="AA12" s="498"/>
      <c r="AB12" s="498"/>
      <c r="AC12" s="498"/>
      <c r="AD12" s="498"/>
      <c r="AE12" s="498"/>
      <c r="AF12" s="498"/>
      <c r="AG12" s="498"/>
      <c r="AH12" s="498"/>
      <c r="AI12" s="498"/>
      <c r="AJ12" s="498"/>
      <c r="AK12" s="498"/>
      <c r="AL12" s="498"/>
      <c r="AM12" s="498"/>
      <c r="AN12" s="498"/>
      <c r="AO12" s="498"/>
      <c r="AP12" s="498"/>
      <c r="AQ12" s="498"/>
      <c r="AR12" s="498"/>
      <c r="AS12" s="498"/>
      <c r="AT12" s="498"/>
      <c r="AU12" s="498"/>
      <c r="AV12" s="498"/>
      <c r="AW12" s="498"/>
      <c r="AX12" s="498"/>
      <c r="AY12" s="498"/>
    </row>
    <row r="13" spans="2:51" ht="14.1" customHeight="1" x14ac:dyDescent="0.25">
      <c r="B13" s="10" t="s">
        <v>0</v>
      </c>
      <c r="C13" s="1" t="s">
        <v>1</v>
      </c>
      <c r="D13" s="75" t="str">
        <f t="shared" si="2"/>
        <v>08</v>
      </c>
      <c r="E13" s="2" t="s">
        <v>71</v>
      </c>
      <c r="F13" s="2" t="s">
        <v>126</v>
      </c>
      <c r="G13" s="2" t="s">
        <v>70</v>
      </c>
      <c r="H13" s="3" t="s">
        <v>540</v>
      </c>
      <c r="I13" s="3" t="str">
        <f t="shared" si="0"/>
        <v>03</v>
      </c>
      <c r="J13" s="3" t="str">
        <f t="shared" si="1"/>
        <v>E8</v>
      </c>
      <c r="K13" s="3"/>
      <c r="L13" s="3" t="s">
        <v>1</v>
      </c>
      <c r="M13" s="3" t="s">
        <v>1</v>
      </c>
      <c r="N13" s="231"/>
      <c r="O13" s="224"/>
      <c r="P13" s="224"/>
      <c r="Q13" s="224"/>
      <c r="R13" s="84" t="str">
        <f t="shared" si="3"/>
        <v>3F</v>
      </c>
      <c r="S13" s="10" t="s">
        <v>5</v>
      </c>
      <c r="T13" s="244" t="str">
        <f t="shared" si="4"/>
        <v>aa 00 08 23 09 10 10 03 E8 00 00 3F 55</v>
      </c>
      <c r="U13" s="41">
        <v>1000</v>
      </c>
      <c r="V13" s="346" t="s">
        <v>646</v>
      </c>
      <c r="W13" s="347"/>
      <c r="Y13" s="498"/>
      <c r="Z13" s="498"/>
      <c r="AA13" s="498"/>
      <c r="AB13" s="498"/>
      <c r="AC13" s="498"/>
      <c r="AD13" s="498"/>
      <c r="AE13" s="498"/>
      <c r="AF13" s="498"/>
      <c r="AG13" s="498"/>
      <c r="AH13" s="498"/>
      <c r="AI13" s="498"/>
      <c r="AJ13" s="498"/>
      <c r="AK13" s="498"/>
      <c r="AL13" s="498"/>
      <c r="AM13" s="498"/>
      <c r="AN13" s="498"/>
      <c r="AO13" s="498"/>
      <c r="AP13" s="498"/>
      <c r="AQ13" s="498"/>
      <c r="AR13" s="498"/>
      <c r="AS13" s="498"/>
      <c r="AT13" s="498"/>
      <c r="AU13" s="498"/>
      <c r="AV13" s="498"/>
      <c r="AW13" s="498"/>
      <c r="AX13" s="498"/>
      <c r="AY13" s="498"/>
    </row>
    <row r="14" spans="2:51" ht="14.1" customHeight="1" x14ac:dyDescent="0.25">
      <c r="B14" s="627" t="s">
        <v>239</v>
      </c>
      <c r="C14" s="627"/>
      <c r="D14" s="627"/>
      <c r="E14" s="627"/>
      <c r="F14" s="627"/>
      <c r="G14" s="627"/>
      <c r="H14" s="627"/>
      <c r="I14" s="627"/>
      <c r="J14" s="627"/>
      <c r="K14" s="627"/>
      <c r="L14" s="627"/>
      <c r="M14" s="627"/>
      <c r="N14" s="627"/>
      <c r="O14" s="627"/>
      <c r="P14" s="627"/>
      <c r="Q14" s="627"/>
      <c r="R14" s="627"/>
      <c r="S14" s="627"/>
      <c r="T14" s="627"/>
      <c r="U14" s="627"/>
      <c r="V14" s="627"/>
      <c r="W14" s="627"/>
      <c r="Y14" s="435" t="s">
        <v>275</v>
      </c>
      <c r="Z14" s="435"/>
      <c r="AA14" s="435"/>
      <c r="AB14" s="435"/>
      <c r="AC14" s="435"/>
      <c r="AD14" s="435"/>
      <c r="AE14" s="435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119" t="s">
        <v>266</v>
      </c>
      <c r="AR14" s="435" t="s">
        <v>267</v>
      </c>
      <c r="AS14" s="435"/>
      <c r="AT14" s="435"/>
      <c r="AU14" s="435"/>
      <c r="AV14" s="435" t="s">
        <v>268</v>
      </c>
      <c r="AW14" s="435"/>
      <c r="AX14" s="435"/>
      <c r="AY14" s="435"/>
    </row>
    <row r="15" spans="2:51" ht="14.1" customHeight="1" x14ac:dyDescent="0.25">
      <c r="B15" s="211"/>
      <c r="C15" s="9"/>
      <c r="D15" s="9"/>
      <c r="E15" s="8"/>
      <c r="F15" s="7" t="s">
        <v>86</v>
      </c>
      <c r="G15" s="8"/>
      <c r="H15" s="458" t="s">
        <v>72</v>
      </c>
      <c r="I15" s="459"/>
      <c r="J15" s="7" t="s">
        <v>73</v>
      </c>
      <c r="K15" s="7"/>
      <c r="L15" s="458" t="s">
        <v>74</v>
      </c>
      <c r="M15" s="459"/>
      <c r="N15" s="7" t="s">
        <v>75</v>
      </c>
      <c r="O15" s="225"/>
      <c r="P15" s="226"/>
      <c r="Q15" s="227"/>
      <c r="R15" s="232" t="s">
        <v>81</v>
      </c>
      <c r="S15" s="9"/>
      <c r="T15" s="9"/>
      <c r="U15" s="149" t="s">
        <v>72</v>
      </c>
      <c r="V15" s="149" t="s">
        <v>76</v>
      </c>
      <c r="W15" s="341"/>
      <c r="Y15" s="86" t="s">
        <v>77</v>
      </c>
      <c r="Z15" s="120" t="s">
        <v>78</v>
      </c>
      <c r="AA15" s="120" t="s">
        <v>10</v>
      </c>
      <c r="AB15" s="120" t="s">
        <v>79</v>
      </c>
      <c r="AC15" s="120" t="s">
        <v>80</v>
      </c>
      <c r="AD15" s="120" t="s">
        <v>11</v>
      </c>
      <c r="AE15" s="436" t="s">
        <v>83</v>
      </c>
      <c r="AF15" s="436"/>
      <c r="AG15" s="436"/>
      <c r="AH15" s="436"/>
      <c r="AI15" s="436"/>
      <c r="AJ15" s="436"/>
      <c r="AK15" s="436"/>
      <c r="AL15" s="436"/>
      <c r="AM15" s="436"/>
      <c r="AN15" s="436"/>
      <c r="AO15" s="83" t="s">
        <v>81</v>
      </c>
      <c r="AP15" s="83" t="s">
        <v>82</v>
      </c>
      <c r="AQ15" s="51" t="s">
        <v>276</v>
      </c>
      <c r="AR15" s="45" t="s">
        <v>417</v>
      </c>
      <c r="AS15" s="45" t="s">
        <v>418</v>
      </c>
      <c r="AT15" s="439" t="s">
        <v>6</v>
      </c>
      <c r="AU15" s="439"/>
      <c r="AV15" s="439"/>
      <c r="AW15" s="439"/>
      <c r="AX15" s="439"/>
      <c r="AY15" s="439"/>
    </row>
    <row r="16" spans="2:51" ht="14.1" customHeight="1" thickBot="1" x14ac:dyDescent="0.3">
      <c r="B16" s="10" t="s">
        <v>0</v>
      </c>
      <c r="C16" s="1" t="s">
        <v>1</v>
      </c>
      <c r="D16" s="46" t="str">
        <f>DEC2HEX( COUNTA(E16:Q16),2)</f>
        <v>09</v>
      </c>
      <c r="E16" s="2" t="s">
        <v>71</v>
      </c>
      <c r="F16" s="2" t="s">
        <v>4</v>
      </c>
      <c r="G16" s="2" t="s">
        <v>17</v>
      </c>
      <c r="H16" s="3" t="str">
        <f t="shared" ref="H16:H21" si="5">LEFT(RIGHT(DEC2HEX(U16,4),4),2)</f>
        <v>01</v>
      </c>
      <c r="I16" s="3" t="str">
        <f t="shared" ref="I16:I21" si="6">LEFT(RIGHT(DEC2HEX(U16,4),2),2)</f>
        <v>95</v>
      </c>
      <c r="J16" s="3" t="s">
        <v>227</v>
      </c>
      <c r="K16" s="3"/>
      <c r="L16" s="3" t="str">
        <f t="shared" ref="L16:L21" si="7">LEFT(RIGHT(DEC2HEX(V16,4),4),2)</f>
        <v>03</v>
      </c>
      <c r="M16" s="3" t="str">
        <f t="shared" ref="M16:M21" si="8">LEFT(RIGHT(DEC2HEX(V16,4),2),2)</f>
        <v>E8</v>
      </c>
      <c r="N16" s="3" t="s">
        <v>23</v>
      </c>
      <c r="O16" s="228"/>
      <c r="P16" s="228"/>
      <c r="Q16" s="229"/>
      <c r="R16" s="85" t="str">
        <f>DEC2HEX(MOD(HEX2DEC(C16)+HEX2DEC(D16)+HEX2DEC(E16)+HEX2DEC(F16)+HEX2DEC(G16)+HEX2DEC(H16)+HEX2DEC(I16)+HEX2DEC(J16)+HEX2DEC(K16)+HEX2DEC(L16)+HEX2DEC(M16)+HEX2DEC(N16)+HEX2DEC(O16)+HEX2DEC(P16)+HEX2DEC(Q16),256),2)</f>
        <v>CE</v>
      </c>
      <c r="S16" s="10" t="s">
        <v>5</v>
      </c>
      <c r="T16" s="49" t="str">
        <f t="shared" ref="T16:T21" si="9">IF(ISBLANK(B16),,B16&amp;" ")&amp;IF(ISBLANK(C16),,C16&amp;" ")&amp;IF(ISBLANK(D16),,D16&amp;" ")&amp;IF(ISBLANK(E16),,E16&amp;" ")&amp;IF(ISBLANK(F16),,F16&amp;" ")&amp;IF(ISBLANK(G16),,G16&amp;" ")&amp;IF(ISBLANK(H16),,H16&amp;" ")&amp;IF(ISBLANK(I16),,I16&amp;" ")&amp;IF(ISBLANK(J16),,J16&amp;" ")&amp;IF(ISBLANK(K16),,K16&amp;" ")&amp;IF(ISBLANK(L16),,L16&amp;" ")&amp;IF(ISBLANK(M16),,M16&amp;" ")&amp;IF(ISBLANK(N16),,N16&amp;" ")&amp;IF(ISBLANK(O16),,O16&amp;" ")&amp;IF(ISBLANK(P16),,P16&amp;" ")&amp;IF(ISBLANK(Q16),,Q16&amp;" ")&amp;IF(ISBLANK(R16),,R16&amp;" ")&amp;IF(ISBLANK(S16),,S16)</f>
        <v>aa 00 09 23 01 12 01 95 0E 03 E8 00 CE 55</v>
      </c>
      <c r="U16" s="41">
        <v>405</v>
      </c>
      <c r="V16" s="41">
        <v>1000</v>
      </c>
      <c r="W16" s="341" t="s">
        <v>580</v>
      </c>
      <c r="Y16" s="84" t="s">
        <v>0</v>
      </c>
      <c r="Z16" s="75" t="s">
        <v>1</v>
      </c>
      <c r="AA16" s="75" t="s">
        <v>9</v>
      </c>
      <c r="AB16" s="76" t="s">
        <v>428</v>
      </c>
      <c r="AC16" s="76" t="s">
        <v>1</v>
      </c>
      <c r="AD16" s="76" t="s">
        <v>1</v>
      </c>
      <c r="AE16" s="54" t="str">
        <f>DEC2HEX(AR16,2)</f>
        <v>02</v>
      </c>
      <c r="AF16" s="54" t="str">
        <f>DEC2HEX(AS16,2)</f>
        <v>0A</v>
      </c>
      <c r="AG16" s="57"/>
      <c r="AH16" s="57"/>
      <c r="AI16" s="57"/>
      <c r="AJ16" s="57"/>
      <c r="AK16" s="57"/>
      <c r="AL16" s="57"/>
      <c r="AM16" s="57"/>
      <c r="AN16" s="57"/>
      <c r="AO16" s="84" t="str">
        <f>DEC2HEX(MOD(HEX2DEC(Z16)+HEX2DEC(AA16)+HEX2DEC(AB16)+HEX2DEC(AC16)+HEX2DEC(AD16)+HEX2DEC(AE16)+HEX2DEC(AF16)+HEX2DEC(AG16)+HEX2DEC(AH16)+HEX2DEC(AI16)+HEX2DEC(AJ16)+HEX2DEC(AK16)+HEX2DEC(AN16),256),2)</f>
        <v>82</v>
      </c>
      <c r="AP16" s="84" t="s">
        <v>5</v>
      </c>
      <c r="AQ16" s="55" t="str">
        <f>IF(ISBLANK(Y16),,Y16&amp;" ")&amp;IF(ISBLANK(Z16),,Z16&amp;" ")&amp;IF(ISBLANK(AA16),,AA16&amp;" ")&amp;IF(ISBLANK(AB16),,AB16&amp;" ")&amp;IF(ISBLANK(AC16),,AC16&amp;" ")&amp;IF(ISBLANK(AD16),,AD16&amp;" ")&amp;IF(ISBLANK(AE16),,AE16&amp;" ")&amp;IF(ISBLANK(AF16),,AF16&amp;" ")&amp;IF(ISBLANK(AG16),,AG16&amp;" ")&amp;IF(ISBLANK(AH16),,AH16&amp;" ")&amp;IF(ISBLANK(AI16),,AI16&amp;" ")&amp;IF(ISBLANK(AJ16),,AJ16&amp;" ")&amp;IF(ISBLANK(AK16),,AK16&amp;" ")&amp;IF(ISBLANK(AN16),,AN16&amp;" ")&amp;IF(ISBLANK(AO16),,AO16&amp;" ")&amp;IF(ISBLANK(AP16),,AP16)</f>
        <v>aa 00 05 71 00 00 02 0A 82 55</v>
      </c>
      <c r="AR16" s="116">
        <v>2</v>
      </c>
      <c r="AS16" s="116">
        <v>10</v>
      </c>
      <c r="AT16" s="440" t="s">
        <v>421</v>
      </c>
      <c r="AU16" s="440"/>
      <c r="AV16" s="440"/>
      <c r="AW16" s="440"/>
      <c r="AX16" s="440"/>
      <c r="AY16" s="440"/>
    </row>
    <row r="17" spans="2:51" ht="14.1" customHeight="1" thickBot="1" x14ac:dyDescent="0.3">
      <c r="B17" s="10" t="s">
        <v>0</v>
      </c>
      <c r="C17" s="1" t="s">
        <v>1</v>
      </c>
      <c r="D17" s="46" t="str">
        <f t="shared" ref="D17:D21" si="10">DEC2HEX( COUNTA(E17:Q17),2)</f>
        <v>09</v>
      </c>
      <c r="E17" s="2" t="s">
        <v>71</v>
      </c>
      <c r="F17" s="2" t="s">
        <v>15</v>
      </c>
      <c r="G17" s="2" t="s">
        <v>17</v>
      </c>
      <c r="H17" s="3" t="str">
        <f t="shared" si="5"/>
        <v>00</v>
      </c>
      <c r="I17" s="3" t="str">
        <f t="shared" si="6"/>
        <v>C8</v>
      </c>
      <c r="J17" s="3" t="s">
        <v>591</v>
      </c>
      <c r="K17" s="3"/>
      <c r="L17" s="3" t="str">
        <f t="shared" si="7"/>
        <v>01</v>
      </c>
      <c r="M17" s="3" t="str">
        <f t="shared" si="8"/>
        <v>F4</v>
      </c>
      <c r="N17" s="3" t="s">
        <v>69</v>
      </c>
      <c r="O17" s="228"/>
      <c r="P17" s="228"/>
      <c r="Q17" s="229"/>
      <c r="R17" s="85" t="str">
        <f t="shared" ref="R17:R21" si="11">DEC2HEX(MOD(HEX2DEC(C17)+HEX2DEC(D17)+HEX2DEC(E17)+HEX2DEC(F17)+HEX2DEC(G17)+HEX2DEC(H17)+HEX2DEC(I17)+HEX2DEC(J17)+HEX2DEC(K17)+HEX2DEC(L17)+HEX2DEC(M17)+HEX2DEC(N17)+HEX2DEC(O17)+HEX2DEC(P17)+HEX2DEC(Q17),256),2)</f>
        <v>00</v>
      </c>
      <c r="S17" s="10" t="s">
        <v>5</v>
      </c>
      <c r="T17" s="49" t="str">
        <f t="shared" si="9"/>
        <v>aa 00 09 23 02 12 00 C8 02 01 F4 01 00 55</v>
      </c>
      <c r="U17" s="41">
        <v>200</v>
      </c>
      <c r="V17" s="41">
        <v>500</v>
      </c>
      <c r="W17" s="341"/>
      <c r="Y17" s="84" t="s">
        <v>0</v>
      </c>
      <c r="Z17" s="75" t="s">
        <v>1</v>
      </c>
      <c r="AA17" s="75" t="s">
        <v>8</v>
      </c>
      <c r="AB17" s="76" t="s">
        <v>428</v>
      </c>
      <c r="AC17" s="76" t="s">
        <v>1</v>
      </c>
      <c r="AD17" s="76" t="s">
        <v>70</v>
      </c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84" t="str">
        <f>DEC2HEX(MOD(HEX2DEC(Z17)+HEX2DEC(AA17)+HEX2DEC(AB17)+HEX2DEC(AC17)+HEX2DEC(AD17)+HEX2DEC(AE17)+HEX2DEC(AF17)+HEX2DEC(AG17)+HEX2DEC(AH17)+HEX2DEC(AI17)+HEX2DEC(AJ17)+HEX2DEC(AK17)+HEX2DEC(AN17),256),2)</f>
        <v>84</v>
      </c>
      <c r="AP17" s="84" t="s">
        <v>5</v>
      </c>
      <c r="AQ17" s="55" t="str">
        <f>IF(ISBLANK(Y17),,Y17&amp;" ")&amp;IF(ISBLANK(Z17),,Z17&amp;" ")&amp;IF(ISBLANK(AA17),,AA17&amp;" ")&amp;IF(ISBLANK(AB17),,AB17&amp;" ")&amp;IF(ISBLANK(AC17),,AC17&amp;" ")&amp;IF(ISBLANK(AD17),,AD17&amp;" ")&amp;IF(ISBLANK(AE17),,AE17&amp;" ")&amp;IF(ISBLANK(AF17),,AF17&amp;" ")&amp;IF(ISBLANK(AG17),,AG17&amp;" ")&amp;IF(ISBLANK(AH17),,AH17&amp;" ")&amp;IF(ISBLANK(AI17),,AI17&amp;" ")&amp;IF(ISBLANK(AJ17),,AJ17&amp;" ")&amp;IF(ISBLANK(AK17),,AK17&amp;" ")&amp;IF(ISBLANK(AN17),,AN17&amp;" ")&amp;IF(ISBLANK(AO17),,AO17&amp;" ")&amp;IF(ISBLANK(AP17),,AP17)</f>
        <v>aa 00 03 71 00 10 84 55</v>
      </c>
      <c r="AR17" s="440" t="s">
        <v>422</v>
      </c>
      <c r="AS17" s="440"/>
      <c r="AT17" s="440"/>
      <c r="AU17" s="440"/>
      <c r="AV17" s="440"/>
      <c r="AW17" s="440"/>
      <c r="AX17" s="440"/>
      <c r="AY17" s="440"/>
    </row>
    <row r="18" spans="2:51" ht="14.1" customHeight="1" thickBot="1" x14ac:dyDescent="0.3">
      <c r="B18" s="10" t="s">
        <v>0</v>
      </c>
      <c r="C18" s="1" t="s">
        <v>1</v>
      </c>
      <c r="D18" s="46" t="str">
        <f t="shared" si="10"/>
        <v>09</v>
      </c>
      <c r="E18" s="2" t="s">
        <v>71</v>
      </c>
      <c r="F18" s="2" t="s">
        <v>13</v>
      </c>
      <c r="G18" s="2" t="s">
        <v>17</v>
      </c>
      <c r="H18" s="3" t="str">
        <f t="shared" si="5"/>
        <v>00</v>
      </c>
      <c r="I18" s="3" t="str">
        <f t="shared" si="6"/>
        <v>C8</v>
      </c>
      <c r="J18" s="3" t="s">
        <v>70</v>
      </c>
      <c r="K18" s="3"/>
      <c r="L18" s="3" t="str">
        <f t="shared" si="7"/>
        <v>01</v>
      </c>
      <c r="M18" s="3" t="str">
        <f t="shared" si="8"/>
        <v>F4</v>
      </c>
      <c r="N18" s="3" t="s">
        <v>590</v>
      </c>
      <c r="O18" s="228"/>
      <c r="P18" s="228"/>
      <c r="Q18" s="229"/>
      <c r="R18" s="85" t="str">
        <f t="shared" si="11"/>
        <v>0E</v>
      </c>
      <c r="S18" s="10" t="s">
        <v>5</v>
      </c>
      <c r="T18" s="49" t="str">
        <f t="shared" si="9"/>
        <v>aa 00 09 23 03 12 00 C8 10 01 F4 00 0E 55</v>
      </c>
      <c r="U18" s="41">
        <v>200</v>
      </c>
      <c r="V18" s="41">
        <v>500</v>
      </c>
      <c r="W18" s="341"/>
      <c r="Y18" s="84" t="s">
        <v>0</v>
      </c>
      <c r="Z18" s="75" t="s">
        <v>1</v>
      </c>
      <c r="AA18" s="75" t="s">
        <v>430</v>
      </c>
      <c r="AB18" s="76" t="s">
        <v>428</v>
      </c>
      <c r="AC18" s="76" t="s">
        <v>1</v>
      </c>
      <c r="AD18" s="76" t="s">
        <v>28</v>
      </c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84" t="str">
        <f>DEC2HEX(MOD(HEX2DEC(Z18)+HEX2DEC(AA18)+HEX2DEC(AB18)+HEX2DEC(AC18)+HEX2DEC(AD18)+HEX2DEC(AE18)+HEX2DEC(AF18)+HEX2DEC(AG18)+HEX2DEC(AH18)+HEX2DEC(AI18)+HEX2DEC(AJ18)+HEX2DEC(AK18)+HEX2DEC(AN18),256),2)</f>
        <v>85</v>
      </c>
      <c r="AP18" s="84" t="s">
        <v>5</v>
      </c>
      <c r="AQ18" s="55" t="str">
        <f>IF(ISBLANK(Y18),,Y18&amp;" ")&amp;IF(ISBLANK(Z18),,Z18&amp;" ")&amp;IF(ISBLANK(AA18),,AA18&amp;" ")&amp;IF(ISBLANK(AB18),,AB18&amp;" ")&amp;IF(ISBLANK(AC18),,AC18&amp;" ")&amp;IF(ISBLANK(AD18),,AD18&amp;" ")&amp;IF(ISBLANK(AE18),,AE18&amp;" ")&amp;IF(ISBLANK(AF18),,AF18&amp;" ")&amp;IF(ISBLANK(AG18),,AG18&amp;" ")&amp;IF(ISBLANK(AH18),,AH18&amp;" ")&amp;IF(ISBLANK(AI18),,AI18&amp;" ")&amp;IF(ISBLANK(AJ18),,AJ18&amp;" ")&amp;IF(ISBLANK(AK18),,AK18&amp;" ")&amp;IF(ISBLANK(AN18),,AN18&amp;" ")&amp;IF(ISBLANK(AO18),,AO18&amp;" ")&amp;IF(ISBLANK(AP18),,AP18)</f>
        <v>aa 00 03 71 00 11 85 55</v>
      </c>
      <c r="AR18" s="440" t="s">
        <v>423</v>
      </c>
      <c r="AS18" s="440"/>
      <c r="AT18" s="440"/>
      <c r="AU18" s="440"/>
      <c r="AV18" s="440"/>
      <c r="AW18" s="440"/>
      <c r="AX18" s="440"/>
      <c r="AY18" s="440"/>
    </row>
    <row r="19" spans="2:51" ht="14.1" customHeight="1" thickBot="1" x14ac:dyDescent="0.3">
      <c r="B19" s="10" t="s">
        <v>0</v>
      </c>
      <c r="C19" s="1" t="s">
        <v>1</v>
      </c>
      <c r="D19" s="46" t="str">
        <f t="shared" si="10"/>
        <v>09</v>
      </c>
      <c r="E19" s="2" t="s">
        <v>71</v>
      </c>
      <c r="F19" s="2" t="s">
        <v>18</v>
      </c>
      <c r="G19" s="2" t="s">
        <v>17</v>
      </c>
      <c r="H19" s="3" t="str">
        <f t="shared" si="5"/>
        <v>00</v>
      </c>
      <c r="I19" s="3" t="str">
        <f t="shared" si="6"/>
        <v>81</v>
      </c>
      <c r="J19" s="3" t="s">
        <v>9</v>
      </c>
      <c r="K19" s="3"/>
      <c r="L19" s="3" t="str">
        <f t="shared" si="7"/>
        <v>01</v>
      </c>
      <c r="M19" s="3" t="str">
        <f t="shared" si="8"/>
        <v>F4</v>
      </c>
      <c r="N19" s="3" t="s">
        <v>4</v>
      </c>
      <c r="O19" s="228"/>
      <c r="P19" s="228"/>
      <c r="Q19" s="229"/>
      <c r="R19" s="85" t="str">
        <f t="shared" si="11"/>
        <v>BE</v>
      </c>
      <c r="S19" s="10" t="s">
        <v>5</v>
      </c>
      <c r="T19" s="49" t="str">
        <f t="shared" si="9"/>
        <v>aa 00 09 23 04 12 00 81 05 01 F4 01 BE 55</v>
      </c>
      <c r="U19" s="41">
        <v>129</v>
      </c>
      <c r="V19" s="41">
        <v>500</v>
      </c>
      <c r="W19" s="341"/>
    </row>
    <row r="20" spans="2:51" ht="14.1" customHeight="1" thickBot="1" x14ac:dyDescent="0.3">
      <c r="B20" s="10" t="s">
        <v>0</v>
      </c>
      <c r="C20" s="1" t="s">
        <v>1</v>
      </c>
      <c r="D20" s="46" t="str">
        <f t="shared" si="10"/>
        <v>09</v>
      </c>
      <c r="E20" s="2" t="s">
        <v>71</v>
      </c>
      <c r="F20" s="2" t="s">
        <v>122</v>
      </c>
      <c r="G20" s="2" t="s">
        <v>17</v>
      </c>
      <c r="H20" s="3" t="str">
        <f t="shared" si="5"/>
        <v>00</v>
      </c>
      <c r="I20" s="3" t="str">
        <f t="shared" si="6"/>
        <v>C8</v>
      </c>
      <c r="J20" s="3" t="s">
        <v>582</v>
      </c>
      <c r="K20" s="3"/>
      <c r="L20" s="3" t="str">
        <f t="shared" si="7"/>
        <v>01</v>
      </c>
      <c r="M20" s="3" t="str">
        <f t="shared" si="8"/>
        <v>F4</v>
      </c>
      <c r="N20" s="3" t="s">
        <v>69</v>
      </c>
      <c r="O20" s="228"/>
      <c r="P20" s="228"/>
      <c r="Q20" s="229"/>
      <c r="R20" s="85" t="str">
        <f t="shared" si="11"/>
        <v>15</v>
      </c>
      <c r="S20" s="10" t="s">
        <v>5</v>
      </c>
      <c r="T20" s="49" t="str">
        <f t="shared" si="9"/>
        <v>aa 00 09 23 05 12 00 C8 14 01 F4 01 15 55</v>
      </c>
      <c r="U20" s="41">
        <v>200</v>
      </c>
      <c r="V20" s="41">
        <v>500</v>
      </c>
      <c r="W20" s="341"/>
      <c r="Y20" s="498" t="s">
        <v>424</v>
      </c>
      <c r="Z20" s="498"/>
      <c r="AA20" s="498"/>
      <c r="AB20" s="498"/>
      <c r="AC20" s="498"/>
      <c r="AD20" s="498"/>
      <c r="AE20" s="498"/>
      <c r="AF20" s="498"/>
      <c r="AG20" s="498"/>
      <c r="AH20" s="498"/>
      <c r="AI20" s="498"/>
      <c r="AJ20" s="498"/>
      <c r="AK20" s="498"/>
      <c r="AL20" s="498"/>
      <c r="AM20" s="498"/>
      <c r="AN20" s="498"/>
      <c r="AO20" s="498"/>
      <c r="AP20" s="498"/>
      <c r="AQ20" s="498"/>
      <c r="AR20" s="498"/>
      <c r="AS20" s="498"/>
      <c r="AT20" s="498"/>
      <c r="AU20" s="498"/>
      <c r="AV20" s="498"/>
      <c r="AW20" s="498"/>
      <c r="AX20" s="498"/>
      <c r="AY20" s="498"/>
    </row>
    <row r="21" spans="2:51" ht="14.1" customHeight="1" thickBot="1" x14ac:dyDescent="0.3">
      <c r="B21" s="10" t="s">
        <v>0</v>
      </c>
      <c r="C21" s="1" t="s">
        <v>1</v>
      </c>
      <c r="D21" s="46" t="str">
        <f t="shared" si="10"/>
        <v>09</v>
      </c>
      <c r="E21" s="2" t="s">
        <v>71</v>
      </c>
      <c r="F21" s="2" t="s">
        <v>123</v>
      </c>
      <c r="G21" s="2" t="s">
        <v>17</v>
      </c>
      <c r="H21" s="3" t="str">
        <f t="shared" si="5"/>
        <v>00</v>
      </c>
      <c r="I21" s="3" t="str">
        <f t="shared" si="6"/>
        <v>C8</v>
      </c>
      <c r="J21" s="3" t="s">
        <v>238</v>
      </c>
      <c r="K21" s="3"/>
      <c r="L21" s="3" t="str">
        <f t="shared" si="7"/>
        <v>01</v>
      </c>
      <c r="M21" s="3" t="str">
        <f t="shared" si="8"/>
        <v>F4</v>
      </c>
      <c r="N21" s="3" t="s">
        <v>69</v>
      </c>
      <c r="O21" s="228"/>
      <c r="P21" s="228"/>
      <c r="Q21" s="229"/>
      <c r="R21" s="85" t="str">
        <f t="shared" si="11"/>
        <v>0C</v>
      </c>
      <c r="S21" s="10" t="s">
        <v>5</v>
      </c>
      <c r="T21" s="49" t="str">
        <f t="shared" si="9"/>
        <v>aa 00 09 23 06 12 00 C8 0a 01 F4 01 0C 55</v>
      </c>
      <c r="U21" s="41">
        <v>200</v>
      </c>
      <c r="V21" s="41">
        <v>500</v>
      </c>
      <c r="W21" s="341"/>
      <c r="Y21" s="498"/>
      <c r="Z21" s="498"/>
      <c r="AA21" s="498"/>
      <c r="AB21" s="498"/>
      <c r="AC21" s="498"/>
      <c r="AD21" s="498"/>
      <c r="AE21" s="498"/>
      <c r="AF21" s="498"/>
      <c r="AG21" s="498"/>
      <c r="AH21" s="498"/>
      <c r="AI21" s="498"/>
      <c r="AJ21" s="498"/>
      <c r="AK21" s="498"/>
      <c r="AL21" s="498"/>
      <c r="AM21" s="498"/>
      <c r="AN21" s="498"/>
      <c r="AO21" s="498"/>
      <c r="AP21" s="498"/>
      <c r="AQ21" s="498"/>
      <c r="AR21" s="498"/>
      <c r="AS21" s="498"/>
      <c r="AT21" s="498"/>
      <c r="AU21" s="498"/>
      <c r="AV21" s="498"/>
      <c r="AW21" s="498"/>
      <c r="AX21" s="498"/>
      <c r="AY21" s="498"/>
    </row>
    <row r="22" spans="2:51" ht="14.1" customHeight="1" x14ac:dyDescent="0.25">
      <c r="B22" s="432" t="s">
        <v>240</v>
      </c>
      <c r="C22" s="432"/>
      <c r="D22" s="432"/>
      <c r="E22" s="432"/>
      <c r="F22" s="432"/>
      <c r="G22" s="432"/>
      <c r="H22" s="432"/>
      <c r="I22" s="432"/>
      <c r="J22" s="432"/>
      <c r="K22" s="432"/>
      <c r="L22" s="432"/>
      <c r="M22" s="432"/>
      <c r="N22" s="432"/>
      <c r="O22" s="432"/>
      <c r="P22" s="432"/>
      <c r="Q22" s="432"/>
      <c r="R22" s="432"/>
      <c r="S22" s="432"/>
      <c r="T22" s="432"/>
      <c r="U22" s="432"/>
      <c r="V22" s="432"/>
      <c r="W22" s="432"/>
      <c r="Y22" s="435" t="s">
        <v>275</v>
      </c>
      <c r="Z22" s="435"/>
      <c r="AA22" s="435"/>
      <c r="AB22" s="435"/>
      <c r="AC22" s="435"/>
      <c r="AD22" s="435"/>
      <c r="AE22" s="435"/>
      <c r="AF22" s="435"/>
      <c r="AG22" s="435"/>
      <c r="AH22" s="435"/>
      <c r="AI22" s="435"/>
      <c r="AJ22" s="435"/>
      <c r="AK22" s="435"/>
      <c r="AL22" s="435"/>
      <c r="AM22" s="435"/>
      <c r="AN22" s="435"/>
      <c r="AO22" s="435"/>
      <c r="AP22" s="435"/>
      <c r="AQ22" s="119" t="s">
        <v>266</v>
      </c>
      <c r="AR22" s="435" t="s">
        <v>267</v>
      </c>
      <c r="AS22" s="435"/>
      <c r="AT22" s="435"/>
      <c r="AU22" s="435"/>
      <c r="AV22" s="435" t="s">
        <v>268</v>
      </c>
      <c r="AW22" s="435"/>
      <c r="AX22" s="435"/>
      <c r="AY22" s="435"/>
    </row>
    <row r="23" spans="2:51" ht="14.1" customHeight="1" thickBot="1" x14ac:dyDescent="0.3">
      <c r="B23" s="10" t="s">
        <v>0</v>
      </c>
      <c r="C23" s="1" t="s">
        <v>1</v>
      </c>
      <c r="D23" s="46" t="str">
        <f>DEC2HEX( COUNTA(E23:Q23),2)</f>
        <v>09</v>
      </c>
      <c r="E23" s="2" t="s">
        <v>71</v>
      </c>
      <c r="F23" s="2" t="s">
        <v>4</v>
      </c>
      <c r="G23" s="2" t="s">
        <v>17</v>
      </c>
      <c r="H23" s="3" t="str">
        <f t="shared" ref="H23:H28" si="12">LEFT(RIGHT(DEC2HEX(U23,4),4),2)</f>
        <v>FD</v>
      </c>
      <c r="I23" s="3" t="str">
        <f t="shared" ref="I23:I28" si="13">LEFT(RIGHT(DEC2HEX(U23,4),2),2)</f>
        <v>A8</v>
      </c>
      <c r="J23" s="3" t="s">
        <v>658</v>
      </c>
      <c r="K23" s="3"/>
      <c r="L23" s="3" t="str">
        <f t="shared" ref="L23:L28" si="14">LEFT(RIGHT(DEC2HEX(V23,4),4),2)</f>
        <v>01</v>
      </c>
      <c r="M23" s="3" t="str">
        <f t="shared" ref="M23:M28" si="15">LEFT(RIGHT(DEC2HEX(V23,4),2),2)</f>
        <v>F4</v>
      </c>
      <c r="N23" s="3" t="s">
        <v>1</v>
      </c>
      <c r="O23" s="228"/>
      <c r="P23" s="228"/>
      <c r="Q23" s="229"/>
      <c r="R23" s="85" t="str">
        <f>DEC2HEX(MOD(HEX2DEC(C23)+HEX2DEC(D23)+HEX2DEC(E23)+HEX2DEC(F23)+HEX2DEC(G23)+HEX2DEC(H23)+HEX2DEC(I23)+HEX2DEC(J23)+HEX2DEC(K23)+HEX2DEC(L23)+HEX2DEC(M23)+HEX2DEC(N23)+HEX2DEC(O23)+HEX2DEC(P23)+HEX2DEC(Q23),256),2)</f>
        <v>ED</v>
      </c>
      <c r="S23" s="11" t="s">
        <v>5</v>
      </c>
      <c r="T23" s="49" t="str">
        <f t="shared" ref="T23:T28" si="16">IF(ISBLANK(B23),,B23&amp;" ")&amp;IF(ISBLANK(C23),,C23&amp;" ")&amp;IF(ISBLANK(D23),,D23&amp;" ")&amp;IF(ISBLANK(E23),,E23&amp;" ")&amp;IF(ISBLANK(F23),,F23&amp;" ")&amp;IF(ISBLANK(G23),,G23&amp;" ")&amp;IF(ISBLANK(H23),,H23&amp;" ")&amp;IF(ISBLANK(I23),,I23&amp;" ")&amp;IF(ISBLANK(J23),,J23&amp;" ")&amp;IF(ISBLANK(K23),,K23&amp;" ")&amp;IF(ISBLANK(L23),,L23&amp;" ")&amp;IF(ISBLANK(M23),,M23&amp;" ")&amp;IF(ISBLANK(N23),,N23&amp;" ")&amp;IF(ISBLANK(O23),,O23&amp;" ")&amp;IF(ISBLANK(P23),,P23&amp;" ")&amp;IF(ISBLANK(Q23),,Q23&amp;" ")&amp;IF(ISBLANK(R23),,R23&amp;" ")&amp;IF(ISBLANK(S23),,S23)</f>
        <v>aa 00 09 23 01 12 FD A8 14 01 F4 00 ED 55</v>
      </c>
      <c r="U23" s="41">
        <v>-600</v>
      </c>
      <c r="V23" s="41">
        <v>500</v>
      </c>
      <c r="W23" s="341" t="s">
        <v>240</v>
      </c>
      <c r="Y23" s="86" t="s">
        <v>77</v>
      </c>
      <c r="Z23" s="120" t="s">
        <v>78</v>
      </c>
      <c r="AA23" s="120" t="s">
        <v>10</v>
      </c>
      <c r="AB23" s="120" t="s">
        <v>79</v>
      </c>
      <c r="AC23" s="120" t="s">
        <v>80</v>
      </c>
      <c r="AD23" s="120" t="s">
        <v>11</v>
      </c>
      <c r="AE23" s="436" t="s">
        <v>83</v>
      </c>
      <c r="AF23" s="436"/>
      <c r="AG23" s="436"/>
      <c r="AH23" s="436"/>
      <c r="AI23" s="436"/>
      <c r="AJ23" s="436"/>
      <c r="AK23" s="436"/>
      <c r="AL23" s="436"/>
      <c r="AM23" s="436"/>
      <c r="AN23" s="436"/>
      <c r="AO23" s="83" t="s">
        <v>81</v>
      </c>
      <c r="AP23" s="83" t="s">
        <v>82</v>
      </c>
      <c r="AQ23" s="51" t="s">
        <v>276</v>
      </c>
      <c r="AR23" s="45" t="s">
        <v>417</v>
      </c>
      <c r="AS23" s="45" t="s">
        <v>418</v>
      </c>
      <c r="AT23" s="439" t="s">
        <v>6</v>
      </c>
      <c r="AU23" s="439"/>
      <c r="AV23" s="439"/>
      <c r="AW23" s="439"/>
      <c r="AX23" s="439"/>
      <c r="AY23" s="439"/>
    </row>
    <row r="24" spans="2:51" ht="14.1" customHeight="1" thickBot="1" x14ac:dyDescent="0.3">
      <c r="B24" s="10" t="s">
        <v>0</v>
      </c>
      <c r="C24" s="1" t="s">
        <v>1</v>
      </c>
      <c r="D24" s="46" t="str">
        <f t="shared" ref="D24:D28" si="17">DEC2HEX( COUNTA(E24:Q24),2)</f>
        <v>09</v>
      </c>
      <c r="E24" s="2" t="s">
        <v>71</v>
      </c>
      <c r="F24" s="2" t="s">
        <v>15</v>
      </c>
      <c r="G24" s="2" t="s">
        <v>17</v>
      </c>
      <c r="H24" s="3" t="str">
        <f t="shared" si="12"/>
        <v>FF</v>
      </c>
      <c r="I24" s="3" t="str">
        <f t="shared" si="13"/>
        <v>9C</v>
      </c>
      <c r="J24" s="3" t="s">
        <v>238</v>
      </c>
      <c r="K24" s="3"/>
      <c r="L24" s="3" t="str">
        <f t="shared" si="14"/>
        <v>01</v>
      </c>
      <c r="M24" s="3" t="str">
        <f t="shared" si="15"/>
        <v>F4</v>
      </c>
      <c r="N24" s="3" t="s">
        <v>1</v>
      </c>
      <c r="O24" s="228"/>
      <c r="P24" s="228"/>
      <c r="Q24" s="229"/>
      <c r="R24" s="85" t="str">
        <f t="shared" ref="R24:R28" si="18">DEC2HEX(MOD(HEX2DEC(C24)+HEX2DEC(D24)+HEX2DEC(E24)+HEX2DEC(F24)+HEX2DEC(G24)+HEX2DEC(H24)+HEX2DEC(I24)+HEX2DEC(J24)+HEX2DEC(K24)+HEX2DEC(L24)+HEX2DEC(M24)+HEX2DEC(N24)+HEX2DEC(O24)+HEX2DEC(P24)+HEX2DEC(Q24),256),2)</f>
        <v>DA</v>
      </c>
      <c r="S24" s="11" t="s">
        <v>5</v>
      </c>
      <c r="T24" s="49" t="str">
        <f t="shared" si="16"/>
        <v>aa 00 09 23 02 12 FF 9C 0a 01 F4 00 DA 55</v>
      </c>
      <c r="U24" s="41">
        <v>-100</v>
      </c>
      <c r="V24" s="41">
        <v>500</v>
      </c>
      <c r="W24" s="341"/>
      <c r="Y24" s="84" t="s">
        <v>0</v>
      </c>
      <c r="Z24" s="75" t="s">
        <v>1</v>
      </c>
      <c r="AA24" s="75" t="s">
        <v>9</v>
      </c>
      <c r="AB24" s="76" t="s">
        <v>429</v>
      </c>
      <c r="AC24" s="76" t="s">
        <v>1</v>
      </c>
      <c r="AD24" s="76" t="s">
        <v>1</v>
      </c>
      <c r="AE24" s="54" t="str">
        <f>DEC2HEX(AR24,2)</f>
        <v>03</v>
      </c>
      <c r="AF24" s="54" t="str">
        <f>DEC2HEX(AS24,2)</f>
        <v>0A</v>
      </c>
      <c r="AG24" s="57"/>
      <c r="AH24" s="57"/>
      <c r="AI24" s="57"/>
      <c r="AJ24" s="57"/>
      <c r="AK24" s="57"/>
      <c r="AL24" s="57"/>
      <c r="AM24" s="57"/>
      <c r="AN24" s="57"/>
      <c r="AO24" s="84" t="str">
        <f>DEC2HEX(MOD(HEX2DEC(Z24)+HEX2DEC(AA24)+HEX2DEC(AB24)+HEX2DEC(AC24)+HEX2DEC(AD24)+HEX2DEC(AE24)+HEX2DEC(AF24)+HEX2DEC(AG24)+HEX2DEC(AH24)+HEX2DEC(AI24)+HEX2DEC(AJ24)+HEX2DEC(AK24)+HEX2DEC(AN24),256),2)</f>
        <v>84</v>
      </c>
      <c r="AP24" s="84" t="s">
        <v>5</v>
      </c>
      <c r="AQ24" s="55" t="str">
        <f>IF(ISBLANK(Y24),,Y24&amp;" ")&amp;IF(ISBLANK(Z24),,Z24&amp;" ")&amp;IF(ISBLANK(AA24),,AA24&amp;" ")&amp;IF(ISBLANK(AB24),,AB24&amp;" ")&amp;IF(ISBLANK(AC24),,AC24&amp;" ")&amp;IF(ISBLANK(AD24),,AD24&amp;" ")&amp;IF(ISBLANK(AE24),,AE24&amp;" ")&amp;IF(ISBLANK(AF24),,AF24&amp;" ")&amp;IF(ISBLANK(AG24),,AG24&amp;" ")&amp;IF(ISBLANK(AH24),,AH24&amp;" ")&amp;IF(ISBLANK(AI24),,AI24&amp;" ")&amp;IF(ISBLANK(AJ24),,AJ24&amp;" ")&amp;IF(ISBLANK(AK24),,AK24&amp;" ")&amp;IF(ISBLANK(AN24),,AN24&amp;" ")&amp;IF(ISBLANK(AO24),,AO24&amp;" ")&amp;IF(ISBLANK(AP24),,AP24)</f>
        <v>aa 00 05 72 00 00 03 0A 84 55</v>
      </c>
      <c r="AR24" s="116">
        <v>3</v>
      </c>
      <c r="AS24" s="116">
        <v>10</v>
      </c>
      <c r="AT24" s="440" t="s">
        <v>425</v>
      </c>
      <c r="AU24" s="440"/>
      <c r="AV24" s="440"/>
      <c r="AW24" s="440"/>
      <c r="AX24" s="440"/>
      <c r="AY24" s="440"/>
    </row>
    <row r="25" spans="2:51" ht="14.1" customHeight="1" thickBot="1" x14ac:dyDescent="0.3">
      <c r="B25" s="10" t="s">
        <v>0</v>
      </c>
      <c r="C25" s="1" t="s">
        <v>1</v>
      </c>
      <c r="D25" s="46" t="str">
        <f t="shared" si="17"/>
        <v>09</v>
      </c>
      <c r="E25" s="2" t="s">
        <v>71</v>
      </c>
      <c r="F25" s="2" t="s">
        <v>13</v>
      </c>
      <c r="G25" s="2" t="s">
        <v>17</v>
      </c>
      <c r="H25" s="3" t="str">
        <f t="shared" si="12"/>
        <v>FF</v>
      </c>
      <c r="I25" s="3" t="str">
        <f t="shared" si="13"/>
        <v>9C</v>
      </c>
      <c r="J25" s="3" t="s">
        <v>238</v>
      </c>
      <c r="K25" s="3"/>
      <c r="L25" s="3" t="str">
        <f t="shared" si="14"/>
        <v>01</v>
      </c>
      <c r="M25" s="3" t="str">
        <f t="shared" si="15"/>
        <v>F4</v>
      </c>
      <c r="N25" s="3" t="s">
        <v>1</v>
      </c>
      <c r="O25" s="228"/>
      <c r="P25" s="228"/>
      <c r="Q25" s="229"/>
      <c r="R25" s="85" t="str">
        <f t="shared" si="18"/>
        <v>DB</v>
      </c>
      <c r="S25" s="11" t="s">
        <v>5</v>
      </c>
      <c r="T25" s="49" t="str">
        <f t="shared" si="16"/>
        <v>aa 00 09 23 03 12 FF 9C 0a 01 F4 00 DB 55</v>
      </c>
      <c r="U25" s="41">
        <v>-100</v>
      </c>
      <c r="V25" s="41">
        <v>500</v>
      </c>
      <c r="W25" s="341"/>
      <c r="Y25" s="84" t="s">
        <v>0</v>
      </c>
      <c r="Z25" s="75" t="s">
        <v>1</v>
      </c>
      <c r="AA25" s="75" t="s">
        <v>8</v>
      </c>
      <c r="AB25" s="76" t="s">
        <v>429</v>
      </c>
      <c r="AC25" s="76" t="s">
        <v>1</v>
      </c>
      <c r="AD25" s="76" t="s">
        <v>70</v>
      </c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84" t="str">
        <f>DEC2HEX(MOD(HEX2DEC(Z25)+HEX2DEC(AA25)+HEX2DEC(AB25)+HEX2DEC(AC25)+HEX2DEC(AD25)+HEX2DEC(AE25)+HEX2DEC(AF25)+HEX2DEC(AG25)+HEX2DEC(AH25)+HEX2DEC(AI25)+HEX2DEC(AJ25)+HEX2DEC(AK25)+HEX2DEC(AN25),256),2)</f>
        <v>85</v>
      </c>
      <c r="AP25" s="84" t="s">
        <v>5</v>
      </c>
      <c r="AQ25" s="55" t="str">
        <f>IF(ISBLANK(Y25),,Y25&amp;" ")&amp;IF(ISBLANK(Z25),,Z25&amp;" ")&amp;IF(ISBLANK(AA25),,AA25&amp;" ")&amp;IF(ISBLANK(AB25),,AB25&amp;" ")&amp;IF(ISBLANK(AC25),,AC25&amp;" ")&amp;IF(ISBLANK(AD25),,AD25&amp;" ")&amp;IF(ISBLANK(AE25),,AE25&amp;" ")&amp;IF(ISBLANK(AF25),,AF25&amp;" ")&amp;IF(ISBLANK(AG25),,AG25&amp;" ")&amp;IF(ISBLANK(AH25),,AH25&amp;" ")&amp;IF(ISBLANK(AI25),,AI25&amp;" ")&amp;IF(ISBLANK(AJ25),,AJ25&amp;" ")&amp;IF(ISBLANK(AK25),,AK25&amp;" ")&amp;IF(ISBLANK(AN25),,AN25&amp;" ")&amp;IF(ISBLANK(AO25),,AO25&amp;" ")&amp;IF(ISBLANK(AP25),,AP25)</f>
        <v>aa 00 03 72 00 10 85 55</v>
      </c>
      <c r="AR25" s="440" t="s">
        <v>426</v>
      </c>
      <c r="AS25" s="440"/>
      <c r="AT25" s="440"/>
      <c r="AU25" s="440"/>
      <c r="AV25" s="440"/>
      <c r="AW25" s="440"/>
      <c r="AX25" s="440"/>
      <c r="AY25" s="440"/>
    </row>
    <row r="26" spans="2:51" ht="14.1" customHeight="1" thickBot="1" x14ac:dyDescent="0.3">
      <c r="B26" s="10" t="s">
        <v>0</v>
      </c>
      <c r="C26" s="1" t="s">
        <v>1</v>
      </c>
      <c r="D26" s="46" t="str">
        <f t="shared" si="17"/>
        <v>09</v>
      </c>
      <c r="E26" s="2" t="s">
        <v>71</v>
      </c>
      <c r="F26" s="2" t="s">
        <v>18</v>
      </c>
      <c r="G26" s="2" t="s">
        <v>17</v>
      </c>
      <c r="H26" s="3" t="str">
        <f t="shared" si="12"/>
        <v>FD</v>
      </c>
      <c r="I26" s="3" t="str">
        <f t="shared" si="13"/>
        <v>A8</v>
      </c>
      <c r="J26" s="3" t="s">
        <v>238</v>
      </c>
      <c r="K26" s="3"/>
      <c r="L26" s="3" t="str">
        <f t="shared" si="14"/>
        <v>01</v>
      </c>
      <c r="M26" s="3" t="str">
        <f t="shared" si="15"/>
        <v>F4</v>
      </c>
      <c r="N26" s="3" t="s">
        <v>1</v>
      </c>
      <c r="O26" s="228"/>
      <c r="P26" s="228"/>
      <c r="Q26" s="229"/>
      <c r="R26" s="85" t="str">
        <f t="shared" si="18"/>
        <v>E6</v>
      </c>
      <c r="S26" s="11" t="s">
        <v>5</v>
      </c>
      <c r="T26" s="49" t="str">
        <f t="shared" si="16"/>
        <v>aa 00 09 23 04 12 FD A8 0a 01 F4 00 E6 55</v>
      </c>
      <c r="U26" s="41">
        <v>-600</v>
      </c>
      <c r="V26" s="41">
        <v>500</v>
      </c>
      <c r="W26" s="341"/>
      <c r="Y26" s="84" t="s">
        <v>0</v>
      </c>
      <c r="Z26" s="75" t="s">
        <v>1</v>
      </c>
      <c r="AA26" s="75" t="s">
        <v>430</v>
      </c>
      <c r="AB26" s="76" t="s">
        <v>429</v>
      </c>
      <c r="AC26" s="76" t="s">
        <v>1</v>
      </c>
      <c r="AD26" s="76" t="s">
        <v>28</v>
      </c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84" t="str">
        <f>DEC2HEX(MOD(HEX2DEC(Z26)+HEX2DEC(AA26)+HEX2DEC(AB26)+HEX2DEC(AC26)+HEX2DEC(AD26)+HEX2DEC(AE26)+HEX2DEC(AF26)+HEX2DEC(AG26)+HEX2DEC(AH26)+HEX2DEC(AI26)+HEX2DEC(AJ26)+HEX2DEC(AK26)+HEX2DEC(AN26),256),2)</f>
        <v>86</v>
      </c>
      <c r="AP26" s="84" t="s">
        <v>5</v>
      </c>
      <c r="AQ26" s="55" t="str">
        <f>IF(ISBLANK(Y26),,Y26&amp;" ")&amp;IF(ISBLANK(Z26),,Z26&amp;" ")&amp;IF(ISBLANK(AA26),,AA26&amp;" ")&amp;IF(ISBLANK(AB26),,AB26&amp;" ")&amp;IF(ISBLANK(AC26),,AC26&amp;" ")&amp;IF(ISBLANK(AD26),,AD26&amp;" ")&amp;IF(ISBLANK(AE26),,AE26&amp;" ")&amp;IF(ISBLANK(AF26),,AF26&amp;" ")&amp;IF(ISBLANK(AG26),,AG26&amp;" ")&amp;IF(ISBLANK(AH26),,AH26&amp;" ")&amp;IF(ISBLANK(AI26),,AI26&amp;" ")&amp;IF(ISBLANK(AJ26),,AJ26&amp;" ")&amp;IF(ISBLANK(AK26),,AK26&amp;" ")&amp;IF(ISBLANK(AN26),,AN26&amp;" ")&amp;IF(ISBLANK(AO26),,AO26&amp;" ")&amp;IF(ISBLANK(AP26),,AP26)</f>
        <v>aa 00 03 72 00 11 86 55</v>
      </c>
      <c r="AR26" s="440" t="s">
        <v>427</v>
      </c>
      <c r="AS26" s="440"/>
      <c r="AT26" s="440"/>
      <c r="AU26" s="440"/>
      <c r="AV26" s="440"/>
      <c r="AW26" s="440"/>
      <c r="AX26" s="440"/>
      <c r="AY26" s="440"/>
    </row>
    <row r="27" spans="2:51" ht="14.1" customHeight="1" thickBot="1" x14ac:dyDescent="0.3">
      <c r="B27" s="10" t="s">
        <v>0</v>
      </c>
      <c r="C27" s="1" t="s">
        <v>1</v>
      </c>
      <c r="D27" s="46" t="str">
        <f t="shared" si="17"/>
        <v>09</v>
      </c>
      <c r="E27" s="2" t="s">
        <v>71</v>
      </c>
      <c r="F27" s="2" t="s">
        <v>122</v>
      </c>
      <c r="G27" s="2" t="s">
        <v>17</v>
      </c>
      <c r="H27" s="3" t="str">
        <f t="shared" si="12"/>
        <v>FF</v>
      </c>
      <c r="I27" s="3" t="str">
        <f t="shared" si="13"/>
        <v>B0</v>
      </c>
      <c r="J27" s="3" t="s">
        <v>238</v>
      </c>
      <c r="K27" s="3"/>
      <c r="L27" s="3" t="str">
        <f t="shared" si="14"/>
        <v>01</v>
      </c>
      <c r="M27" s="3" t="str">
        <f t="shared" si="15"/>
        <v>F4</v>
      </c>
      <c r="N27" s="3" t="s">
        <v>4</v>
      </c>
      <c r="O27" s="228"/>
      <c r="P27" s="228"/>
      <c r="Q27" s="229"/>
      <c r="R27" s="85" t="str">
        <f t="shared" si="18"/>
        <v>F2</v>
      </c>
      <c r="S27" s="11" t="s">
        <v>5</v>
      </c>
      <c r="T27" s="49" t="str">
        <f t="shared" si="16"/>
        <v>aa 00 09 23 05 12 FF B0 0a 01 F4 01 F2 55</v>
      </c>
      <c r="U27" s="41">
        <v>-80</v>
      </c>
      <c r="V27" s="41">
        <v>500</v>
      </c>
      <c r="W27" s="341"/>
    </row>
    <row r="28" spans="2:51" ht="14.1" customHeight="1" x14ac:dyDescent="0.25">
      <c r="B28" s="249" t="s">
        <v>0</v>
      </c>
      <c r="C28" s="250" t="s">
        <v>1</v>
      </c>
      <c r="D28" s="242" t="str">
        <f t="shared" si="17"/>
        <v>09</v>
      </c>
      <c r="E28" s="251" t="s">
        <v>71</v>
      </c>
      <c r="F28" s="251" t="s">
        <v>123</v>
      </c>
      <c r="G28" s="251" t="s">
        <v>17</v>
      </c>
      <c r="H28" s="252" t="str">
        <f t="shared" si="12"/>
        <v>FF</v>
      </c>
      <c r="I28" s="252" t="str">
        <f t="shared" si="13"/>
        <v>9C</v>
      </c>
      <c r="J28" s="252" t="s">
        <v>238</v>
      </c>
      <c r="K28" s="252"/>
      <c r="L28" s="252" t="str">
        <f t="shared" si="14"/>
        <v>01</v>
      </c>
      <c r="M28" s="252" t="str">
        <f t="shared" si="15"/>
        <v>F4</v>
      </c>
      <c r="N28" s="252" t="s">
        <v>1</v>
      </c>
      <c r="O28" s="253"/>
      <c r="P28" s="253"/>
      <c r="Q28" s="254"/>
      <c r="R28" s="241" t="str">
        <f t="shared" si="18"/>
        <v>DE</v>
      </c>
      <c r="S28" s="255" t="s">
        <v>5</v>
      </c>
      <c r="T28" s="243" t="str">
        <f t="shared" si="16"/>
        <v>aa 00 09 23 06 12 FF 9C 0a 01 F4 00 DE 55</v>
      </c>
      <c r="U28" s="256">
        <v>-100</v>
      </c>
      <c r="V28" s="256">
        <v>500</v>
      </c>
      <c r="W28" s="342"/>
    </row>
    <row r="29" spans="2:51" ht="14.1" customHeight="1" x14ac:dyDescent="0.25">
      <c r="B29" s="432" t="s">
        <v>296</v>
      </c>
      <c r="C29" s="432"/>
      <c r="D29" s="432"/>
      <c r="E29" s="432"/>
      <c r="F29" s="432"/>
      <c r="G29" s="432"/>
      <c r="H29" s="432"/>
      <c r="I29" s="432"/>
      <c r="J29" s="432"/>
      <c r="K29" s="432"/>
      <c r="L29" s="432"/>
      <c r="M29" s="432"/>
      <c r="N29" s="432"/>
      <c r="O29" s="432"/>
      <c r="P29" s="432"/>
      <c r="Q29" s="432"/>
      <c r="R29" s="432"/>
      <c r="S29" s="432"/>
      <c r="T29" s="432"/>
      <c r="U29" s="432"/>
      <c r="V29" s="432"/>
      <c r="W29" s="432"/>
      <c r="Y29" s="498" t="s">
        <v>476</v>
      </c>
      <c r="Z29" s="498"/>
      <c r="AA29" s="498"/>
      <c r="AB29" s="498"/>
      <c r="AC29" s="498"/>
      <c r="AD29" s="498"/>
      <c r="AE29" s="498"/>
      <c r="AF29" s="498"/>
      <c r="AG29" s="498"/>
      <c r="AH29" s="498"/>
      <c r="AI29" s="498"/>
      <c r="AJ29" s="498"/>
      <c r="AK29" s="498"/>
      <c r="AL29" s="498"/>
      <c r="AM29" s="498"/>
      <c r="AN29" s="498"/>
      <c r="AO29" s="498"/>
      <c r="AP29" s="498"/>
      <c r="AQ29" s="498"/>
      <c r="AR29" s="498"/>
      <c r="AS29" s="498"/>
      <c r="AT29" s="498"/>
      <c r="AU29" s="498"/>
      <c r="AV29" s="498"/>
      <c r="AW29" s="498"/>
      <c r="AX29" s="498"/>
      <c r="AY29" s="498"/>
    </row>
    <row r="30" spans="2:51" ht="14.1" customHeight="1" x14ac:dyDescent="0.25">
      <c r="B30" s="211"/>
      <c r="C30" s="9"/>
      <c r="D30" s="9"/>
      <c r="E30" s="8"/>
      <c r="F30" s="101" t="s">
        <v>354</v>
      </c>
      <c r="G30" s="8"/>
      <c r="H30" s="458" t="s">
        <v>242</v>
      </c>
      <c r="I30" s="476"/>
      <c r="J30" s="7" t="s">
        <v>73</v>
      </c>
      <c r="K30" s="7"/>
      <c r="L30" s="458" t="s">
        <v>74</v>
      </c>
      <c r="M30" s="459"/>
      <c r="N30" s="7" t="s">
        <v>75</v>
      </c>
      <c r="O30" s="225"/>
      <c r="P30" s="226"/>
      <c r="Q30" s="227"/>
      <c r="R30" s="227" t="s">
        <v>587</v>
      </c>
      <c r="S30" s="9"/>
      <c r="T30" s="9"/>
      <c r="U30" s="149" t="s">
        <v>76</v>
      </c>
      <c r="V30" s="473"/>
      <c r="W30" s="473"/>
      <c r="Y30" s="498"/>
      <c r="Z30" s="498"/>
      <c r="AA30" s="498"/>
      <c r="AB30" s="498"/>
      <c r="AC30" s="498"/>
      <c r="AD30" s="498"/>
      <c r="AE30" s="498"/>
      <c r="AF30" s="498"/>
      <c r="AG30" s="498"/>
      <c r="AH30" s="498"/>
      <c r="AI30" s="498"/>
      <c r="AJ30" s="498"/>
      <c r="AK30" s="498"/>
      <c r="AL30" s="498"/>
      <c r="AM30" s="498"/>
      <c r="AN30" s="498"/>
      <c r="AO30" s="498"/>
      <c r="AP30" s="498"/>
      <c r="AQ30" s="498"/>
      <c r="AR30" s="498"/>
      <c r="AS30" s="498"/>
      <c r="AT30" s="498"/>
      <c r="AU30" s="498"/>
      <c r="AV30" s="498"/>
      <c r="AW30" s="498"/>
      <c r="AX30" s="498"/>
      <c r="AY30" s="498"/>
    </row>
    <row r="31" spans="2:51" ht="14.1" customHeight="1" x14ac:dyDescent="0.25">
      <c r="B31" s="10" t="s">
        <v>0</v>
      </c>
      <c r="C31" s="1" t="s">
        <v>1</v>
      </c>
      <c r="D31" s="75" t="str">
        <f t="shared" ref="D31:D42" si="19">DEC2HEX( COUNTA(E31:Q31),2)</f>
        <v>08</v>
      </c>
      <c r="E31" s="2" t="s">
        <v>71</v>
      </c>
      <c r="F31" s="2" t="s">
        <v>7</v>
      </c>
      <c r="G31" s="2" t="s">
        <v>28</v>
      </c>
      <c r="H31" s="460" t="s">
        <v>614</v>
      </c>
      <c r="I31" s="461"/>
      <c r="J31" s="3" t="s">
        <v>611</v>
      </c>
      <c r="K31" s="3"/>
      <c r="L31" s="3" t="str">
        <f t="shared" ref="L31:L37" si="20">LEFT(RIGHT(DEC2HEX(U31,4),4),2)</f>
        <v>03</v>
      </c>
      <c r="M31" s="3" t="str">
        <f t="shared" ref="M31:M37" si="21">LEFT(RIGHT(DEC2HEX(U31,4),2),2)</f>
        <v>E8</v>
      </c>
      <c r="N31" s="3" t="s">
        <v>1</v>
      </c>
      <c r="O31" s="228"/>
      <c r="P31" s="228"/>
      <c r="Q31" s="229"/>
      <c r="R31" s="84" t="str">
        <f>DEC2HEX(MOD(HEX2DEC(C31)+HEX2DEC(D31)+HEX2DEC(E31)+HEX2DEC(F31)+HEX2DEC(G31)+HEX2DEC(H31)+HEX2DEC(I31)+HEX2DEC(J31)+HEX2DEC(K31)+HEX2DEC(L31)+HEX2DEC(M31)+HEX2DEC(N31)+HEX2DEC(O31)+HEX2DEC(P31)+HEX2DEC(Q31),256),2)</f>
        <v>3A</v>
      </c>
      <c r="S31" s="11" t="s">
        <v>5</v>
      </c>
      <c r="T31" s="55" t="str">
        <f t="shared" ref="T31:T42" si="22">IF(ISBLANK(B31),,B31&amp;" ")&amp;IF(ISBLANK(C31),,C31&amp;" ")&amp;IF(ISBLANK(D31),,D31&amp;" ")&amp;IF(ISBLANK(E31),,E31&amp;" ")&amp;IF(ISBLANK(F31),,F31&amp;" ")&amp;IF(ISBLANK(G31),,G31&amp;" ")&amp;IF(ISBLANK(H31),,H31&amp;" ")&amp;IF(ISBLANK(I31),,I31&amp;" ")&amp;IF(ISBLANK(J31),,J31&amp;" ")&amp;IF(ISBLANK(K31),,K31&amp;" ")&amp;IF(ISBLANK(L31),,L31&amp;" ")&amp;IF(ISBLANK(M31),,M31&amp;" ")&amp;IF(ISBLANK(N31),,N31&amp;" ")&amp;IF(ISBLANK(O31),,O31&amp;" ")&amp;IF(ISBLANK(P31),,P31&amp;" ")&amp;IF(ISBLANK(Q31),,Q31&amp;" ")&amp;IF(ISBLANK(R31),,R31&amp;" ")&amp;IF(ISBLANK(S31),,S31)</f>
        <v>aa 00 08 23 02 11 01 10 03 E8 00 3A 55</v>
      </c>
      <c r="U31" s="41">
        <v>1000</v>
      </c>
      <c r="V31" s="614" t="s">
        <v>528</v>
      </c>
      <c r="W31" s="614"/>
      <c r="Y31" s="435" t="s">
        <v>275</v>
      </c>
      <c r="Z31" s="435"/>
      <c r="AA31" s="435"/>
      <c r="AB31" s="435"/>
      <c r="AC31" s="435"/>
      <c r="AD31" s="435"/>
      <c r="AE31" s="435"/>
      <c r="AF31" s="435"/>
      <c r="AG31" s="435"/>
      <c r="AH31" s="435"/>
      <c r="AI31" s="435"/>
      <c r="AJ31" s="435"/>
      <c r="AK31" s="435"/>
      <c r="AL31" s="435"/>
      <c r="AM31" s="435"/>
      <c r="AN31" s="435"/>
      <c r="AO31" s="435"/>
      <c r="AP31" s="435"/>
      <c r="AQ31" s="142" t="s">
        <v>266</v>
      </c>
      <c r="AR31" s="480" t="s">
        <v>268</v>
      </c>
      <c r="AS31" s="481"/>
      <c r="AT31" s="481"/>
      <c r="AU31" s="481"/>
      <c r="AV31" s="481"/>
      <c r="AW31" s="481"/>
      <c r="AX31" s="481"/>
      <c r="AY31" s="482"/>
    </row>
    <row r="32" spans="2:51" ht="14.1" customHeight="1" x14ac:dyDescent="0.25">
      <c r="B32" s="10" t="s">
        <v>0</v>
      </c>
      <c r="C32" s="1" t="s">
        <v>1</v>
      </c>
      <c r="D32" s="75" t="str">
        <f t="shared" si="19"/>
        <v>08</v>
      </c>
      <c r="E32" s="2" t="s">
        <v>71</v>
      </c>
      <c r="F32" s="2" t="s">
        <v>559</v>
      </c>
      <c r="G32" s="2" t="s">
        <v>28</v>
      </c>
      <c r="H32" s="460" t="s">
        <v>15</v>
      </c>
      <c r="I32" s="461"/>
      <c r="J32" s="3" t="s">
        <v>611</v>
      </c>
      <c r="K32" s="3"/>
      <c r="L32" s="3" t="str">
        <f t="shared" si="20"/>
        <v>03</v>
      </c>
      <c r="M32" s="3" t="str">
        <f t="shared" si="21"/>
        <v>E8</v>
      </c>
      <c r="N32" s="3" t="s">
        <v>615</v>
      </c>
      <c r="O32" s="228"/>
      <c r="P32" s="228"/>
      <c r="Q32" s="229"/>
      <c r="R32" s="84" t="str">
        <f t="shared" ref="R32:R42" si="23">DEC2HEX(MOD(HEX2DEC(C32)+HEX2DEC(D32)+HEX2DEC(E32)+HEX2DEC(F32)+HEX2DEC(G32)+HEX2DEC(H32)+HEX2DEC(I32)+HEX2DEC(J32)+HEX2DEC(K32)+HEX2DEC(L32)+HEX2DEC(M32)+HEX2DEC(N32)+HEX2DEC(O32)+HEX2DEC(P32)+HEX2DEC(Q32),256),2)</f>
        <v>3B</v>
      </c>
      <c r="S32" s="11" t="s">
        <v>5</v>
      </c>
      <c r="T32" s="55" t="str">
        <f t="shared" si="22"/>
        <v>aa 00 08 23 02 11 02 10 03 E8 00 3B 55</v>
      </c>
      <c r="U32" s="41">
        <v>1000</v>
      </c>
      <c r="V32" s="614" t="s">
        <v>529</v>
      </c>
      <c r="W32" s="614"/>
      <c r="Y32" s="86" t="s">
        <v>77</v>
      </c>
      <c r="Z32" s="143" t="s">
        <v>78</v>
      </c>
      <c r="AA32" s="143" t="s">
        <v>10</v>
      </c>
      <c r="AB32" s="143" t="s">
        <v>79</v>
      </c>
      <c r="AC32" s="143" t="s">
        <v>80</v>
      </c>
      <c r="AD32" s="143" t="s">
        <v>11</v>
      </c>
      <c r="AE32" s="436" t="s">
        <v>83</v>
      </c>
      <c r="AF32" s="436"/>
      <c r="AG32" s="436"/>
      <c r="AH32" s="436"/>
      <c r="AI32" s="436"/>
      <c r="AJ32" s="436"/>
      <c r="AK32" s="436"/>
      <c r="AL32" s="436"/>
      <c r="AM32" s="436"/>
      <c r="AN32" s="436"/>
      <c r="AO32" s="83" t="s">
        <v>81</v>
      </c>
      <c r="AP32" s="83" t="s">
        <v>82</v>
      </c>
      <c r="AQ32" s="51" t="s">
        <v>276</v>
      </c>
      <c r="AR32" s="559" t="s">
        <v>6</v>
      </c>
      <c r="AS32" s="560"/>
      <c r="AT32" s="560"/>
      <c r="AU32" s="560"/>
      <c r="AV32" s="560"/>
      <c r="AW32" s="560"/>
      <c r="AX32" s="560"/>
      <c r="AY32" s="586"/>
    </row>
    <row r="33" spans="2:51" ht="14.1" customHeight="1" x14ac:dyDescent="0.25">
      <c r="B33" s="10" t="s">
        <v>0</v>
      </c>
      <c r="C33" s="1" t="s">
        <v>1</v>
      </c>
      <c r="D33" s="75" t="str">
        <f t="shared" si="19"/>
        <v>08</v>
      </c>
      <c r="E33" s="2" t="s">
        <v>71</v>
      </c>
      <c r="F33" s="2" t="s">
        <v>7</v>
      </c>
      <c r="G33" s="2" t="s">
        <v>28</v>
      </c>
      <c r="H33" s="460" t="s">
        <v>13</v>
      </c>
      <c r="I33" s="461"/>
      <c r="J33" s="3" t="s">
        <v>611</v>
      </c>
      <c r="K33" s="3"/>
      <c r="L33" s="3" t="str">
        <f t="shared" si="20"/>
        <v>03</v>
      </c>
      <c r="M33" s="3" t="str">
        <f t="shared" si="21"/>
        <v>E8</v>
      </c>
      <c r="N33" s="3" t="s">
        <v>1</v>
      </c>
      <c r="O33" s="228"/>
      <c r="P33" s="228"/>
      <c r="Q33" s="229"/>
      <c r="R33" s="84" t="str">
        <f t="shared" si="23"/>
        <v>3C</v>
      </c>
      <c r="S33" s="11" t="s">
        <v>5</v>
      </c>
      <c r="T33" s="55" t="str">
        <f t="shared" si="22"/>
        <v>aa 00 08 23 02 11 03 10 03 E8 00 3C 55</v>
      </c>
      <c r="U33" s="41">
        <v>1000</v>
      </c>
      <c r="V33" s="614" t="s">
        <v>530</v>
      </c>
      <c r="W33" s="614"/>
      <c r="Y33" s="84" t="s">
        <v>0</v>
      </c>
      <c r="Z33" s="75" t="s">
        <v>1</v>
      </c>
      <c r="AA33" s="75" t="s">
        <v>8</v>
      </c>
      <c r="AB33" s="76" t="s">
        <v>477</v>
      </c>
      <c r="AC33" s="76" t="s">
        <v>1</v>
      </c>
      <c r="AD33" s="76" t="s">
        <v>70</v>
      </c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84" t="str">
        <f t="shared" ref="AO33:AO43" si="24">DEC2HEX(MOD(HEX2DEC(Z33)+HEX2DEC(AA33)+HEX2DEC(AB33)+HEX2DEC(AC33)+HEX2DEC(AD33)+HEX2DEC(AE33)+HEX2DEC(AF33)+HEX2DEC(AG33)+HEX2DEC(AH33)+HEX2DEC(AI33)+HEX2DEC(AJ33)+HEX2DEC(AK33)+HEX2DEC(AN33),256),2)</f>
        <v>86</v>
      </c>
      <c r="AP33" s="84" t="s">
        <v>5</v>
      </c>
      <c r="AQ33" s="55" t="str">
        <f t="shared" ref="AQ33:AQ43" si="25">IF(ISBLANK(Y33),,Y33&amp;" ")&amp;IF(ISBLANK(Z33),,Z33&amp;" ")&amp;IF(ISBLANK(AA33),,AA33&amp;" ")&amp;IF(ISBLANK(AB33),,AB33&amp;" ")&amp;IF(ISBLANK(AC33),,AC33&amp;" ")&amp;IF(ISBLANK(AD33),,AD33&amp;" ")&amp;IF(ISBLANK(AE33),,AE33&amp;" ")&amp;IF(ISBLANK(AF33),,AF33&amp;" ")&amp;IF(ISBLANK(AG33),,AG33&amp;" ")&amp;IF(ISBLANK(AH33),,AH33&amp;" ")&amp;IF(ISBLANK(AI33),,AI33&amp;" ")&amp;IF(ISBLANK(AJ33),,AJ33&amp;" ")&amp;IF(ISBLANK(AK33),,AK33&amp;" ")&amp;IF(ISBLANK(AN33),,AN33&amp;" ")&amp;IF(ISBLANK(AO33),,AO33&amp;" ")&amp;IF(ISBLANK(AP33),,AP33)</f>
        <v>aa 00 03 73 00 10 86 55</v>
      </c>
      <c r="AR33" s="577" t="s">
        <v>479</v>
      </c>
      <c r="AS33" s="578"/>
      <c r="AT33" s="578"/>
      <c r="AU33" s="578"/>
      <c r="AV33" s="578"/>
      <c r="AW33" s="578"/>
      <c r="AX33" s="578"/>
      <c r="AY33" s="579"/>
    </row>
    <row r="34" spans="2:51" ht="14.1" customHeight="1" x14ac:dyDescent="0.25">
      <c r="B34" s="10" t="s">
        <v>0</v>
      </c>
      <c r="C34" s="1" t="s">
        <v>1</v>
      </c>
      <c r="D34" s="75" t="str">
        <f t="shared" si="19"/>
        <v>08</v>
      </c>
      <c r="E34" s="2" t="s">
        <v>71</v>
      </c>
      <c r="F34" s="2" t="s">
        <v>518</v>
      </c>
      <c r="G34" s="2" t="s">
        <v>28</v>
      </c>
      <c r="H34" s="460" t="s">
        <v>18</v>
      </c>
      <c r="I34" s="461"/>
      <c r="J34" s="3" t="s">
        <v>611</v>
      </c>
      <c r="K34" s="3"/>
      <c r="L34" s="3" t="str">
        <f t="shared" si="20"/>
        <v>03</v>
      </c>
      <c r="M34" s="3" t="str">
        <f t="shared" si="21"/>
        <v>E8</v>
      </c>
      <c r="N34" s="3" t="s">
        <v>1</v>
      </c>
      <c r="O34" s="228"/>
      <c r="P34" s="228"/>
      <c r="Q34" s="229"/>
      <c r="R34" s="84" t="str">
        <f t="shared" si="23"/>
        <v>3D</v>
      </c>
      <c r="S34" s="11" t="s">
        <v>5</v>
      </c>
      <c r="T34" s="55" t="str">
        <f t="shared" si="22"/>
        <v>aa 00 08 23 02 11 04 10 03 E8 00 3D 55</v>
      </c>
      <c r="U34" s="41">
        <v>1000</v>
      </c>
      <c r="V34" s="614" t="s">
        <v>531</v>
      </c>
      <c r="W34" s="614"/>
      <c r="Y34" s="84" t="s">
        <v>0</v>
      </c>
      <c r="Z34" s="75" t="s">
        <v>1</v>
      </c>
      <c r="AA34" s="75" t="s">
        <v>8</v>
      </c>
      <c r="AB34" s="76" t="s">
        <v>477</v>
      </c>
      <c r="AC34" s="76" t="s">
        <v>1</v>
      </c>
      <c r="AD34" s="76" t="s">
        <v>158</v>
      </c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84" t="str">
        <f t="shared" si="24"/>
        <v>87</v>
      </c>
      <c r="AP34" s="84" t="s">
        <v>5</v>
      </c>
      <c r="AQ34" s="55" t="str">
        <f t="shared" si="25"/>
        <v>aa 00 03 73 00 11 87 55</v>
      </c>
      <c r="AR34" s="577" t="s">
        <v>480</v>
      </c>
      <c r="AS34" s="578"/>
      <c r="AT34" s="578"/>
      <c r="AU34" s="578"/>
      <c r="AV34" s="578"/>
      <c r="AW34" s="578"/>
      <c r="AX34" s="578"/>
      <c r="AY34" s="579"/>
    </row>
    <row r="35" spans="2:51" ht="14.1" customHeight="1" x14ac:dyDescent="0.25">
      <c r="B35" s="10" t="s">
        <v>0</v>
      </c>
      <c r="C35" s="1" t="s">
        <v>1</v>
      </c>
      <c r="D35" s="75" t="str">
        <f t="shared" si="19"/>
        <v>08</v>
      </c>
      <c r="E35" s="2" t="s">
        <v>71</v>
      </c>
      <c r="F35" s="2" t="s">
        <v>518</v>
      </c>
      <c r="G35" s="2" t="s">
        <v>28</v>
      </c>
      <c r="H35" s="460" t="s">
        <v>122</v>
      </c>
      <c r="I35" s="461"/>
      <c r="J35" s="3" t="s">
        <v>611</v>
      </c>
      <c r="K35" s="3"/>
      <c r="L35" s="3" t="str">
        <f t="shared" si="20"/>
        <v>03</v>
      </c>
      <c r="M35" s="3" t="str">
        <f t="shared" si="21"/>
        <v>E8</v>
      </c>
      <c r="N35" s="3" t="s">
        <v>1</v>
      </c>
      <c r="O35" s="228"/>
      <c r="P35" s="228"/>
      <c r="Q35" s="229"/>
      <c r="R35" s="84" t="str">
        <f t="shared" si="23"/>
        <v>3E</v>
      </c>
      <c r="S35" s="11" t="s">
        <v>5</v>
      </c>
      <c r="T35" s="55" t="str">
        <f t="shared" si="22"/>
        <v>aa 00 08 23 02 11 05 10 03 E8 00 3E 55</v>
      </c>
      <c r="U35" s="41">
        <v>1000</v>
      </c>
      <c r="V35" s="614" t="s">
        <v>532</v>
      </c>
      <c r="W35" s="614"/>
      <c r="Y35" s="84" t="s">
        <v>0</v>
      </c>
      <c r="Z35" s="75" t="s">
        <v>1</v>
      </c>
      <c r="AA35" s="75" t="s">
        <v>8</v>
      </c>
      <c r="AB35" s="76" t="s">
        <v>477</v>
      </c>
      <c r="AC35" s="76" t="s">
        <v>1</v>
      </c>
      <c r="AD35" s="76" t="s">
        <v>159</v>
      </c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84" t="str">
        <f t="shared" si="24"/>
        <v>88</v>
      </c>
      <c r="AP35" s="84" t="s">
        <v>5</v>
      </c>
      <c r="AQ35" s="55" t="str">
        <f t="shared" si="25"/>
        <v>aa 00 03 73 00 12 88 55</v>
      </c>
      <c r="AR35" s="577" t="s">
        <v>501</v>
      </c>
      <c r="AS35" s="578"/>
      <c r="AT35" s="578"/>
      <c r="AU35" s="578"/>
      <c r="AV35" s="578"/>
      <c r="AW35" s="578"/>
      <c r="AX35" s="578"/>
      <c r="AY35" s="579"/>
    </row>
    <row r="36" spans="2:51" ht="14.1" customHeight="1" x14ac:dyDescent="0.25">
      <c r="B36" s="10" t="s">
        <v>0</v>
      </c>
      <c r="C36" s="1" t="s">
        <v>1</v>
      </c>
      <c r="D36" s="75" t="str">
        <f t="shared" si="19"/>
        <v>08</v>
      </c>
      <c r="E36" s="2" t="s">
        <v>71</v>
      </c>
      <c r="F36" s="2" t="s">
        <v>518</v>
      </c>
      <c r="G36" s="2" t="s">
        <v>28</v>
      </c>
      <c r="H36" s="460" t="s">
        <v>123</v>
      </c>
      <c r="I36" s="461"/>
      <c r="J36" s="3" t="s">
        <v>611</v>
      </c>
      <c r="K36" s="3"/>
      <c r="L36" s="3" t="str">
        <f t="shared" si="20"/>
        <v>03</v>
      </c>
      <c r="M36" s="3" t="str">
        <f t="shared" si="21"/>
        <v>E8</v>
      </c>
      <c r="N36" s="3" t="s">
        <v>1</v>
      </c>
      <c r="O36" s="228"/>
      <c r="P36" s="228"/>
      <c r="Q36" s="229"/>
      <c r="R36" s="84" t="str">
        <f t="shared" si="23"/>
        <v>3F</v>
      </c>
      <c r="S36" s="11" t="s">
        <v>5</v>
      </c>
      <c r="T36" s="55" t="str">
        <f t="shared" si="22"/>
        <v>aa 00 08 23 02 11 06 10 03 E8 00 3F 55</v>
      </c>
      <c r="U36" s="41">
        <v>1000</v>
      </c>
      <c r="V36" s="614" t="s">
        <v>533</v>
      </c>
      <c r="W36" s="614"/>
      <c r="Y36" s="84" t="s">
        <v>0</v>
      </c>
      <c r="Z36" s="75" t="s">
        <v>1</v>
      </c>
      <c r="AA36" s="75" t="s">
        <v>8</v>
      </c>
      <c r="AB36" s="76" t="s">
        <v>477</v>
      </c>
      <c r="AC36" s="76" t="s">
        <v>1</v>
      </c>
      <c r="AD36" s="76" t="s">
        <v>160</v>
      </c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84" t="str">
        <f t="shared" si="24"/>
        <v>89</v>
      </c>
      <c r="AP36" s="84" t="s">
        <v>5</v>
      </c>
      <c r="AQ36" s="55" t="str">
        <f t="shared" si="25"/>
        <v>aa 00 03 73 00 13 89 55</v>
      </c>
      <c r="AR36" s="577" t="s">
        <v>487</v>
      </c>
      <c r="AS36" s="578"/>
      <c r="AT36" s="578"/>
      <c r="AU36" s="578"/>
      <c r="AV36" s="578"/>
      <c r="AW36" s="578"/>
      <c r="AX36" s="578"/>
      <c r="AY36" s="579"/>
    </row>
    <row r="37" spans="2:51" ht="14.1" customHeight="1" x14ac:dyDescent="0.25">
      <c r="B37" s="10" t="s">
        <v>0</v>
      </c>
      <c r="C37" s="1" t="s">
        <v>1</v>
      </c>
      <c r="D37" s="75" t="str">
        <f t="shared" ref="D37" si="26">DEC2HEX( COUNTA(E37:Q37),2)</f>
        <v>08</v>
      </c>
      <c r="E37" s="2" t="s">
        <v>71</v>
      </c>
      <c r="F37" s="2" t="s">
        <v>518</v>
      </c>
      <c r="G37" s="2" t="s">
        <v>28</v>
      </c>
      <c r="H37" s="460" t="s">
        <v>124</v>
      </c>
      <c r="I37" s="461"/>
      <c r="J37" s="3" t="s">
        <v>611</v>
      </c>
      <c r="K37" s="3"/>
      <c r="L37" s="3" t="str">
        <f t="shared" si="20"/>
        <v>03</v>
      </c>
      <c r="M37" s="3" t="str">
        <f t="shared" si="21"/>
        <v>E8</v>
      </c>
      <c r="N37" s="3" t="s">
        <v>1</v>
      </c>
      <c r="O37" s="228"/>
      <c r="P37" s="228"/>
      <c r="Q37" s="229"/>
      <c r="R37" s="84" t="str">
        <f t="shared" ref="R37" si="27">DEC2HEX(MOD(HEX2DEC(C37)+HEX2DEC(D37)+HEX2DEC(E37)+HEX2DEC(F37)+HEX2DEC(G37)+HEX2DEC(H37)+HEX2DEC(I37)+HEX2DEC(J37)+HEX2DEC(K37)+HEX2DEC(L37)+HEX2DEC(M37)+HEX2DEC(N37)+HEX2DEC(O37)+HEX2DEC(P37)+HEX2DEC(Q37),256),2)</f>
        <v>40</v>
      </c>
      <c r="S37" s="11" t="s">
        <v>5</v>
      </c>
      <c r="T37" s="55" t="str">
        <f t="shared" ref="T37" si="28">IF(ISBLANK(B37),,B37&amp;" ")&amp;IF(ISBLANK(C37),,C37&amp;" ")&amp;IF(ISBLANK(D37),,D37&amp;" ")&amp;IF(ISBLANK(E37),,E37&amp;" ")&amp;IF(ISBLANK(F37),,F37&amp;" ")&amp;IF(ISBLANK(G37),,G37&amp;" ")&amp;IF(ISBLANK(H37),,H37&amp;" ")&amp;IF(ISBLANK(I37),,I37&amp;" ")&amp;IF(ISBLANK(J37),,J37&amp;" ")&amp;IF(ISBLANK(K37),,K37&amp;" ")&amp;IF(ISBLANK(L37),,L37&amp;" ")&amp;IF(ISBLANK(M37),,M37&amp;" ")&amp;IF(ISBLANK(N37),,N37&amp;" ")&amp;IF(ISBLANK(O37),,O37&amp;" ")&amp;IF(ISBLANK(P37),,P37&amp;" ")&amp;IF(ISBLANK(Q37),,Q37&amp;" ")&amp;IF(ISBLANK(R37),,R37&amp;" ")&amp;IF(ISBLANK(S37),,S37)</f>
        <v>aa 00 08 23 02 11 07 10 03 E8 00 40 55</v>
      </c>
      <c r="U37" s="41">
        <v>1000</v>
      </c>
      <c r="V37" s="614" t="s">
        <v>695</v>
      </c>
      <c r="W37" s="614"/>
      <c r="Y37" s="84" t="s">
        <v>0</v>
      </c>
      <c r="Z37" s="75" t="s">
        <v>1</v>
      </c>
      <c r="AA37" s="75" t="s">
        <v>8</v>
      </c>
      <c r="AB37" s="76" t="s">
        <v>477</v>
      </c>
      <c r="AC37" s="76" t="s">
        <v>1</v>
      </c>
      <c r="AD37" s="76" t="s">
        <v>478</v>
      </c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84" t="str">
        <f t="shared" si="24"/>
        <v>96</v>
      </c>
      <c r="AP37" s="84" t="s">
        <v>5</v>
      </c>
      <c r="AQ37" s="55" t="str">
        <f t="shared" si="25"/>
        <v>aa 00 03 73 00 20 96 55</v>
      </c>
      <c r="AR37" s="577" t="s">
        <v>481</v>
      </c>
      <c r="AS37" s="578"/>
      <c r="AT37" s="578"/>
      <c r="AU37" s="578"/>
      <c r="AV37" s="578"/>
      <c r="AW37" s="578"/>
      <c r="AX37" s="578"/>
      <c r="AY37" s="579"/>
    </row>
    <row r="38" spans="2:51" ht="14.1" customHeight="1" x14ac:dyDescent="0.25">
      <c r="B38" s="10" t="s">
        <v>0</v>
      </c>
      <c r="C38" s="1" t="s">
        <v>1</v>
      </c>
      <c r="D38" s="75" t="str">
        <f t="shared" si="19"/>
        <v>08</v>
      </c>
      <c r="E38" s="2" t="s">
        <v>71</v>
      </c>
      <c r="F38" s="2" t="s">
        <v>518</v>
      </c>
      <c r="G38" s="2" t="s">
        <v>28</v>
      </c>
      <c r="H38" s="460" t="s">
        <v>125</v>
      </c>
      <c r="I38" s="461"/>
      <c r="J38" s="3" t="s">
        <v>611</v>
      </c>
      <c r="K38" s="3"/>
      <c r="L38" s="3" t="str">
        <f t="shared" ref="L38:L42" si="29">LEFT(RIGHT(DEC2HEX(U38,4),4),2)</f>
        <v>03</v>
      </c>
      <c r="M38" s="3" t="str">
        <f t="shared" ref="M38:M42" si="30">LEFT(RIGHT(DEC2HEX(U38,4),2),2)</f>
        <v>E8</v>
      </c>
      <c r="N38" s="3" t="s">
        <v>1</v>
      </c>
      <c r="O38" s="228"/>
      <c r="P38" s="228"/>
      <c r="Q38" s="229"/>
      <c r="R38" s="84" t="str">
        <f t="shared" si="23"/>
        <v>41</v>
      </c>
      <c r="S38" s="11" t="s">
        <v>5</v>
      </c>
      <c r="T38" s="55" t="str">
        <f t="shared" si="22"/>
        <v>aa 00 08 23 02 11 08 10 03 E8 00 41 55</v>
      </c>
      <c r="U38" s="41">
        <v>1000</v>
      </c>
      <c r="V38" s="614" t="s">
        <v>534</v>
      </c>
      <c r="W38" s="614"/>
      <c r="Y38" s="84" t="s">
        <v>0</v>
      </c>
      <c r="Z38" s="75" t="s">
        <v>1</v>
      </c>
      <c r="AA38" s="75" t="s">
        <v>8</v>
      </c>
      <c r="AB38" s="76" t="s">
        <v>477</v>
      </c>
      <c r="AC38" s="76" t="s">
        <v>1</v>
      </c>
      <c r="AD38" s="76" t="s">
        <v>168</v>
      </c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84" t="str">
        <f t="shared" si="24"/>
        <v>97</v>
      </c>
      <c r="AP38" s="84" t="s">
        <v>5</v>
      </c>
      <c r="AQ38" s="55" t="str">
        <f t="shared" si="25"/>
        <v>aa 00 03 73 00 21 97 55</v>
      </c>
      <c r="AR38" s="577" t="s">
        <v>482</v>
      </c>
      <c r="AS38" s="578"/>
      <c r="AT38" s="578"/>
      <c r="AU38" s="578"/>
      <c r="AV38" s="578"/>
      <c r="AW38" s="578"/>
      <c r="AX38" s="578"/>
      <c r="AY38" s="579"/>
    </row>
    <row r="39" spans="2:51" ht="14.1" customHeight="1" x14ac:dyDescent="0.25">
      <c r="B39" s="10" t="s">
        <v>0</v>
      </c>
      <c r="C39" s="1" t="s">
        <v>1</v>
      </c>
      <c r="D39" s="75" t="str">
        <f t="shared" si="19"/>
        <v>08</v>
      </c>
      <c r="E39" s="2" t="s">
        <v>71</v>
      </c>
      <c r="F39" s="2" t="s">
        <v>518</v>
      </c>
      <c r="G39" s="2" t="s">
        <v>28</v>
      </c>
      <c r="H39" s="460" t="s">
        <v>126</v>
      </c>
      <c r="I39" s="461"/>
      <c r="J39" s="3" t="s">
        <v>611</v>
      </c>
      <c r="K39" s="3"/>
      <c r="L39" s="3" t="str">
        <f t="shared" si="29"/>
        <v>03</v>
      </c>
      <c r="M39" s="3" t="str">
        <f t="shared" si="30"/>
        <v>E8</v>
      </c>
      <c r="N39" s="3" t="s">
        <v>1</v>
      </c>
      <c r="O39" s="228"/>
      <c r="P39" s="228"/>
      <c r="Q39" s="229"/>
      <c r="R39" s="84" t="str">
        <f t="shared" si="23"/>
        <v>42</v>
      </c>
      <c r="S39" s="11" t="s">
        <v>5</v>
      </c>
      <c r="T39" s="55" t="str">
        <f t="shared" si="22"/>
        <v>aa 00 08 23 02 11 09 10 03 E8 00 42 55</v>
      </c>
      <c r="U39" s="41">
        <v>1000</v>
      </c>
      <c r="V39" s="614" t="s">
        <v>535</v>
      </c>
      <c r="W39" s="614"/>
      <c r="Y39" s="84" t="s">
        <v>0</v>
      </c>
      <c r="Z39" s="75" t="s">
        <v>1</v>
      </c>
      <c r="AA39" s="75" t="s">
        <v>8</v>
      </c>
      <c r="AB39" s="76" t="s">
        <v>477</v>
      </c>
      <c r="AC39" s="76" t="s">
        <v>1</v>
      </c>
      <c r="AD39" s="76" t="s">
        <v>169</v>
      </c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84" t="str">
        <f t="shared" si="24"/>
        <v>98</v>
      </c>
      <c r="AP39" s="84" t="s">
        <v>5</v>
      </c>
      <c r="AQ39" s="55" t="str">
        <f t="shared" si="25"/>
        <v>aa 00 03 73 00 22 98 55</v>
      </c>
      <c r="AR39" s="577" t="s">
        <v>483</v>
      </c>
      <c r="AS39" s="578"/>
      <c r="AT39" s="578"/>
      <c r="AU39" s="578"/>
      <c r="AV39" s="578"/>
      <c r="AW39" s="578"/>
      <c r="AX39" s="578"/>
      <c r="AY39" s="579"/>
    </row>
    <row r="40" spans="2:51" ht="14.1" customHeight="1" x14ac:dyDescent="0.25">
      <c r="B40" s="10" t="s">
        <v>0</v>
      </c>
      <c r="C40" s="1" t="s">
        <v>1</v>
      </c>
      <c r="D40" s="75" t="str">
        <f t="shared" si="19"/>
        <v>08</v>
      </c>
      <c r="E40" s="2" t="s">
        <v>71</v>
      </c>
      <c r="F40" s="2" t="s">
        <v>518</v>
      </c>
      <c r="G40" s="2" t="s">
        <v>28</v>
      </c>
      <c r="H40" s="460" t="s">
        <v>696</v>
      </c>
      <c r="I40" s="461"/>
      <c r="J40" s="3" t="s">
        <v>611</v>
      </c>
      <c r="K40" s="3"/>
      <c r="L40" s="3" t="str">
        <f t="shared" si="29"/>
        <v>03</v>
      </c>
      <c r="M40" s="3" t="str">
        <f t="shared" si="30"/>
        <v>E8</v>
      </c>
      <c r="N40" s="3" t="s">
        <v>1</v>
      </c>
      <c r="O40" s="228"/>
      <c r="P40" s="228"/>
      <c r="Q40" s="229"/>
      <c r="R40" s="84" t="str">
        <f t="shared" si="23"/>
        <v>43</v>
      </c>
      <c r="S40" s="11" t="s">
        <v>5</v>
      </c>
      <c r="T40" s="55" t="str">
        <f t="shared" si="22"/>
        <v>aa 00 08 23 02 11 0A 10 03 E8 00 43 55</v>
      </c>
      <c r="U40" s="41">
        <v>1000</v>
      </c>
      <c r="V40" s="614" t="s">
        <v>536</v>
      </c>
      <c r="W40" s="614"/>
      <c r="Y40" s="84"/>
      <c r="Z40" s="75"/>
      <c r="AA40" s="75"/>
      <c r="AB40" s="76"/>
      <c r="AC40" s="76"/>
      <c r="AD40" s="76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84"/>
      <c r="AP40" s="84"/>
      <c r="AQ40" s="55"/>
      <c r="AR40" s="182"/>
      <c r="AS40" s="183"/>
      <c r="AT40" s="183"/>
      <c r="AU40" s="183"/>
      <c r="AV40" s="183"/>
      <c r="AW40" s="183"/>
      <c r="AX40" s="183"/>
      <c r="AY40" s="184"/>
    </row>
    <row r="41" spans="2:51" ht="14.1" customHeight="1" x14ac:dyDescent="0.25">
      <c r="B41" s="10" t="s">
        <v>0</v>
      </c>
      <c r="C41" s="1" t="s">
        <v>1</v>
      </c>
      <c r="D41" s="75" t="str">
        <f t="shared" si="19"/>
        <v>08</v>
      </c>
      <c r="E41" s="2" t="s">
        <v>71</v>
      </c>
      <c r="F41" s="2" t="s">
        <v>518</v>
      </c>
      <c r="G41" s="2" t="s">
        <v>28</v>
      </c>
      <c r="H41" s="460" t="s">
        <v>697</v>
      </c>
      <c r="I41" s="461"/>
      <c r="J41" s="3" t="s">
        <v>540</v>
      </c>
      <c r="K41" s="3"/>
      <c r="L41" s="3" t="str">
        <f t="shared" si="29"/>
        <v>03</v>
      </c>
      <c r="M41" s="3" t="str">
        <f t="shared" si="30"/>
        <v>E8</v>
      </c>
      <c r="N41" s="3" t="s">
        <v>1</v>
      </c>
      <c r="O41" s="228"/>
      <c r="P41" s="228"/>
      <c r="Q41" s="229"/>
      <c r="R41" s="84" t="str">
        <f t="shared" si="23"/>
        <v>44</v>
      </c>
      <c r="S41" s="11" t="s">
        <v>5</v>
      </c>
      <c r="T41" s="55" t="str">
        <f t="shared" si="22"/>
        <v>aa 00 08 23 02 11 0B 10 03 E8 00 44 55</v>
      </c>
      <c r="U41" s="41">
        <v>1000</v>
      </c>
      <c r="V41" s="614" t="s">
        <v>537</v>
      </c>
      <c r="W41" s="614"/>
      <c r="Y41" s="84" t="s">
        <v>0</v>
      </c>
      <c r="Z41" s="75" t="s">
        <v>1</v>
      </c>
      <c r="AA41" s="75" t="s">
        <v>8</v>
      </c>
      <c r="AB41" s="76" t="s">
        <v>477</v>
      </c>
      <c r="AC41" s="76" t="s">
        <v>1</v>
      </c>
      <c r="AD41" s="76" t="s">
        <v>170</v>
      </c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84" t="str">
        <f t="shared" si="24"/>
        <v>99</v>
      </c>
      <c r="AP41" s="84" t="s">
        <v>5</v>
      </c>
      <c r="AQ41" s="55" t="str">
        <f t="shared" si="25"/>
        <v>aa 00 03 73 00 23 99 55</v>
      </c>
      <c r="AR41" s="577" t="s">
        <v>484</v>
      </c>
      <c r="AS41" s="578"/>
      <c r="AT41" s="578"/>
      <c r="AU41" s="578"/>
      <c r="AV41" s="578"/>
      <c r="AW41" s="578"/>
      <c r="AX41" s="578"/>
      <c r="AY41" s="579"/>
    </row>
    <row r="42" spans="2:51" ht="14.1" customHeight="1" x14ac:dyDescent="0.25">
      <c r="B42" s="10" t="s">
        <v>0</v>
      </c>
      <c r="C42" s="1" t="s">
        <v>1</v>
      </c>
      <c r="D42" s="75" t="str">
        <f t="shared" si="19"/>
        <v>08</v>
      </c>
      <c r="E42" s="2" t="s">
        <v>71</v>
      </c>
      <c r="F42" s="2" t="s">
        <v>518</v>
      </c>
      <c r="G42" s="2" t="s">
        <v>28</v>
      </c>
      <c r="H42" s="460" t="s">
        <v>698</v>
      </c>
      <c r="I42" s="461"/>
      <c r="J42" s="3" t="s">
        <v>540</v>
      </c>
      <c r="K42" s="3"/>
      <c r="L42" s="3" t="str">
        <f t="shared" si="29"/>
        <v>05</v>
      </c>
      <c r="M42" s="3" t="str">
        <f t="shared" si="30"/>
        <v>DC</v>
      </c>
      <c r="N42" s="3" t="s">
        <v>1</v>
      </c>
      <c r="O42" s="228"/>
      <c r="P42" s="228"/>
      <c r="Q42" s="229"/>
      <c r="R42" s="84" t="str">
        <f t="shared" si="23"/>
        <v>3B</v>
      </c>
      <c r="S42" s="11" t="s">
        <v>5</v>
      </c>
      <c r="T42" s="55" t="str">
        <f t="shared" si="22"/>
        <v>aa 00 08 23 02 11 0C 10 05 DC 00 3B 55</v>
      </c>
      <c r="U42" s="41">
        <v>1500</v>
      </c>
      <c r="V42" s="614" t="s">
        <v>538</v>
      </c>
      <c r="W42" s="614"/>
      <c r="Y42" s="84" t="s">
        <v>0</v>
      </c>
      <c r="Z42" s="75" t="s">
        <v>1</v>
      </c>
      <c r="AA42" s="75" t="s">
        <v>8</v>
      </c>
      <c r="AB42" s="76" t="s">
        <v>477</v>
      </c>
      <c r="AC42" s="76" t="s">
        <v>1</v>
      </c>
      <c r="AD42" s="76" t="s">
        <v>171</v>
      </c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84" t="str">
        <f t="shared" si="24"/>
        <v>9A</v>
      </c>
      <c r="AP42" s="84" t="s">
        <v>5</v>
      </c>
      <c r="AQ42" s="55" t="str">
        <f t="shared" si="25"/>
        <v>aa 00 03 73 00 24 9A 55</v>
      </c>
      <c r="AR42" s="577" t="s">
        <v>485</v>
      </c>
      <c r="AS42" s="578"/>
      <c r="AT42" s="578"/>
      <c r="AU42" s="578"/>
      <c r="AV42" s="578"/>
      <c r="AW42" s="578"/>
      <c r="AX42" s="578"/>
      <c r="AY42" s="579"/>
    </row>
    <row r="43" spans="2:51" ht="14.1" customHeight="1" x14ac:dyDescent="0.25">
      <c r="B43" s="627" t="s">
        <v>245</v>
      </c>
      <c r="C43" s="627"/>
      <c r="D43" s="627"/>
      <c r="E43" s="627"/>
      <c r="F43" s="627"/>
      <c r="G43" s="627"/>
      <c r="H43" s="627"/>
      <c r="I43" s="627"/>
      <c r="J43" s="627"/>
      <c r="K43" s="627"/>
      <c r="L43" s="627"/>
      <c r="M43" s="627"/>
      <c r="N43" s="627"/>
      <c r="O43" s="627"/>
      <c r="P43" s="627"/>
      <c r="Q43" s="627"/>
      <c r="R43" s="627"/>
      <c r="S43" s="627"/>
      <c r="T43" s="627"/>
      <c r="U43" s="627"/>
      <c r="V43" s="627"/>
      <c r="W43" s="627"/>
      <c r="Y43" s="84" t="s">
        <v>0</v>
      </c>
      <c r="Z43" s="75" t="s">
        <v>1</v>
      </c>
      <c r="AA43" s="75" t="s">
        <v>8</v>
      </c>
      <c r="AB43" s="76" t="s">
        <v>477</v>
      </c>
      <c r="AC43" s="76" t="s">
        <v>1</v>
      </c>
      <c r="AD43" s="76" t="s">
        <v>172</v>
      </c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84" t="str">
        <f t="shared" si="24"/>
        <v>9B</v>
      </c>
      <c r="AP43" s="84" t="s">
        <v>5</v>
      </c>
      <c r="AQ43" s="55" t="str">
        <f t="shared" si="25"/>
        <v>aa 00 03 73 00 25 9B 55</v>
      </c>
      <c r="AR43" s="577" t="s">
        <v>486</v>
      </c>
      <c r="AS43" s="578"/>
      <c r="AT43" s="578"/>
      <c r="AU43" s="578"/>
      <c r="AV43" s="578"/>
      <c r="AW43" s="578"/>
      <c r="AX43" s="578"/>
      <c r="AY43" s="579"/>
    </row>
    <row r="44" spans="2:51" ht="14.1" customHeight="1" x14ac:dyDescent="0.25">
      <c r="B44" s="211"/>
      <c r="C44" s="9"/>
      <c r="D44" s="9"/>
      <c r="E44" s="8"/>
      <c r="F44" s="7" t="s">
        <v>86</v>
      </c>
      <c r="G44" s="8"/>
      <c r="H44" s="628" t="s">
        <v>242</v>
      </c>
      <c r="I44" s="629"/>
      <c r="J44" s="7" t="s">
        <v>73</v>
      </c>
      <c r="K44" s="7"/>
      <c r="L44" s="458" t="s">
        <v>74</v>
      </c>
      <c r="M44" s="459"/>
      <c r="N44" s="7" t="s">
        <v>75</v>
      </c>
      <c r="O44" s="225"/>
      <c r="P44" s="226"/>
      <c r="Q44" s="227"/>
      <c r="R44" s="227" t="s">
        <v>588</v>
      </c>
      <c r="S44" s="9"/>
      <c r="T44" s="9"/>
      <c r="U44" s="149" t="s">
        <v>76</v>
      </c>
      <c r="V44" s="473"/>
      <c r="W44" s="473"/>
    </row>
    <row r="45" spans="2:51" ht="12.9" customHeight="1" thickBot="1" x14ac:dyDescent="0.3">
      <c r="B45" s="10" t="s">
        <v>0</v>
      </c>
      <c r="C45" s="1" t="s">
        <v>1</v>
      </c>
      <c r="D45" s="46" t="str">
        <f t="shared" ref="D45:D51" si="31">DEC2HEX( COUNTA(E45:Q45),2)</f>
        <v>08</v>
      </c>
      <c r="E45" s="2" t="s">
        <v>71</v>
      </c>
      <c r="F45" s="2" t="s">
        <v>4</v>
      </c>
      <c r="G45" s="2" t="s">
        <v>28</v>
      </c>
      <c r="H45" s="612" t="s">
        <v>243</v>
      </c>
      <c r="I45" s="613"/>
      <c r="J45" s="3" t="s">
        <v>581</v>
      </c>
      <c r="K45" s="3"/>
      <c r="L45" s="3" t="str">
        <f t="shared" ref="L45:L48" si="32">LEFT(RIGHT(DEC2HEX(U45,4),4),2)</f>
        <v>01</v>
      </c>
      <c r="M45" s="3" t="str">
        <f t="shared" ref="M45:M48" si="33">LEFT(RIGHT(DEC2HEX(U45,4),2),2)</f>
        <v>F4</v>
      </c>
      <c r="N45" s="3" t="s">
        <v>1</v>
      </c>
      <c r="O45" s="228"/>
      <c r="P45" s="228"/>
      <c r="Q45" s="229"/>
      <c r="R45" s="85" t="str">
        <f t="shared" ref="R45:R55" si="34">DEC2HEX(MOD(HEX2DEC(C45)+HEX2DEC(D45)+HEX2DEC(E45)+HEX2DEC(F45)+HEX2DEC(G45)+HEX2DEC(H45)+HEX2DEC(I45)+HEX2DEC(J45)+HEX2DEC(K45)+HEX2DEC(L45)+HEX2DEC(M45)+HEX2DEC(N45)+HEX2DEC(O45)+HEX2DEC(P45)+HEX2DEC(Q45),256),2)</f>
        <v>43</v>
      </c>
      <c r="S45" s="11" t="s">
        <v>5</v>
      </c>
      <c r="T45" s="49" t="str">
        <f t="shared" ref="T45:T51" si="35">IF(ISBLANK(B45),,B45&amp;" ")&amp;IF(ISBLANK(C45),,C45&amp;" ")&amp;IF(ISBLANK(D45),,D45&amp;" ")&amp;IF(ISBLANK(E45),,E45&amp;" ")&amp;IF(ISBLANK(F45),,F45&amp;" ")&amp;IF(ISBLANK(G45),,G45&amp;" ")&amp;IF(ISBLANK(H45),,H45&amp;" ")&amp;IF(ISBLANK(I45),,I45&amp;" ")&amp;IF(ISBLANK(J45),,J45&amp;" ")&amp;IF(ISBLANK(K45),,K45&amp;" ")&amp;IF(ISBLANK(L45),,L45&amp;" ")&amp;IF(ISBLANK(M45),,M45&amp;" ")&amp;IF(ISBLANK(N45),,N45&amp;" ")&amp;IF(ISBLANK(O45),,O45&amp;" ")&amp;IF(ISBLANK(P45),,P45&amp;" ")&amp;IF(ISBLANK(Q45),,Q45&amp;" ")&amp;IF(ISBLANK(R45),,R45&amp;" ")&amp;IF(ISBLANK(S45),,S45)</f>
        <v>aa 00 08 23 01 11 01 10 01 F4 00 43 55</v>
      </c>
      <c r="U45" s="41">
        <v>500</v>
      </c>
      <c r="V45" s="614" t="s">
        <v>542</v>
      </c>
      <c r="W45" s="614"/>
    </row>
    <row r="46" spans="2:51" ht="12.9" customHeight="1" thickBot="1" x14ac:dyDescent="0.3">
      <c r="B46" s="10" t="s">
        <v>0</v>
      </c>
      <c r="C46" s="1" t="s">
        <v>1</v>
      </c>
      <c r="D46" s="46" t="str">
        <f t="shared" si="31"/>
        <v>08</v>
      </c>
      <c r="E46" s="2" t="s">
        <v>71</v>
      </c>
      <c r="F46" s="2" t="s">
        <v>4</v>
      </c>
      <c r="G46" s="2" t="s">
        <v>28</v>
      </c>
      <c r="H46" s="612" t="s">
        <v>15</v>
      </c>
      <c r="I46" s="613"/>
      <c r="J46" s="3" t="s">
        <v>592</v>
      </c>
      <c r="K46" s="3"/>
      <c r="L46" s="3" t="str">
        <f t="shared" si="32"/>
        <v>01</v>
      </c>
      <c r="M46" s="3" t="str">
        <f t="shared" si="33"/>
        <v>F4</v>
      </c>
      <c r="N46" s="3" t="s">
        <v>475</v>
      </c>
      <c r="O46" s="228"/>
      <c r="P46" s="228"/>
      <c r="Q46" s="229"/>
      <c r="R46" s="85" t="str">
        <f t="shared" si="34"/>
        <v>3D</v>
      </c>
      <c r="S46" s="11" t="s">
        <v>5</v>
      </c>
      <c r="T46" s="49" t="str">
        <f t="shared" si="35"/>
        <v>aa 00 08 23 01 11 02 08 01 F4 01 3D 55</v>
      </c>
      <c r="U46" s="41">
        <v>500</v>
      </c>
      <c r="V46" s="614" t="s">
        <v>699</v>
      </c>
      <c r="W46" s="614"/>
    </row>
    <row r="47" spans="2:51" ht="12.9" customHeight="1" thickBot="1" x14ac:dyDescent="0.3">
      <c r="B47" s="10" t="s">
        <v>0</v>
      </c>
      <c r="C47" s="1" t="s">
        <v>1</v>
      </c>
      <c r="D47" s="46" t="str">
        <f t="shared" si="31"/>
        <v>08</v>
      </c>
      <c r="E47" s="2" t="s">
        <v>71</v>
      </c>
      <c r="F47" s="2" t="s">
        <v>4</v>
      </c>
      <c r="G47" s="2" t="s">
        <v>28</v>
      </c>
      <c r="H47" s="612" t="s">
        <v>13</v>
      </c>
      <c r="I47" s="613"/>
      <c r="J47" s="3" t="s">
        <v>613</v>
      </c>
      <c r="K47" s="3"/>
      <c r="L47" s="3" t="str">
        <f t="shared" si="32"/>
        <v>01</v>
      </c>
      <c r="M47" s="3" t="str">
        <f t="shared" si="33"/>
        <v>F4</v>
      </c>
      <c r="N47" s="3" t="s">
        <v>1</v>
      </c>
      <c r="O47" s="228"/>
      <c r="P47" s="228"/>
      <c r="Q47" s="229"/>
      <c r="R47" s="85" t="str">
        <f t="shared" si="34"/>
        <v>42</v>
      </c>
      <c r="S47" s="11" t="s">
        <v>5</v>
      </c>
      <c r="T47" s="49" t="str">
        <f t="shared" si="35"/>
        <v>aa 00 08 23 01 11 03 0D 01 F4 00 42 55</v>
      </c>
      <c r="U47" s="41">
        <v>500</v>
      </c>
      <c r="V47" s="614" t="s">
        <v>700</v>
      </c>
      <c r="W47" s="614"/>
    </row>
    <row r="48" spans="2:51" ht="12.9" customHeight="1" thickBot="1" x14ac:dyDescent="0.3">
      <c r="B48" s="10" t="s">
        <v>0</v>
      </c>
      <c r="C48" s="1" t="s">
        <v>1</v>
      </c>
      <c r="D48" s="46" t="str">
        <f t="shared" si="31"/>
        <v>08</v>
      </c>
      <c r="E48" s="2" t="s">
        <v>71</v>
      </c>
      <c r="F48" s="2" t="s">
        <v>4</v>
      </c>
      <c r="G48" s="2" t="s">
        <v>28</v>
      </c>
      <c r="H48" s="612" t="s">
        <v>18</v>
      </c>
      <c r="I48" s="613"/>
      <c r="J48" s="3" t="s">
        <v>244</v>
      </c>
      <c r="K48" s="3"/>
      <c r="L48" s="3" t="str">
        <f t="shared" si="32"/>
        <v>01</v>
      </c>
      <c r="M48" s="3" t="str">
        <f t="shared" si="33"/>
        <v>F4</v>
      </c>
      <c r="N48" s="3" t="s">
        <v>1</v>
      </c>
      <c r="O48" s="228"/>
      <c r="P48" s="228"/>
      <c r="Q48" s="229"/>
      <c r="R48" s="85" t="str">
        <f t="shared" si="34"/>
        <v>4A</v>
      </c>
      <c r="S48" s="11" t="s">
        <v>5</v>
      </c>
      <c r="T48" s="49" t="str">
        <f t="shared" si="35"/>
        <v>aa 00 08 23 01 11 04 14 01 F4 00 4A 55</v>
      </c>
      <c r="U48" s="41">
        <v>500</v>
      </c>
      <c r="V48" s="615" t="s">
        <v>701</v>
      </c>
      <c r="W48" s="616"/>
    </row>
    <row r="49" spans="1:51" ht="12.9" customHeight="1" thickBot="1" x14ac:dyDescent="0.3">
      <c r="B49" s="10" t="s">
        <v>0</v>
      </c>
      <c r="C49" s="1" t="s">
        <v>1</v>
      </c>
      <c r="D49" s="46" t="str">
        <f t="shared" si="31"/>
        <v>08</v>
      </c>
      <c r="E49" s="2" t="s">
        <v>71</v>
      </c>
      <c r="F49" s="2" t="s">
        <v>4</v>
      </c>
      <c r="G49" s="2" t="s">
        <v>28</v>
      </c>
      <c r="H49" s="612" t="s">
        <v>122</v>
      </c>
      <c r="I49" s="617"/>
      <c r="J49" s="3" t="s">
        <v>657</v>
      </c>
      <c r="K49" s="3"/>
      <c r="L49" s="3" t="str">
        <f>LEFT(RIGHT(DEC2HEX(U49,4),4),2)</f>
        <v>01</v>
      </c>
      <c r="M49" s="3" t="str">
        <f>LEFT(RIGHT(DEC2HEX(U49,4),2),2)</f>
        <v>F4</v>
      </c>
      <c r="N49" s="3" t="s">
        <v>1</v>
      </c>
      <c r="O49" s="228"/>
      <c r="P49" s="228"/>
      <c r="Q49" s="228"/>
      <c r="R49" s="85" t="str">
        <f t="shared" si="34"/>
        <v>4B</v>
      </c>
      <c r="S49" s="11" t="s">
        <v>5</v>
      </c>
      <c r="T49" s="49" t="str">
        <f t="shared" si="35"/>
        <v>aa 00 08 23 01 11 05 14 01 F4 00 4B 55</v>
      </c>
      <c r="U49" s="41">
        <v>500</v>
      </c>
      <c r="V49" s="615" t="s">
        <v>702</v>
      </c>
      <c r="W49" s="616"/>
    </row>
    <row r="50" spans="1:51" ht="15" customHeight="1" thickBot="1" x14ac:dyDescent="0.3">
      <c r="B50" s="10" t="s">
        <v>0</v>
      </c>
      <c r="C50" s="1" t="s">
        <v>1</v>
      </c>
      <c r="D50" s="46" t="str">
        <f t="shared" ref="D50" si="36">DEC2HEX( COUNTA(E50:Q50),2)</f>
        <v>08</v>
      </c>
      <c r="E50" s="2" t="s">
        <v>71</v>
      </c>
      <c r="F50" s="2" t="s">
        <v>4</v>
      </c>
      <c r="G50" s="2" t="s">
        <v>28</v>
      </c>
      <c r="H50" s="612" t="s">
        <v>123</v>
      </c>
      <c r="I50" s="617"/>
      <c r="J50" s="3" t="s">
        <v>244</v>
      </c>
      <c r="K50" s="3"/>
      <c r="L50" s="3" t="str">
        <f>LEFT(RIGHT(DEC2HEX(U50,4),4),2)</f>
        <v>01</v>
      </c>
      <c r="M50" s="3" t="str">
        <f>LEFT(RIGHT(DEC2HEX(U50,4),2),2)</f>
        <v>F4</v>
      </c>
      <c r="N50" s="3" t="s">
        <v>1</v>
      </c>
      <c r="O50" s="228"/>
      <c r="P50" s="228"/>
      <c r="Q50" s="228"/>
      <c r="R50" s="85" t="str">
        <f t="shared" ref="R50" si="37">DEC2HEX(MOD(HEX2DEC(C50)+HEX2DEC(D50)+HEX2DEC(E50)+HEX2DEC(F50)+HEX2DEC(G50)+HEX2DEC(H50)+HEX2DEC(I50)+HEX2DEC(J50)+HEX2DEC(K50)+HEX2DEC(L50)+HEX2DEC(M50)+HEX2DEC(N50)+HEX2DEC(O50)+HEX2DEC(P50)+HEX2DEC(Q50),256),2)</f>
        <v>4C</v>
      </c>
      <c r="S50" s="11" t="s">
        <v>5</v>
      </c>
      <c r="T50" s="49" t="str">
        <f t="shared" ref="T50" si="38">IF(ISBLANK(B50),,B50&amp;" ")&amp;IF(ISBLANK(C50),,C50&amp;" ")&amp;IF(ISBLANK(D50),,D50&amp;" ")&amp;IF(ISBLANK(E50),,E50&amp;" ")&amp;IF(ISBLANK(F50),,F50&amp;" ")&amp;IF(ISBLANK(G50),,G50&amp;" ")&amp;IF(ISBLANK(H50),,H50&amp;" ")&amp;IF(ISBLANK(I50),,I50&amp;" ")&amp;IF(ISBLANK(J50),,J50&amp;" ")&amp;IF(ISBLANK(K50),,K50&amp;" ")&amp;IF(ISBLANK(L50),,L50&amp;" ")&amp;IF(ISBLANK(M50),,M50&amp;" ")&amp;IF(ISBLANK(N50),,N50&amp;" ")&amp;IF(ISBLANK(O50),,O50&amp;" ")&amp;IF(ISBLANK(P50),,P50&amp;" ")&amp;IF(ISBLANK(Q50),,Q50&amp;" ")&amp;IF(ISBLANK(R50),,R50&amp;" ")&amp;IF(ISBLANK(S50),,S50)</f>
        <v>aa 00 08 23 01 11 06 14 01 F4 00 4C 55</v>
      </c>
      <c r="U50" s="41">
        <v>500</v>
      </c>
      <c r="V50" s="615" t="s">
        <v>703</v>
      </c>
      <c r="W50" s="616"/>
    </row>
    <row r="51" spans="1:51" ht="15" customHeight="1" thickBot="1" x14ac:dyDescent="0.3">
      <c r="B51" s="10" t="s">
        <v>0</v>
      </c>
      <c r="C51" s="1" t="s">
        <v>1</v>
      </c>
      <c r="D51" s="46" t="str">
        <f t="shared" si="31"/>
        <v>08</v>
      </c>
      <c r="E51" s="2" t="s">
        <v>71</v>
      </c>
      <c r="F51" s="2" t="s">
        <v>4</v>
      </c>
      <c r="G51" s="2" t="s">
        <v>28</v>
      </c>
      <c r="H51" s="612" t="s">
        <v>123</v>
      </c>
      <c r="I51" s="617"/>
      <c r="J51" s="3" t="s">
        <v>244</v>
      </c>
      <c r="K51" s="3"/>
      <c r="L51" s="3" t="str">
        <f>LEFT(RIGHT(DEC2HEX(U51,4),4),2)</f>
        <v>01</v>
      </c>
      <c r="M51" s="3" t="str">
        <f>LEFT(RIGHT(DEC2HEX(U51,4),2),2)</f>
        <v>F4</v>
      </c>
      <c r="N51" s="3" t="s">
        <v>1</v>
      </c>
      <c r="O51" s="228"/>
      <c r="P51" s="228"/>
      <c r="Q51" s="228"/>
      <c r="R51" s="85" t="str">
        <f t="shared" si="34"/>
        <v>4C</v>
      </c>
      <c r="S51" s="11" t="s">
        <v>5</v>
      </c>
      <c r="T51" s="49" t="str">
        <f t="shared" si="35"/>
        <v>aa 00 08 23 01 11 06 14 01 F4 00 4C 55</v>
      </c>
      <c r="U51" s="41">
        <v>500</v>
      </c>
      <c r="V51" s="615" t="s">
        <v>704</v>
      </c>
      <c r="W51" s="616"/>
    </row>
    <row r="52" spans="1:51" ht="15" customHeight="1" x14ac:dyDescent="0.25"/>
    <row r="53" spans="1:51" ht="21.75" customHeight="1" thickBot="1" x14ac:dyDescent="0.3">
      <c r="B53" s="10" t="s">
        <v>0</v>
      </c>
      <c r="C53" s="1" t="s">
        <v>1</v>
      </c>
      <c r="D53" s="46" t="str">
        <f t="shared" ref="D53" si="39">DEC2HEX( COUNTA(E53:Q53),2)</f>
        <v>04</v>
      </c>
      <c r="E53" s="2" t="s">
        <v>71</v>
      </c>
      <c r="F53" s="2" t="s">
        <v>7</v>
      </c>
      <c r="G53" s="2" t="s">
        <v>36</v>
      </c>
      <c r="H53" s="612" t="s">
        <v>4</v>
      </c>
      <c r="I53" s="613"/>
      <c r="J53" s="3"/>
      <c r="K53" s="3"/>
      <c r="L53" s="3"/>
      <c r="M53" s="3"/>
      <c r="N53" s="3"/>
      <c r="O53" s="228"/>
      <c r="P53" s="228"/>
      <c r="Q53" s="229"/>
      <c r="R53" s="85" t="str">
        <f t="shared" si="34"/>
        <v>35</v>
      </c>
      <c r="S53" s="11" t="s">
        <v>5</v>
      </c>
      <c r="T53" s="49" t="str">
        <f t="shared" ref="T53" si="40">IF(ISBLANK(B53),,B53&amp;" ")&amp;IF(ISBLANK(C53),,C53&amp;" ")&amp;IF(ISBLANK(D53),,D53&amp;" ")&amp;IF(ISBLANK(E53),,E53&amp;" ")&amp;IF(ISBLANK(F53),,F53&amp;" ")&amp;IF(ISBLANK(G53),,G53&amp;" ")&amp;IF(ISBLANK(H53),,H53&amp;" ")&amp;IF(ISBLANK(I53),,I53&amp;" ")&amp;IF(ISBLANK(J53),,J53&amp;" ")&amp;IF(ISBLANK(K53),,K53&amp;" ")&amp;IF(ISBLANK(L53),,L53&amp;" ")&amp;IF(ISBLANK(M53),,M53&amp;" ")&amp;IF(ISBLANK(N53),,N53&amp;" ")&amp;IF(ISBLANK(O53),,O53&amp;" ")&amp;IF(ISBLANK(P53),,P53&amp;" ")&amp;IF(ISBLANK(Q53),,Q53&amp;" ")&amp;IF(ISBLANK(R53),,R53&amp;" ")&amp;IF(ISBLANK(S53),,S53)</f>
        <v>aa 00 04 23 02 0B 01 35 55</v>
      </c>
      <c r="U53" s="474" t="s">
        <v>474</v>
      </c>
      <c r="V53" s="563"/>
      <c r="W53" s="563"/>
    </row>
    <row r="54" spans="1:51" ht="24.75" customHeight="1" x14ac:dyDescent="0.25"/>
    <row r="55" spans="1:51" ht="14.1" customHeight="1" thickBot="1" x14ac:dyDescent="0.3">
      <c r="B55" s="10" t="s">
        <v>0</v>
      </c>
      <c r="C55" s="1" t="s">
        <v>1</v>
      </c>
      <c r="D55" s="46" t="str">
        <f t="shared" ref="D55" si="41">DEC2HEX( COUNTA(E55:Q55),2)</f>
        <v>07</v>
      </c>
      <c r="E55" s="2" t="s">
        <v>409</v>
      </c>
      <c r="F55" s="2" t="s">
        <v>1</v>
      </c>
      <c r="G55" s="2" t="s">
        <v>17</v>
      </c>
      <c r="H55" s="117" t="s">
        <v>70</v>
      </c>
      <c r="I55" s="117" t="s">
        <v>411</v>
      </c>
      <c r="J55" s="3" t="s">
        <v>410</v>
      </c>
      <c r="K55" s="3"/>
      <c r="L55" s="3" t="s">
        <v>4</v>
      </c>
      <c r="M55" s="3"/>
      <c r="N55" s="3"/>
      <c r="O55" s="228"/>
      <c r="P55" s="228"/>
      <c r="Q55" s="229"/>
      <c r="R55" s="85" t="str">
        <f t="shared" si="34"/>
        <v>43</v>
      </c>
      <c r="S55" s="11" t="s">
        <v>5</v>
      </c>
      <c r="T55" s="49" t="str">
        <f t="shared" ref="T55" si="42">IF(ISBLANK(B55),,B55&amp;" ")&amp;IF(ISBLANK(C55),,C55&amp;" ")&amp;IF(ISBLANK(D55),,D55&amp;" ")&amp;IF(ISBLANK(E55),,E55&amp;" ")&amp;IF(ISBLANK(F55),,F55&amp;" ")&amp;IF(ISBLANK(G55),,G55&amp;" ")&amp;IF(ISBLANK(H55),,H55&amp;" ")&amp;IF(ISBLANK(I55),,I55&amp;" ")&amp;IF(ISBLANK(J55),,J55&amp;" ")&amp;IF(ISBLANK(K55),,K55&amp;" ")&amp;IF(ISBLANK(L55),,L55&amp;" ")&amp;IF(ISBLANK(M55),,M55&amp;" ")&amp;IF(ISBLANK(N55),,N55&amp;" ")&amp;IF(ISBLANK(O55),,O55&amp;" ")&amp;IF(ISBLANK(P55),,P55&amp;" ")&amp;IF(ISBLANK(Q55),,Q55&amp;" ")&amp;IF(ISBLANK(R55),,R55&amp;" ")&amp;IF(ISBLANK(S55),,S55)</f>
        <v>aa 00 07 61 00 12 10 00 B8 01 43 55</v>
      </c>
      <c r="U55" s="474" t="s">
        <v>472</v>
      </c>
      <c r="V55" s="563"/>
      <c r="W55" s="563"/>
    </row>
    <row r="56" spans="1:51" s="39" customFormat="1" ht="14.1" customHeight="1" x14ac:dyDescent="0.25">
      <c r="A56"/>
      <c r="B56" s="146"/>
      <c r="C56" s="63"/>
      <c r="D56" s="63"/>
      <c r="E56" s="64"/>
      <c r="F56" s="64"/>
      <c r="G56" s="64"/>
      <c r="H56" s="144"/>
      <c r="I56" s="144"/>
      <c r="J56" s="145"/>
      <c r="K56" s="145"/>
      <c r="L56" s="145"/>
      <c r="M56" s="145"/>
      <c r="N56" s="145"/>
      <c r="O56" s="214"/>
      <c r="P56" s="214"/>
      <c r="Q56" s="215"/>
      <c r="R56" s="215"/>
      <c r="S56" s="146"/>
      <c r="T56" s="147"/>
      <c r="U56" s="148"/>
      <c r="V56" s="92"/>
      <c r="W56" s="92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ht="12" customHeight="1" x14ac:dyDescent="0.25">
      <c r="A57" s="39"/>
      <c r="B57" s="213"/>
      <c r="C57" s="141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213"/>
      <c r="P57" s="213"/>
      <c r="Q57" s="213"/>
      <c r="R57" s="213"/>
      <c r="S57" s="141"/>
      <c r="T57" s="141"/>
      <c r="U57" s="149" t="s">
        <v>473</v>
      </c>
      <c r="V57" s="181"/>
      <c r="W57" s="141"/>
    </row>
    <row r="58" spans="1:51" ht="60" customHeight="1" thickBot="1" x14ac:dyDescent="0.3">
      <c r="B58" s="10" t="s">
        <v>0</v>
      </c>
      <c r="C58" s="1" t="s">
        <v>1</v>
      </c>
      <c r="D58" s="46" t="str">
        <f t="shared" ref="D58:D74" si="43">DEC2HEX( COUNTA(E58:Q58),2)</f>
        <v>04</v>
      </c>
      <c r="E58" s="2" t="s">
        <v>404</v>
      </c>
      <c r="F58" s="2" t="s">
        <v>1</v>
      </c>
      <c r="G58" s="2" t="s">
        <v>583</v>
      </c>
      <c r="H58" s="460" t="str">
        <f>DEC2HEX(U58,2)</f>
        <v>10</v>
      </c>
      <c r="I58" s="460"/>
      <c r="J58" s="3"/>
      <c r="K58" s="3"/>
      <c r="L58" s="3"/>
      <c r="M58" s="3"/>
      <c r="N58" s="3"/>
      <c r="O58" s="228"/>
      <c r="P58" s="228"/>
      <c r="Q58" s="229"/>
      <c r="R58" s="85" t="str">
        <f t="shared" ref="R58:R74" si="44">DEC2HEX(MOD(HEX2DEC(C58)+HEX2DEC(D58)+HEX2DEC(E58)+HEX2DEC(F58)+HEX2DEC(G58)+HEX2DEC(H58)+HEX2DEC(I58)+HEX2DEC(J58)+HEX2DEC(K58)+HEX2DEC(L58)+HEX2DEC(M58)+HEX2DEC(N58)+HEX2DEC(O58)+HEX2DEC(P58)+HEX2DEC(Q58),256),2)</f>
        <v>F4</v>
      </c>
      <c r="S58" s="11" t="s">
        <v>584</v>
      </c>
      <c r="T58" s="49" t="str">
        <f t="shared" ref="T58:T74" si="45">IF(ISBLANK(B58),,B58&amp;" ")&amp;IF(ISBLANK(C58),,C58&amp;" ")&amp;IF(ISBLANK(D58),,D58&amp;" ")&amp;IF(ISBLANK(E58),,E58&amp;" ")&amp;IF(ISBLANK(F58),,F58&amp;" ")&amp;IF(ISBLANK(G58),,G58&amp;" ")&amp;IF(ISBLANK(H58),,H58&amp;" ")&amp;IF(ISBLANK(I58),,I58&amp;" ")&amp;IF(ISBLANK(J58),,J58&amp;" ")&amp;IF(ISBLANK(K58),,K58&amp;" ")&amp;IF(ISBLANK(L58),,L58&amp;" ")&amp;IF(ISBLANK(M58),,M58&amp;" ")&amp;IF(ISBLANK(N58),,N58&amp;" ")&amp;IF(ISBLANK(O58),,O58&amp;" ")&amp;IF(ISBLANK(P58),,P58&amp;" ")&amp;IF(ISBLANK(Q58),,Q58&amp;" ")&amp;IF(ISBLANK(R58),,R58&amp;" ")&amp;IF(ISBLANK(S58),,S58)</f>
        <v>aa 00 04 E0 00 00 10 F4 55</v>
      </c>
      <c r="U58" s="149">
        <v>16</v>
      </c>
      <c r="V58" s="632" t="s">
        <v>744</v>
      </c>
      <c r="W58" s="633"/>
    </row>
    <row r="59" spans="1:51" ht="14.25" customHeight="1" thickBot="1" x14ac:dyDescent="0.3">
      <c r="B59" s="10" t="s">
        <v>0</v>
      </c>
      <c r="C59" s="1" t="s">
        <v>1</v>
      </c>
      <c r="D59" s="46" t="str">
        <f t="shared" si="43"/>
        <v>04</v>
      </c>
      <c r="E59" s="2" t="s">
        <v>404</v>
      </c>
      <c r="F59" s="2" t="s">
        <v>1</v>
      </c>
      <c r="G59" s="2" t="s">
        <v>4</v>
      </c>
      <c r="H59" s="460" t="str">
        <f>DEC2HEX(U59,2)</f>
        <v>01</v>
      </c>
      <c r="I59" s="460"/>
      <c r="J59" s="3"/>
      <c r="K59" s="3"/>
      <c r="L59" s="3"/>
      <c r="M59" s="3"/>
      <c r="N59" s="3"/>
      <c r="O59" s="228"/>
      <c r="P59" s="228"/>
      <c r="Q59" s="229"/>
      <c r="R59" s="85" t="str">
        <f t="shared" si="44"/>
        <v>E6</v>
      </c>
      <c r="S59" s="11" t="s">
        <v>5</v>
      </c>
      <c r="T59" s="49" t="str">
        <f t="shared" si="45"/>
        <v>aa 00 04 E0 00 01 01 E6 55</v>
      </c>
      <c r="U59" s="41">
        <v>1</v>
      </c>
      <c r="V59" s="474" t="s">
        <v>408</v>
      </c>
      <c r="W59" s="563"/>
    </row>
    <row r="60" spans="1:51" ht="15" thickBot="1" x14ac:dyDescent="0.3">
      <c r="B60" s="10" t="s">
        <v>0</v>
      </c>
      <c r="C60" s="1" t="s">
        <v>1</v>
      </c>
      <c r="D60" s="46" t="str">
        <f t="shared" si="43"/>
        <v>04</v>
      </c>
      <c r="E60" s="2" t="s">
        <v>404</v>
      </c>
      <c r="F60" s="2" t="s">
        <v>1</v>
      </c>
      <c r="G60" s="2" t="s">
        <v>4</v>
      </c>
      <c r="H60" s="612" t="str">
        <f t="shared" ref="H60:H74" si="46">DEC2HEX(U60,2)</f>
        <v>02</v>
      </c>
      <c r="I60" s="617"/>
      <c r="J60" s="3"/>
      <c r="K60" s="3"/>
      <c r="L60" s="3"/>
      <c r="M60" s="3"/>
      <c r="N60" s="3"/>
      <c r="O60" s="228"/>
      <c r="P60" s="228"/>
      <c r="Q60" s="228"/>
      <c r="R60" s="85" t="str">
        <f t="shared" si="44"/>
        <v>E7</v>
      </c>
      <c r="S60" s="11" t="s">
        <v>5</v>
      </c>
      <c r="T60" s="49" t="str">
        <f t="shared" si="45"/>
        <v>aa 00 04 E0 00 01 02 E7 55</v>
      </c>
      <c r="U60" s="41">
        <v>2</v>
      </c>
      <c r="V60" s="474" t="s">
        <v>408</v>
      </c>
      <c r="W60" s="563"/>
    </row>
    <row r="61" spans="1:51" ht="14.1" customHeight="1" thickBot="1" x14ac:dyDescent="0.3">
      <c r="B61" s="10" t="s">
        <v>0</v>
      </c>
      <c r="C61" s="1" t="s">
        <v>1</v>
      </c>
      <c r="D61" s="46" t="str">
        <f t="shared" si="43"/>
        <v>04</v>
      </c>
      <c r="E61" s="2" t="s">
        <v>404</v>
      </c>
      <c r="F61" s="2" t="s">
        <v>1</v>
      </c>
      <c r="G61" s="2" t="s">
        <v>4</v>
      </c>
      <c r="H61" s="612" t="str">
        <f t="shared" si="46"/>
        <v>03</v>
      </c>
      <c r="I61" s="617"/>
      <c r="J61" s="3"/>
      <c r="K61" s="3"/>
      <c r="L61" s="3"/>
      <c r="M61" s="3"/>
      <c r="N61" s="3"/>
      <c r="O61" s="228"/>
      <c r="P61" s="228"/>
      <c r="Q61" s="228"/>
      <c r="R61" s="85" t="str">
        <f t="shared" si="44"/>
        <v>E8</v>
      </c>
      <c r="S61" s="11" t="s">
        <v>5</v>
      </c>
      <c r="T61" s="49" t="str">
        <f t="shared" si="45"/>
        <v>aa 00 04 E0 00 01 03 E8 55</v>
      </c>
      <c r="U61" s="41">
        <v>3</v>
      </c>
      <c r="V61" s="474" t="s">
        <v>408</v>
      </c>
      <c r="W61" s="563"/>
    </row>
    <row r="62" spans="1:51" ht="14.1" customHeight="1" thickBot="1" x14ac:dyDescent="0.3">
      <c r="B62" s="10" t="s">
        <v>0</v>
      </c>
      <c r="C62" s="1" t="s">
        <v>1</v>
      </c>
      <c r="D62" s="46" t="str">
        <f t="shared" si="43"/>
        <v>04</v>
      </c>
      <c r="E62" s="2" t="s">
        <v>404</v>
      </c>
      <c r="F62" s="2" t="s">
        <v>1</v>
      </c>
      <c r="G62" s="2" t="s">
        <v>4</v>
      </c>
      <c r="H62" s="612" t="str">
        <f t="shared" si="46"/>
        <v>04</v>
      </c>
      <c r="I62" s="617"/>
      <c r="J62" s="3"/>
      <c r="K62" s="3"/>
      <c r="L62" s="3"/>
      <c r="M62" s="3"/>
      <c r="N62" s="3"/>
      <c r="O62" s="228"/>
      <c r="P62" s="228"/>
      <c r="Q62" s="228"/>
      <c r="R62" s="85" t="str">
        <f t="shared" si="44"/>
        <v>E9</v>
      </c>
      <c r="S62" s="11" t="s">
        <v>5</v>
      </c>
      <c r="T62" s="49" t="str">
        <f t="shared" si="45"/>
        <v>aa 00 04 E0 00 01 04 E9 55</v>
      </c>
      <c r="U62" s="41">
        <v>4</v>
      </c>
      <c r="V62" s="474" t="s">
        <v>408</v>
      </c>
      <c r="W62" s="563"/>
    </row>
    <row r="63" spans="1:51" ht="14.1" customHeight="1" thickBot="1" x14ac:dyDescent="0.3">
      <c r="B63" s="10" t="s">
        <v>0</v>
      </c>
      <c r="C63" s="1" t="s">
        <v>1</v>
      </c>
      <c r="D63" s="46" t="str">
        <f t="shared" si="43"/>
        <v>04</v>
      </c>
      <c r="E63" s="2" t="s">
        <v>404</v>
      </c>
      <c r="F63" s="2" t="s">
        <v>1</v>
      </c>
      <c r="G63" s="2" t="s">
        <v>4</v>
      </c>
      <c r="H63" s="612" t="str">
        <f t="shared" si="46"/>
        <v>05</v>
      </c>
      <c r="I63" s="617"/>
      <c r="J63" s="3"/>
      <c r="K63" s="3"/>
      <c r="L63" s="3"/>
      <c r="M63" s="3"/>
      <c r="N63" s="3"/>
      <c r="O63" s="228"/>
      <c r="P63" s="228"/>
      <c r="Q63" s="228"/>
      <c r="R63" s="85" t="str">
        <f t="shared" si="44"/>
        <v>EA</v>
      </c>
      <c r="S63" s="11" t="s">
        <v>5</v>
      </c>
      <c r="T63" s="49" t="str">
        <f t="shared" si="45"/>
        <v>aa 00 04 E0 00 01 05 EA 55</v>
      </c>
      <c r="U63" s="41">
        <v>5</v>
      </c>
      <c r="V63" s="474" t="s">
        <v>408</v>
      </c>
      <c r="W63" s="563"/>
    </row>
    <row r="64" spans="1:51" ht="14.1" customHeight="1" thickBot="1" x14ac:dyDescent="0.3">
      <c r="B64" s="10" t="s">
        <v>0</v>
      </c>
      <c r="C64" s="1" t="s">
        <v>1</v>
      </c>
      <c r="D64" s="46" t="str">
        <f t="shared" si="43"/>
        <v>04</v>
      </c>
      <c r="E64" s="2" t="s">
        <v>404</v>
      </c>
      <c r="F64" s="2" t="s">
        <v>1</v>
      </c>
      <c r="G64" s="2" t="s">
        <v>4</v>
      </c>
      <c r="H64" s="612" t="str">
        <f t="shared" si="46"/>
        <v>06</v>
      </c>
      <c r="I64" s="617"/>
      <c r="J64" s="3"/>
      <c r="K64" s="3"/>
      <c r="L64" s="3"/>
      <c r="M64" s="3"/>
      <c r="N64" s="3"/>
      <c r="O64" s="228"/>
      <c r="P64" s="228"/>
      <c r="Q64" s="228"/>
      <c r="R64" s="85" t="str">
        <f t="shared" si="44"/>
        <v>EB</v>
      </c>
      <c r="S64" s="11" t="s">
        <v>5</v>
      </c>
      <c r="T64" s="49" t="str">
        <f t="shared" si="45"/>
        <v>aa 00 04 E0 00 01 06 EB 55</v>
      </c>
      <c r="U64" s="41">
        <v>6</v>
      </c>
      <c r="V64" s="474" t="s">
        <v>408</v>
      </c>
      <c r="W64" s="563"/>
    </row>
    <row r="65" spans="2:23" ht="14.1" customHeight="1" thickBot="1" x14ac:dyDescent="0.3">
      <c r="B65" s="10" t="s">
        <v>0</v>
      </c>
      <c r="C65" s="1" t="s">
        <v>1</v>
      </c>
      <c r="D65" s="46" t="str">
        <f t="shared" si="43"/>
        <v>04</v>
      </c>
      <c r="E65" s="2" t="s">
        <v>404</v>
      </c>
      <c r="F65" s="2" t="s">
        <v>1</v>
      </c>
      <c r="G65" s="2" t="s">
        <v>4</v>
      </c>
      <c r="H65" s="612" t="str">
        <f t="shared" si="46"/>
        <v>07</v>
      </c>
      <c r="I65" s="617"/>
      <c r="J65" s="3"/>
      <c r="K65" s="3"/>
      <c r="L65" s="3"/>
      <c r="M65" s="3"/>
      <c r="N65" s="3"/>
      <c r="O65" s="228"/>
      <c r="P65" s="228"/>
      <c r="Q65" s="228"/>
      <c r="R65" s="85" t="str">
        <f t="shared" si="44"/>
        <v>EC</v>
      </c>
      <c r="S65" s="11" t="s">
        <v>5</v>
      </c>
      <c r="T65" s="49" t="str">
        <f t="shared" si="45"/>
        <v>aa 00 04 E0 00 01 07 EC 55</v>
      </c>
      <c r="U65" s="41">
        <v>7</v>
      </c>
      <c r="V65" s="474" t="s">
        <v>408</v>
      </c>
      <c r="W65" s="563"/>
    </row>
    <row r="66" spans="2:23" ht="14.1" customHeight="1" thickBot="1" x14ac:dyDescent="0.3">
      <c r="B66" s="10" t="s">
        <v>0</v>
      </c>
      <c r="C66" s="1" t="s">
        <v>1</v>
      </c>
      <c r="D66" s="46" t="str">
        <f t="shared" si="43"/>
        <v>04</v>
      </c>
      <c r="E66" s="2" t="s">
        <v>404</v>
      </c>
      <c r="F66" s="2" t="s">
        <v>1</v>
      </c>
      <c r="G66" s="2" t="s">
        <v>4</v>
      </c>
      <c r="H66" s="612" t="str">
        <f t="shared" si="46"/>
        <v>08</v>
      </c>
      <c r="I66" s="617"/>
      <c r="J66" s="3"/>
      <c r="K66" s="3"/>
      <c r="L66" s="3"/>
      <c r="M66" s="3"/>
      <c r="N66" s="3"/>
      <c r="O66" s="228"/>
      <c r="P66" s="228"/>
      <c r="Q66" s="228"/>
      <c r="R66" s="85" t="str">
        <f t="shared" si="44"/>
        <v>ED</v>
      </c>
      <c r="S66" s="11" t="s">
        <v>5</v>
      </c>
      <c r="T66" s="49" t="str">
        <f t="shared" si="45"/>
        <v>aa 00 04 E0 00 01 08 ED 55</v>
      </c>
      <c r="U66" s="41">
        <v>8</v>
      </c>
      <c r="V66" s="474" t="s">
        <v>408</v>
      </c>
      <c r="W66" s="563"/>
    </row>
    <row r="67" spans="2:23" ht="14.1" customHeight="1" thickBot="1" x14ac:dyDescent="0.3">
      <c r="B67" s="10" t="s">
        <v>0</v>
      </c>
      <c r="C67" s="1" t="s">
        <v>1</v>
      </c>
      <c r="D67" s="46" t="str">
        <f t="shared" si="43"/>
        <v>04</v>
      </c>
      <c r="E67" s="2" t="s">
        <v>404</v>
      </c>
      <c r="F67" s="2" t="s">
        <v>1</v>
      </c>
      <c r="G67" s="2" t="s">
        <v>4</v>
      </c>
      <c r="H67" s="612" t="str">
        <f t="shared" si="46"/>
        <v>09</v>
      </c>
      <c r="I67" s="617"/>
      <c r="J67" s="3"/>
      <c r="K67" s="3"/>
      <c r="L67" s="3"/>
      <c r="M67" s="3"/>
      <c r="N67" s="3"/>
      <c r="O67" s="228"/>
      <c r="P67" s="228"/>
      <c r="Q67" s="228"/>
      <c r="R67" s="85" t="str">
        <f t="shared" si="44"/>
        <v>EE</v>
      </c>
      <c r="S67" s="11" t="s">
        <v>5</v>
      </c>
      <c r="T67" s="49" t="str">
        <f t="shared" si="45"/>
        <v>aa 00 04 E0 00 01 09 EE 55</v>
      </c>
      <c r="U67" s="41">
        <v>9</v>
      </c>
      <c r="V67" s="474" t="s">
        <v>408</v>
      </c>
      <c r="W67" s="563"/>
    </row>
    <row r="68" spans="2:23" ht="14.1" customHeight="1" thickBot="1" x14ac:dyDescent="0.3">
      <c r="B68" s="10" t="s">
        <v>0</v>
      </c>
      <c r="C68" s="1" t="s">
        <v>1</v>
      </c>
      <c r="D68" s="46" t="str">
        <f t="shared" si="43"/>
        <v>04</v>
      </c>
      <c r="E68" s="2" t="s">
        <v>404</v>
      </c>
      <c r="F68" s="2" t="s">
        <v>1</v>
      </c>
      <c r="G68" s="2" t="s">
        <v>407</v>
      </c>
      <c r="H68" s="612" t="str">
        <f t="shared" si="46"/>
        <v>0A</v>
      </c>
      <c r="I68" s="617"/>
      <c r="J68" s="3"/>
      <c r="K68" s="3"/>
      <c r="L68" s="3"/>
      <c r="M68" s="3"/>
      <c r="N68" s="3"/>
      <c r="O68" s="228"/>
      <c r="P68" s="228"/>
      <c r="Q68" s="228"/>
      <c r="R68" s="85" t="str">
        <f t="shared" si="44"/>
        <v>EF</v>
      </c>
      <c r="S68" s="11" t="s">
        <v>5</v>
      </c>
      <c r="T68" s="49" t="str">
        <f t="shared" si="45"/>
        <v>aa 00 04 E0 00 01 0A EF 55</v>
      </c>
      <c r="U68" s="41">
        <v>10</v>
      </c>
      <c r="V68" s="474" t="s">
        <v>408</v>
      </c>
      <c r="W68" s="563"/>
    </row>
    <row r="69" spans="2:23" ht="14.1" customHeight="1" thickBot="1" x14ac:dyDescent="0.3">
      <c r="B69" s="10" t="s">
        <v>0</v>
      </c>
      <c r="C69" s="1" t="s">
        <v>1</v>
      </c>
      <c r="D69" s="46" t="str">
        <f t="shared" si="43"/>
        <v>04</v>
      </c>
      <c r="E69" s="2" t="s">
        <v>404</v>
      </c>
      <c r="F69" s="2" t="s">
        <v>1</v>
      </c>
      <c r="G69" s="2" t="s">
        <v>4</v>
      </c>
      <c r="H69" s="612" t="str">
        <f t="shared" si="46"/>
        <v>0B</v>
      </c>
      <c r="I69" s="617"/>
      <c r="J69" s="3"/>
      <c r="K69" s="3"/>
      <c r="L69" s="3"/>
      <c r="M69" s="3"/>
      <c r="N69" s="3"/>
      <c r="O69" s="228"/>
      <c r="P69" s="228"/>
      <c r="Q69" s="228"/>
      <c r="R69" s="85" t="str">
        <f t="shared" si="44"/>
        <v>F0</v>
      </c>
      <c r="S69" s="11" t="s">
        <v>5</v>
      </c>
      <c r="T69" s="49" t="str">
        <f t="shared" si="45"/>
        <v>aa 00 04 E0 00 01 0B F0 55</v>
      </c>
      <c r="U69" s="41">
        <v>11</v>
      </c>
      <c r="V69" s="474" t="s">
        <v>408</v>
      </c>
      <c r="W69" s="563"/>
    </row>
    <row r="70" spans="2:23" ht="14.1" customHeight="1" thickBot="1" x14ac:dyDescent="0.3">
      <c r="B70" s="10" t="s">
        <v>0</v>
      </c>
      <c r="C70" s="1" t="s">
        <v>1</v>
      </c>
      <c r="D70" s="46" t="str">
        <f t="shared" si="43"/>
        <v>04</v>
      </c>
      <c r="E70" s="2" t="s">
        <v>404</v>
      </c>
      <c r="F70" s="2" t="s">
        <v>1</v>
      </c>
      <c r="G70" s="2" t="s">
        <v>4</v>
      </c>
      <c r="H70" s="612" t="str">
        <f t="shared" si="46"/>
        <v>0C</v>
      </c>
      <c r="I70" s="617"/>
      <c r="J70" s="3"/>
      <c r="K70" s="3"/>
      <c r="L70" s="3"/>
      <c r="M70" s="3"/>
      <c r="N70" s="3"/>
      <c r="O70" s="228"/>
      <c r="P70" s="228"/>
      <c r="Q70" s="228"/>
      <c r="R70" s="85" t="str">
        <f t="shared" si="44"/>
        <v>F1</v>
      </c>
      <c r="S70" s="11" t="s">
        <v>5</v>
      </c>
      <c r="T70" s="49" t="str">
        <f t="shared" si="45"/>
        <v>aa 00 04 E0 00 01 0C F1 55</v>
      </c>
      <c r="U70" s="41">
        <v>12</v>
      </c>
      <c r="V70" s="474" t="s">
        <v>408</v>
      </c>
      <c r="W70" s="563"/>
    </row>
    <row r="71" spans="2:23" ht="14.1" customHeight="1" thickBot="1" x14ac:dyDescent="0.3">
      <c r="B71" s="10" t="s">
        <v>0</v>
      </c>
      <c r="C71" s="1" t="s">
        <v>1</v>
      </c>
      <c r="D71" s="46" t="str">
        <f t="shared" si="43"/>
        <v>04</v>
      </c>
      <c r="E71" s="2" t="s">
        <v>404</v>
      </c>
      <c r="F71" s="2" t="s">
        <v>1</v>
      </c>
      <c r="G71" s="2" t="s">
        <v>4</v>
      </c>
      <c r="H71" s="612" t="str">
        <f t="shared" si="46"/>
        <v>0D</v>
      </c>
      <c r="I71" s="617"/>
      <c r="J71" s="3"/>
      <c r="K71" s="3"/>
      <c r="L71" s="3"/>
      <c r="M71" s="3"/>
      <c r="N71" s="3"/>
      <c r="O71" s="228"/>
      <c r="P71" s="228"/>
      <c r="Q71" s="228"/>
      <c r="R71" s="85" t="str">
        <f t="shared" si="44"/>
        <v>F2</v>
      </c>
      <c r="S71" s="11" t="s">
        <v>5</v>
      </c>
      <c r="T71" s="49" t="str">
        <f t="shared" si="45"/>
        <v>aa 00 04 E0 00 01 0D F2 55</v>
      </c>
      <c r="U71" s="41">
        <v>13</v>
      </c>
      <c r="V71" s="474" t="s">
        <v>408</v>
      </c>
      <c r="W71" s="563"/>
    </row>
    <row r="72" spans="2:23" ht="14.1" customHeight="1" thickBot="1" x14ac:dyDescent="0.3">
      <c r="B72" s="10" t="s">
        <v>0</v>
      </c>
      <c r="C72" s="1" t="s">
        <v>1</v>
      </c>
      <c r="D72" s="46" t="str">
        <f t="shared" si="43"/>
        <v>04</v>
      </c>
      <c r="E72" s="2" t="s">
        <v>404</v>
      </c>
      <c r="F72" s="2" t="s">
        <v>1</v>
      </c>
      <c r="G72" s="2" t="s">
        <v>4</v>
      </c>
      <c r="H72" s="612" t="str">
        <f t="shared" si="46"/>
        <v>0E</v>
      </c>
      <c r="I72" s="617"/>
      <c r="J72" s="3"/>
      <c r="K72" s="3"/>
      <c r="L72" s="3"/>
      <c r="M72" s="3"/>
      <c r="N72" s="3"/>
      <c r="O72" s="228"/>
      <c r="P72" s="228"/>
      <c r="Q72" s="228"/>
      <c r="R72" s="85" t="str">
        <f t="shared" si="44"/>
        <v>F3</v>
      </c>
      <c r="S72" s="11" t="s">
        <v>5</v>
      </c>
      <c r="T72" s="49" t="str">
        <f t="shared" si="45"/>
        <v>aa 00 04 E0 00 01 0E F3 55</v>
      </c>
      <c r="U72" s="41">
        <v>14</v>
      </c>
      <c r="V72" s="474" t="s">
        <v>408</v>
      </c>
      <c r="W72" s="563"/>
    </row>
    <row r="73" spans="2:23" ht="14.1" customHeight="1" thickBot="1" x14ac:dyDescent="0.3">
      <c r="B73" s="10" t="s">
        <v>0</v>
      </c>
      <c r="C73" s="1" t="s">
        <v>1</v>
      </c>
      <c r="D73" s="46" t="str">
        <f t="shared" si="43"/>
        <v>04</v>
      </c>
      <c r="E73" s="2" t="s">
        <v>404</v>
      </c>
      <c r="F73" s="2" t="s">
        <v>1</v>
      </c>
      <c r="G73" s="2" t="s">
        <v>4</v>
      </c>
      <c r="H73" s="612" t="str">
        <f t="shared" si="46"/>
        <v>0F</v>
      </c>
      <c r="I73" s="617"/>
      <c r="J73" s="3"/>
      <c r="K73" s="3"/>
      <c r="L73" s="3"/>
      <c r="M73" s="3"/>
      <c r="N73" s="3"/>
      <c r="O73" s="228"/>
      <c r="P73" s="228"/>
      <c r="Q73" s="228"/>
      <c r="R73" s="85" t="str">
        <f t="shared" si="44"/>
        <v>F4</v>
      </c>
      <c r="S73" s="11" t="s">
        <v>5</v>
      </c>
      <c r="T73" s="49" t="str">
        <f t="shared" si="45"/>
        <v>aa 00 04 E0 00 01 0F F4 55</v>
      </c>
      <c r="U73" s="41">
        <v>15</v>
      </c>
      <c r="V73" s="474" t="s">
        <v>408</v>
      </c>
      <c r="W73" s="563"/>
    </row>
    <row r="74" spans="2:23" ht="14.1" customHeight="1" thickBot="1" x14ac:dyDescent="0.3">
      <c r="B74" s="10" t="s">
        <v>0</v>
      </c>
      <c r="C74" s="1" t="s">
        <v>1</v>
      </c>
      <c r="D74" s="46" t="str">
        <f t="shared" si="43"/>
        <v>04</v>
      </c>
      <c r="E74" s="2" t="s">
        <v>404</v>
      </c>
      <c r="F74" s="2" t="s">
        <v>1</v>
      </c>
      <c r="G74" s="2" t="s">
        <v>4</v>
      </c>
      <c r="H74" s="612" t="str">
        <f t="shared" si="46"/>
        <v>10</v>
      </c>
      <c r="I74" s="617"/>
      <c r="J74" s="3"/>
      <c r="K74" s="3"/>
      <c r="L74" s="3"/>
      <c r="M74" s="3"/>
      <c r="N74" s="3"/>
      <c r="O74" s="228"/>
      <c r="P74" s="228"/>
      <c r="Q74" s="228"/>
      <c r="R74" s="85" t="str">
        <f t="shared" si="44"/>
        <v>F5</v>
      </c>
      <c r="S74" s="11" t="s">
        <v>5</v>
      </c>
      <c r="T74" s="49" t="str">
        <f t="shared" si="45"/>
        <v>aa 00 04 E0 00 01 10 F5 55</v>
      </c>
      <c r="U74" s="41">
        <v>16</v>
      </c>
      <c r="V74" s="474" t="s">
        <v>408</v>
      </c>
      <c r="W74" s="563"/>
    </row>
    <row r="76" spans="2:23" ht="14.1" customHeight="1" x14ac:dyDescent="0.25">
      <c r="B76" s="210"/>
      <c r="C76" s="32"/>
      <c r="D76" s="32" t="s">
        <v>10</v>
      </c>
      <c r="E76" s="33" t="s">
        <v>79</v>
      </c>
      <c r="F76" s="33" t="s">
        <v>86</v>
      </c>
      <c r="G76" s="33" t="s">
        <v>96</v>
      </c>
      <c r="H76" s="33" t="s">
        <v>73</v>
      </c>
      <c r="I76" s="625" t="s">
        <v>74</v>
      </c>
      <c r="J76" s="626"/>
      <c r="K76" s="209"/>
      <c r="L76" s="33" t="s">
        <v>234</v>
      </c>
      <c r="M76" s="122" t="s">
        <v>235</v>
      </c>
      <c r="N76" s="230"/>
      <c r="O76" s="230"/>
      <c r="P76" s="230"/>
      <c r="Q76" s="230"/>
      <c r="R76" s="230" t="s">
        <v>588</v>
      </c>
      <c r="S76" s="32"/>
      <c r="T76" s="14" t="s">
        <v>84</v>
      </c>
      <c r="U76" s="23" t="s">
        <v>76</v>
      </c>
      <c r="V76" s="566"/>
      <c r="W76" s="567"/>
    </row>
    <row r="77" spans="2:23" ht="14.1" customHeight="1" thickBot="1" x14ac:dyDescent="0.3">
      <c r="B77" s="10" t="s">
        <v>0</v>
      </c>
      <c r="C77" s="1" t="s">
        <v>1</v>
      </c>
      <c r="D77" s="46" t="str">
        <f t="shared" ref="D77:D79" si="47">DEC2HEX( COUNTA(E77:Q77),2)</f>
        <v>08</v>
      </c>
      <c r="E77" s="2" t="s">
        <v>71</v>
      </c>
      <c r="F77" s="2" t="s">
        <v>4</v>
      </c>
      <c r="G77" s="2" t="s">
        <v>70</v>
      </c>
      <c r="H77" s="3" t="s">
        <v>93</v>
      </c>
      <c r="I77" s="3" t="str">
        <f>LEFT(RIGHT(DEC2HEX(U77,4),4),2)</f>
        <v>01</v>
      </c>
      <c r="J77" s="3" t="str">
        <f>LEFT(RIGHT(DEC2HEX(U77,4),2),2)</f>
        <v>F4</v>
      </c>
      <c r="K77" s="3"/>
      <c r="L77" s="3" t="s">
        <v>4</v>
      </c>
      <c r="M77" s="3" t="s">
        <v>1</v>
      </c>
      <c r="N77" s="228"/>
      <c r="O77" s="228"/>
      <c r="P77" s="228"/>
      <c r="Q77" s="228"/>
      <c r="R77" s="85" t="str">
        <f t="shared" ref="R77:R79" si="48">DEC2HEX(MOD(HEX2DEC(C77)+HEX2DEC(D77)+HEX2DEC(E77)+HEX2DEC(F77)+HEX2DEC(G77)+HEX2DEC(H77)+HEX2DEC(I77)+HEX2DEC(J77)+HEX2DEC(K77)+HEX2DEC(L77)+HEX2DEC(M77)+HEX2DEC(N77)+HEX2DEC(O77)+HEX2DEC(P77)+HEX2DEC(Q77),256),2)</f>
        <v>3A</v>
      </c>
      <c r="S77" s="10" t="s">
        <v>5</v>
      </c>
      <c r="T77" s="49" t="str">
        <f t="shared" ref="T77:T79" si="49">IF(ISBLANK(B77),,B77&amp;" ")&amp;IF(ISBLANK(C77),,C77&amp;" ")&amp;IF(ISBLANK(D77),,D77&amp;" ")&amp;IF(ISBLANK(E77),,E77&amp;" ")&amp;IF(ISBLANK(F77),,F77&amp;" ")&amp;IF(ISBLANK(G77),,G77&amp;" ")&amp;IF(ISBLANK(H77),,H77&amp;" ")&amp;IF(ISBLANK(I77),,I77&amp;" ")&amp;IF(ISBLANK(J77),,J77&amp;" ")&amp;IF(ISBLANK(K77),,K77&amp;" ")&amp;IF(ISBLANK(L77),,L77&amp;" ")&amp;IF(ISBLANK(M77),,M77&amp;" ")&amp;IF(ISBLANK(N77),,N77&amp;" ")&amp;IF(ISBLANK(O77),,O77&amp;" ")&amp;IF(ISBLANK(P77),,P77&amp;" ")&amp;IF(ISBLANK(Q77),,Q77&amp;" ")&amp;IF(ISBLANK(R77),,R77&amp;" ")&amp;IF(ISBLANK(S77),,S77)</f>
        <v>aa 00 08 23 01 10 08 01 F4 01 00 3A 55</v>
      </c>
      <c r="U77" s="41">
        <v>500</v>
      </c>
      <c r="V77" s="474"/>
      <c r="W77" s="563"/>
    </row>
    <row r="78" spans="2:23" ht="14.1" customHeight="1" thickBot="1" x14ac:dyDescent="0.3">
      <c r="B78" s="10" t="s">
        <v>0</v>
      </c>
      <c r="C78" s="1" t="s">
        <v>1</v>
      </c>
      <c r="D78" s="46" t="str">
        <f t="shared" si="47"/>
        <v>08</v>
      </c>
      <c r="E78" s="2" t="s">
        <v>71</v>
      </c>
      <c r="F78" s="2" t="s">
        <v>15</v>
      </c>
      <c r="G78" s="2" t="s">
        <v>70</v>
      </c>
      <c r="H78" s="3" t="s">
        <v>93</v>
      </c>
      <c r="I78" s="3" t="str">
        <f>LEFT(RIGHT(DEC2HEX(U78,4),4),2)</f>
        <v>01</v>
      </c>
      <c r="J78" s="3" t="str">
        <f>LEFT(RIGHT(DEC2HEX(U78,4),2),2)</f>
        <v>F4</v>
      </c>
      <c r="K78" s="3"/>
      <c r="L78" s="3" t="s">
        <v>4</v>
      </c>
      <c r="M78" s="3" t="s">
        <v>1</v>
      </c>
      <c r="N78" s="228"/>
      <c r="O78" s="228"/>
      <c r="P78" s="228"/>
      <c r="Q78" s="228"/>
      <c r="R78" s="85" t="str">
        <f t="shared" si="48"/>
        <v>3B</v>
      </c>
      <c r="S78" s="10" t="s">
        <v>5</v>
      </c>
      <c r="T78" s="49" t="str">
        <f t="shared" si="49"/>
        <v>aa 00 08 23 02 10 08 01 F4 01 00 3B 55</v>
      </c>
      <c r="U78" s="41">
        <v>500</v>
      </c>
      <c r="V78" s="474"/>
      <c r="W78" s="563"/>
    </row>
    <row r="79" spans="2:23" ht="14.1" customHeight="1" thickBot="1" x14ac:dyDescent="0.3">
      <c r="B79" s="10" t="s">
        <v>0</v>
      </c>
      <c r="C79" s="1" t="s">
        <v>1</v>
      </c>
      <c r="D79" s="46" t="str">
        <f t="shared" si="47"/>
        <v>08</v>
      </c>
      <c r="E79" s="2" t="s">
        <v>71</v>
      </c>
      <c r="F79" s="2" t="s">
        <v>13</v>
      </c>
      <c r="G79" s="2" t="s">
        <v>70</v>
      </c>
      <c r="H79" s="3" t="s">
        <v>93</v>
      </c>
      <c r="I79" s="3" t="str">
        <f>LEFT(RIGHT(DEC2HEX(U79,4),4),2)</f>
        <v>01</v>
      </c>
      <c r="J79" s="3" t="str">
        <f>LEFT(RIGHT(DEC2HEX(U79,4),2),2)</f>
        <v>F4</v>
      </c>
      <c r="K79" s="3"/>
      <c r="L79" s="3" t="s">
        <v>4</v>
      </c>
      <c r="M79" s="3" t="s">
        <v>1</v>
      </c>
      <c r="N79" s="228"/>
      <c r="O79" s="228"/>
      <c r="P79" s="228"/>
      <c r="Q79" s="228"/>
      <c r="R79" s="85" t="str">
        <f t="shared" si="48"/>
        <v>3C</v>
      </c>
      <c r="S79" s="10" t="s">
        <v>5</v>
      </c>
      <c r="T79" s="49" t="str">
        <f t="shared" si="49"/>
        <v>aa 00 08 23 03 10 08 01 F4 01 00 3C 55</v>
      </c>
      <c r="U79" s="41">
        <v>500</v>
      </c>
      <c r="V79" s="474"/>
      <c r="W79" s="563"/>
    </row>
    <row r="80" spans="2:23" ht="14.1" customHeight="1" x14ac:dyDescent="0.25">
      <c r="N80" s="212"/>
    </row>
    <row r="81" spans="2:23" ht="14.1" customHeight="1" x14ac:dyDescent="0.25">
      <c r="B81" s="210"/>
      <c r="C81" s="32"/>
      <c r="D81" s="32" t="s">
        <v>10</v>
      </c>
      <c r="E81" s="33" t="s">
        <v>79</v>
      </c>
      <c r="F81" s="33" t="s">
        <v>86</v>
      </c>
      <c r="G81" s="33" t="s">
        <v>96</v>
      </c>
      <c r="H81" s="33"/>
      <c r="I81" s="625"/>
      <c r="J81" s="626"/>
      <c r="K81" s="209"/>
      <c r="L81" s="33"/>
      <c r="M81" s="122"/>
      <c r="N81" s="230"/>
      <c r="O81" s="230"/>
      <c r="P81" s="230"/>
      <c r="Q81" s="230"/>
      <c r="R81" s="230" t="s">
        <v>588</v>
      </c>
      <c r="S81" s="32"/>
      <c r="T81" s="14" t="s">
        <v>84</v>
      </c>
      <c r="U81" s="566"/>
      <c r="V81" s="567"/>
      <c r="W81" s="567"/>
    </row>
    <row r="82" spans="2:23" ht="14.1" customHeight="1" thickBot="1" x14ac:dyDescent="0.3">
      <c r="B82" s="10" t="s">
        <v>0</v>
      </c>
      <c r="C82" s="1" t="s">
        <v>1</v>
      </c>
      <c r="D82" s="46" t="str">
        <f t="shared" ref="D82" si="50">DEC2HEX( COUNTA(E82:Q82),2)</f>
        <v>03</v>
      </c>
      <c r="E82" s="2" t="s">
        <v>71</v>
      </c>
      <c r="F82" s="2" t="s">
        <v>4</v>
      </c>
      <c r="G82" s="2" t="s">
        <v>93</v>
      </c>
      <c r="H82" s="3"/>
      <c r="I82" s="3"/>
      <c r="J82" s="3"/>
      <c r="K82" s="3"/>
      <c r="L82" s="3"/>
      <c r="M82" s="3"/>
      <c r="N82" s="228"/>
      <c r="O82" s="228"/>
      <c r="P82" s="228"/>
      <c r="Q82" s="228"/>
      <c r="R82" s="85" t="str">
        <f t="shared" ref="R82" si="51">DEC2HEX(MOD(HEX2DEC(C82)+HEX2DEC(D82)+HEX2DEC(E82)+HEX2DEC(F82)+HEX2DEC(G82)+HEX2DEC(H82)+HEX2DEC(I82)+HEX2DEC(J82)+HEX2DEC(K82)+HEX2DEC(L82)+HEX2DEC(M82)+HEX2DEC(N82)+HEX2DEC(O82)+HEX2DEC(P82)+HEX2DEC(Q82),256),2)</f>
        <v>2F</v>
      </c>
      <c r="S82" s="10" t="s">
        <v>5</v>
      </c>
      <c r="T82" s="49" t="str">
        <f t="shared" ref="T82" si="52">IF(ISBLANK(B82),,B82&amp;" ")&amp;IF(ISBLANK(C82),,C82&amp;" ")&amp;IF(ISBLANK(D82),,D82&amp;" ")&amp;IF(ISBLANK(E82),,E82&amp;" ")&amp;IF(ISBLANK(F82),,F82&amp;" ")&amp;IF(ISBLANK(G82),,G82&amp;" ")&amp;IF(ISBLANK(H82),,H82&amp;" ")&amp;IF(ISBLANK(I82),,I82&amp;" ")&amp;IF(ISBLANK(J82),,J82&amp;" ")&amp;IF(ISBLANK(K82),,K82&amp;" ")&amp;IF(ISBLANK(L82),,L82&amp;" ")&amp;IF(ISBLANK(M82),,M82&amp;" ")&amp;IF(ISBLANK(N82),,N82&amp;" ")&amp;IF(ISBLANK(O82),,O82&amp;" ")&amp;IF(ISBLANK(P82),,P82&amp;" ")&amp;IF(ISBLANK(Q82),,Q82&amp;" ")&amp;IF(ISBLANK(R82),,R82&amp;" ")&amp;IF(ISBLANK(S82),,S82)</f>
        <v>aa 00 03 23 01 08 2F 55</v>
      </c>
      <c r="U82" s="623" t="s">
        <v>508</v>
      </c>
      <c r="V82" s="624"/>
      <c r="W82" s="624"/>
    </row>
    <row r="83" spans="2:23" ht="36" customHeight="1" x14ac:dyDescent="0.25">
      <c r="B83" s="210"/>
      <c r="C83" s="32"/>
      <c r="D83" s="32" t="s">
        <v>10</v>
      </c>
      <c r="E83" s="33" t="s">
        <v>79</v>
      </c>
      <c r="F83" s="33" t="s">
        <v>86</v>
      </c>
      <c r="G83" s="33" t="s">
        <v>96</v>
      </c>
      <c r="H83" s="33" t="s">
        <v>509</v>
      </c>
      <c r="I83" s="122"/>
      <c r="J83" s="122"/>
      <c r="K83" s="209"/>
      <c r="L83" s="33" t="s">
        <v>75</v>
      </c>
      <c r="M83" s="122" t="s">
        <v>510</v>
      </c>
      <c r="N83" s="230"/>
      <c r="O83" s="230"/>
      <c r="P83" s="230"/>
      <c r="Q83" s="230"/>
      <c r="R83" s="230" t="s">
        <v>588</v>
      </c>
      <c r="S83" s="32"/>
      <c r="T83" s="14" t="s">
        <v>84</v>
      </c>
      <c r="U83" s="566"/>
      <c r="V83" s="567"/>
      <c r="W83" s="567"/>
    </row>
    <row r="84" spans="2:23" ht="14.1" customHeight="1" thickBot="1" x14ac:dyDescent="0.3">
      <c r="B84" s="10" t="s">
        <v>0</v>
      </c>
      <c r="C84" s="1" t="s">
        <v>1</v>
      </c>
      <c r="D84" s="46" t="str">
        <f t="shared" ref="D84" si="53">DEC2HEX( COUNTA(E84:Q84),2)</f>
        <v>06</v>
      </c>
      <c r="E84" s="2" t="s">
        <v>71</v>
      </c>
      <c r="F84" s="2" t="s">
        <v>4</v>
      </c>
      <c r="G84" s="2" t="s">
        <v>511</v>
      </c>
      <c r="H84" s="3" t="s">
        <v>93</v>
      </c>
      <c r="I84" s="3"/>
      <c r="J84" s="3"/>
      <c r="K84" s="3"/>
      <c r="L84" s="3" t="s">
        <v>4</v>
      </c>
      <c r="M84" s="3" t="s">
        <v>4</v>
      </c>
      <c r="N84" s="228"/>
      <c r="O84" s="228"/>
      <c r="P84" s="228"/>
      <c r="Q84" s="228"/>
      <c r="R84" s="85" t="str">
        <f t="shared" ref="R84" si="54">DEC2HEX(MOD(HEX2DEC(C84)+HEX2DEC(D84)+HEX2DEC(E84)+HEX2DEC(F84)+HEX2DEC(G84)+HEX2DEC(H84)+HEX2DEC(I84)+HEX2DEC(J84)+HEX2DEC(K84)+HEX2DEC(L84)+HEX2DEC(M84)+HEX2DEC(N84)+HEX2DEC(O84)+HEX2DEC(P84)+HEX2DEC(Q84),256),2)</f>
        <v>34</v>
      </c>
      <c r="S84" s="10" t="s">
        <v>5</v>
      </c>
      <c r="T84" s="49" t="str">
        <f t="shared" ref="T84" si="55">IF(ISBLANK(B84),,B84&amp;" ")&amp;IF(ISBLANK(C84),,C84&amp;" ")&amp;IF(ISBLANK(D84),,D84&amp;" ")&amp;IF(ISBLANK(E84),,E84&amp;" ")&amp;IF(ISBLANK(F84),,F84&amp;" ")&amp;IF(ISBLANK(G84),,G84&amp;" ")&amp;IF(ISBLANK(H84),,H84&amp;" ")&amp;IF(ISBLANK(I84),,I84&amp;" ")&amp;IF(ISBLANK(J84),,J84&amp;" ")&amp;IF(ISBLANK(K84),,K84&amp;" ")&amp;IF(ISBLANK(L84),,L84&amp;" ")&amp;IF(ISBLANK(M84),,M84&amp;" ")&amp;IF(ISBLANK(N84),,N84&amp;" ")&amp;IF(ISBLANK(O84),,O84&amp;" ")&amp;IF(ISBLANK(P84),,P84&amp;" ")&amp;IF(ISBLANK(Q84),,Q84&amp;" ")&amp;IF(ISBLANK(R84),,R84&amp;" ")&amp;IF(ISBLANK(S84),,S84)</f>
        <v>aa 00 06 23 01 00 08 01 01 34 55</v>
      </c>
      <c r="U84" s="621" t="s">
        <v>541</v>
      </c>
      <c r="V84" s="622"/>
      <c r="W84" s="622"/>
    </row>
    <row r="85" spans="2:23" ht="36.75" customHeight="1" x14ac:dyDescent="0.25"/>
    <row r="87" spans="2:23" ht="26.25" customHeight="1" x14ac:dyDescent="0.25">
      <c r="B87" s="87" t="s">
        <v>77</v>
      </c>
      <c r="C87" s="219" t="s">
        <v>78</v>
      </c>
      <c r="D87" s="219" t="s">
        <v>10</v>
      </c>
      <c r="E87" s="219" t="s">
        <v>79</v>
      </c>
      <c r="F87" s="219" t="s">
        <v>80</v>
      </c>
      <c r="G87" s="219" t="s">
        <v>11</v>
      </c>
      <c r="H87" s="462" t="s">
        <v>593</v>
      </c>
      <c r="I87" s="477"/>
      <c r="J87" s="477"/>
      <c r="K87" s="477"/>
      <c r="L87" s="463"/>
      <c r="M87" s="462" t="s">
        <v>594</v>
      </c>
      <c r="N87" s="477"/>
      <c r="O87" s="477"/>
      <c r="P87" s="477"/>
      <c r="Q87" s="463"/>
      <c r="R87" s="83" t="s">
        <v>81</v>
      </c>
      <c r="S87" s="83" t="s">
        <v>82</v>
      </c>
      <c r="T87" s="51" t="s">
        <v>276</v>
      </c>
      <c r="U87" s="566" t="s">
        <v>595</v>
      </c>
      <c r="V87" s="567"/>
      <c r="W87" s="567"/>
    </row>
    <row r="88" spans="2:23" ht="14.1" customHeight="1" thickBot="1" x14ac:dyDescent="0.3">
      <c r="B88" s="88" t="s">
        <v>254</v>
      </c>
      <c r="C88" s="46" t="s">
        <v>1</v>
      </c>
      <c r="D88" s="46" t="str">
        <f>DEC2HEX( COUNTA(E88:Q88),2)</f>
        <v>05</v>
      </c>
      <c r="E88" s="47" t="s">
        <v>71</v>
      </c>
      <c r="F88" s="47" t="s">
        <v>4</v>
      </c>
      <c r="G88" s="47" t="s">
        <v>4</v>
      </c>
      <c r="H88" s="618" t="s">
        <v>93</v>
      </c>
      <c r="I88" s="619"/>
      <c r="J88" s="619"/>
      <c r="K88" s="619"/>
      <c r="L88" s="620"/>
      <c r="M88" s="618" t="s">
        <v>8</v>
      </c>
      <c r="N88" s="619"/>
      <c r="O88" s="619"/>
      <c r="P88" s="619"/>
      <c r="Q88" s="620"/>
      <c r="R88" s="85" t="str">
        <f>DEC2HEX(MOD(HEX2DEC(C88)+HEX2DEC(D88)+HEX2DEC(E88)+HEX2DEC(F88)+HEX2DEC(G88)+HEX2DEC(H88)+HEX2DEC(I88)+HEX2DEC(J88)+HEX2DEC(K88)+HEX2DEC(L88)+HEX2DEC(M88)+HEX2DEC(N88)+HEX2DEC(O88)+HEX2DEC(P88)+HEX2DEC(Q88),256),2)</f>
        <v>35</v>
      </c>
      <c r="S88" s="85" t="s">
        <v>5</v>
      </c>
      <c r="T88" s="49" t="str">
        <f>IF(ISBLANK(B88),,B88&amp;" ")&amp;IF(ISBLANK(C88),,C88&amp;" ")&amp;IF(ISBLANK(D88),,D88&amp;" ")&amp;IF(ISBLANK(E88),,E88&amp;" ")&amp;IF(ISBLANK(F88),,F88&amp;" ")&amp;IF(ISBLANK(G88),,G88&amp;" ")&amp;IF(ISBLANK(H88),,H88&amp;" ")&amp;IF(ISBLANK(I88),,I88&amp;" ")&amp;IF(ISBLANK(J88),,J88&amp;" ")&amp;IF(ISBLANK(K88),,K88&amp;" ")&amp;IF(ISBLANK(L88),,L88&amp;" ")&amp;IF(ISBLANK(M88),,M88&amp;" ")&amp;IF(ISBLANK(N88),,N88&amp;" ")&amp;IF(ISBLANK(O88),,O88&amp;" ")&amp;IF(ISBLANK(P88),,P88&amp;" ")&amp;IF(ISBLANK(Q88),,Q88&amp;" ")&amp;IF(ISBLANK(R88),,R88&amp;" ")&amp;IF(ISBLANK(S88),,S88)</f>
        <v>aa 00 05 23 01 01 08 03 35 55</v>
      </c>
      <c r="U88" s="630" t="s">
        <v>596</v>
      </c>
      <c r="V88" s="631"/>
      <c r="W88" s="631"/>
    </row>
    <row r="103" spans="2:23" ht="14.1" customHeight="1" thickBot="1" x14ac:dyDescent="0.3">
      <c r="B103" s="10" t="s">
        <v>0</v>
      </c>
      <c r="C103" s="1" t="s">
        <v>1</v>
      </c>
      <c r="D103" s="46" t="str">
        <f t="shared" ref="D103" si="56">DEC2HEX( COUNTA(E103:Q103),2)</f>
        <v>08</v>
      </c>
      <c r="E103" s="2" t="s">
        <v>71</v>
      </c>
      <c r="F103" s="2" t="s">
        <v>7</v>
      </c>
      <c r="G103" s="2" t="s">
        <v>28</v>
      </c>
      <c r="H103" s="612" t="s">
        <v>15</v>
      </c>
      <c r="I103" s="613"/>
      <c r="J103" s="3" t="s">
        <v>599</v>
      </c>
      <c r="K103" s="3"/>
      <c r="L103" s="3" t="str">
        <f t="shared" ref="L103" si="57">LEFT(RIGHT(DEC2HEX(U103,4),4),2)</f>
        <v>01</v>
      </c>
      <c r="M103" s="3" t="str">
        <f t="shared" ref="M103" si="58">LEFT(RIGHT(DEC2HEX(U103,4),2),2)</f>
        <v>2C</v>
      </c>
      <c r="N103" s="3" t="s">
        <v>1</v>
      </c>
      <c r="O103" s="228"/>
      <c r="P103" s="228"/>
      <c r="Q103" s="229"/>
      <c r="R103" s="85" t="str">
        <f t="shared" ref="R103" si="59">DEC2HEX(MOD(HEX2DEC(C103)+HEX2DEC(D103)+HEX2DEC(E103)+HEX2DEC(F103)+HEX2DEC(G103)+HEX2DEC(H103)+HEX2DEC(I103)+HEX2DEC(J103)+HEX2DEC(K103)+HEX2DEC(L103)+HEX2DEC(M103)+HEX2DEC(N103)+HEX2DEC(O103)+HEX2DEC(P103)+HEX2DEC(Q103),256),2)</f>
        <v>79</v>
      </c>
      <c r="S103" s="11" t="s">
        <v>5</v>
      </c>
      <c r="T103" s="49" t="str">
        <f t="shared" ref="T103" si="60">IF(ISBLANK(B103),,B103&amp;" ")&amp;IF(ISBLANK(C103),,C103&amp;" ")&amp;IF(ISBLANK(D103),,D103&amp;" ")&amp;IF(ISBLANK(E103),,E103&amp;" ")&amp;IF(ISBLANK(F103),,F103&amp;" ")&amp;IF(ISBLANK(G103),,G103&amp;" ")&amp;IF(ISBLANK(H103),,H103&amp;" ")&amp;IF(ISBLANK(I103),,I103&amp;" ")&amp;IF(ISBLANK(J103),,J103&amp;" ")&amp;IF(ISBLANK(K103),,K103&amp;" ")&amp;IF(ISBLANK(L103),,L103&amp;" ")&amp;IF(ISBLANK(M103),,M103&amp;" ")&amp;IF(ISBLANK(N103),,N103&amp;" ")&amp;IF(ISBLANK(O103),,O103&amp;" ")&amp;IF(ISBLANK(P103),,P103&amp;" ")&amp;IF(ISBLANK(Q103),,Q103&amp;" ")&amp;IF(ISBLANK(R103),,R103&amp;" ")&amp;IF(ISBLANK(S103),,S103)</f>
        <v>aa 00 08 23 02 11 02 0C 01 2C 00 79 55</v>
      </c>
      <c r="U103" s="41">
        <v>300</v>
      </c>
      <c r="V103" s="615" t="s">
        <v>529</v>
      </c>
      <c r="W103" s="616"/>
    </row>
    <row r="104" spans="2:23" ht="14.1" customHeight="1" thickBot="1" x14ac:dyDescent="0.3">
      <c r="B104" s="10" t="s">
        <v>0</v>
      </c>
      <c r="C104" s="1" t="s">
        <v>1</v>
      </c>
      <c r="D104" s="46" t="str">
        <f t="shared" ref="D104:D107" si="61">DEC2HEX( COUNTA(E104:Q104),2)</f>
        <v>08</v>
      </c>
      <c r="E104" s="2" t="s">
        <v>71</v>
      </c>
      <c r="F104" s="2" t="s">
        <v>13</v>
      </c>
      <c r="G104" s="2" t="s">
        <v>28</v>
      </c>
      <c r="H104" s="612" t="s">
        <v>15</v>
      </c>
      <c r="I104" s="613"/>
      <c r="J104" s="3" t="s">
        <v>599</v>
      </c>
      <c r="K104" s="3"/>
      <c r="L104" s="3" t="str">
        <f t="shared" ref="L104:L107" si="62">LEFT(RIGHT(DEC2HEX(U104,4),4),2)</f>
        <v>01</v>
      </c>
      <c r="M104" s="3" t="str">
        <f t="shared" ref="M104:M107" si="63">LEFT(RIGHT(DEC2HEX(U104,4),2),2)</f>
        <v>2C</v>
      </c>
      <c r="N104" s="3" t="s">
        <v>1</v>
      </c>
      <c r="O104" s="228"/>
      <c r="P104" s="228"/>
      <c r="Q104" s="229"/>
      <c r="R104" s="85" t="str">
        <f t="shared" ref="R104:R107" si="64">DEC2HEX(MOD(HEX2DEC(C104)+HEX2DEC(D104)+HEX2DEC(E104)+HEX2DEC(F104)+HEX2DEC(G104)+HEX2DEC(H104)+HEX2DEC(I104)+HEX2DEC(J104)+HEX2DEC(K104)+HEX2DEC(L104)+HEX2DEC(M104)+HEX2DEC(N104)+HEX2DEC(O104)+HEX2DEC(P104)+HEX2DEC(Q104),256),2)</f>
        <v>7A</v>
      </c>
      <c r="S104" s="11" t="s">
        <v>5</v>
      </c>
      <c r="T104" s="49" t="str">
        <f t="shared" ref="T104:T107" si="65">IF(ISBLANK(B104),,B104&amp;" ")&amp;IF(ISBLANK(C104),,C104&amp;" ")&amp;IF(ISBLANK(D104),,D104&amp;" ")&amp;IF(ISBLANK(E104),,E104&amp;" ")&amp;IF(ISBLANK(F104),,F104&amp;" ")&amp;IF(ISBLANK(G104),,G104&amp;" ")&amp;IF(ISBLANK(H104),,H104&amp;" ")&amp;IF(ISBLANK(I104),,I104&amp;" ")&amp;IF(ISBLANK(J104),,J104&amp;" ")&amp;IF(ISBLANK(K104),,K104&amp;" ")&amp;IF(ISBLANK(L104),,L104&amp;" ")&amp;IF(ISBLANK(M104),,M104&amp;" ")&amp;IF(ISBLANK(N104),,N104&amp;" ")&amp;IF(ISBLANK(O104),,O104&amp;" ")&amp;IF(ISBLANK(P104),,P104&amp;" ")&amp;IF(ISBLANK(Q104),,Q104&amp;" ")&amp;IF(ISBLANK(R104),,R104&amp;" ")&amp;IF(ISBLANK(S104),,S104)</f>
        <v>aa 00 08 23 03 11 02 0C 01 2C 00 7A 55</v>
      </c>
      <c r="U104" s="41">
        <v>300</v>
      </c>
    </row>
    <row r="105" spans="2:23" ht="14.1" customHeight="1" thickBot="1" x14ac:dyDescent="0.3">
      <c r="B105" s="10" t="s">
        <v>0</v>
      </c>
      <c r="C105" s="1" t="s">
        <v>1</v>
      </c>
      <c r="D105" s="46" t="str">
        <f t="shared" si="61"/>
        <v>08</v>
      </c>
      <c r="E105" s="2" t="s">
        <v>71</v>
      </c>
      <c r="F105" s="2" t="s">
        <v>18</v>
      </c>
      <c r="G105" s="2" t="s">
        <v>28</v>
      </c>
      <c r="H105" s="612" t="s">
        <v>15</v>
      </c>
      <c r="I105" s="613"/>
      <c r="J105" s="3" t="s">
        <v>599</v>
      </c>
      <c r="K105" s="3"/>
      <c r="L105" s="3" t="str">
        <f t="shared" si="62"/>
        <v>01</v>
      </c>
      <c r="M105" s="3" t="str">
        <f t="shared" si="63"/>
        <v>2C</v>
      </c>
      <c r="N105" s="3" t="s">
        <v>1</v>
      </c>
      <c r="O105" s="228"/>
      <c r="P105" s="228"/>
      <c r="Q105" s="229"/>
      <c r="R105" s="85" t="str">
        <f t="shared" si="64"/>
        <v>7B</v>
      </c>
      <c r="S105" s="11" t="s">
        <v>5</v>
      </c>
      <c r="T105" s="49" t="str">
        <f t="shared" si="65"/>
        <v>aa 00 08 23 04 11 02 0C 01 2C 00 7B 55</v>
      </c>
      <c r="U105" s="41">
        <v>300</v>
      </c>
    </row>
    <row r="106" spans="2:23" ht="14.1" customHeight="1" thickBot="1" x14ac:dyDescent="0.3">
      <c r="B106" s="10" t="s">
        <v>0</v>
      </c>
      <c r="C106" s="1" t="s">
        <v>1</v>
      </c>
      <c r="D106" s="46" t="str">
        <f t="shared" si="61"/>
        <v>08</v>
      </c>
      <c r="E106" s="2" t="s">
        <v>71</v>
      </c>
      <c r="F106" s="2" t="s">
        <v>122</v>
      </c>
      <c r="G106" s="2" t="s">
        <v>28</v>
      </c>
      <c r="H106" s="612" t="s">
        <v>15</v>
      </c>
      <c r="I106" s="613"/>
      <c r="J106" s="3" t="s">
        <v>599</v>
      </c>
      <c r="K106" s="3"/>
      <c r="L106" s="3" t="str">
        <f t="shared" si="62"/>
        <v>01</v>
      </c>
      <c r="M106" s="3" t="str">
        <f t="shared" si="63"/>
        <v>2C</v>
      </c>
      <c r="N106" s="3" t="s">
        <v>1</v>
      </c>
      <c r="O106" s="228"/>
      <c r="P106" s="228"/>
      <c r="Q106" s="229"/>
      <c r="R106" s="85" t="str">
        <f t="shared" si="64"/>
        <v>7C</v>
      </c>
      <c r="S106" s="11" t="s">
        <v>5</v>
      </c>
      <c r="T106" s="49" t="str">
        <f t="shared" si="65"/>
        <v>aa 00 08 23 05 11 02 0C 01 2C 00 7C 55</v>
      </c>
      <c r="U106" s="41">
        <v>300</v>
      </c>
    </row>
    <row r="107" spans="2:23" ht="14.1" customHeight="1" thickBot="1" x14ac:dyDescent="0.3">
      <c r="B107" s="10" t="s">
        <v>0</v>
      </c>
      <c r="C107" s="1" t="s">
        <v>1</v>
      </c>
      <c r="D107" s="46" t="str">
        <f t="shared" si="61"/>
        <v>08</v>
      </c>
      <c r="E107" s="2" t="s">
        <v>71</v>
      </c>
      <c r="F107" s="2" t="s">
        <v>123</v>
      </c>
      <c r="G107" s="2" t="s">
        <v>28</v>
      </c>
      <c r="H107" s="612" t="s">
        <v>15</v>
      </c>
      <c r="I107" s="613"/>
      <c r="J107" s="3" t="s">
        <v>599</v>
      </c>
      <c r="K107" s="3"/>
      <c r="L107" s="3" t="str">
        <f t="shared" si="62"/>
        <v>01</v>
      </c>
      <c r="M107" s="3" t="str">
        <f t="shared" si="63"/>
        <v>2C</v>
      </c>
      <c r="N107" s="3" t="s">
        <v>1</v>
      </c>
      <c r="O107" s="228"/>
      <c r="P107" s="228"/>
      <c r="Q107" s="229"/>
      <c r="R107" s="85" t="str">
        <f t="shared" si="64"/>
        <v>7D</v>
      </c>
      <c r="S107" s="11" t="s">
        <v>5</v>
      </c>
      <c r="T107" s="49" t="str">
        <f t="shared" si="65"/>
        <v>aa 00 08 23 06 11 02 0C 01 2C 00 7D 55</v>
      </c>
      <c r="U107" s="41">
        <v>300</v>
      </c>
    </row>
    <row r="108" spans="2:23" ht="14.1" customHeight="1" thickBot="1" x14ac:dyDescent="0.3">
      <c r="B108" s="10"/>
      <c r="C108" s="1"/>
      <c r="D108" s="46"/>
      <c r="E108" s="2"/>
      <c r="F108" s="2"/>
      <c r="G108" s="2"/>
      <c r="H108" s="612"/>
      <c r="I108" s="613"/>
      <c r="J108" s="3"/>
      <c r="K108" s="3"/>
      <c r="L108" s="3"/>
      <c r="M108" s="3"/>
      <c r="N108" s="3"/>
      <c r="O108" s="228"/>
      <c r="P108" s="228"/>
      <c r="Q108" s="229"/>
      <c r="R108" s="85"/>
      <c r="S108" s="11"/>
      <c r="T108" s="49"/>
    </row>
  </sheetData>
  <mergeCells count="156">
    <mergeCell ref="H50:I50"/>
    <mergeCell ref="V50:W50"/>
    <mergeCell ref="U87:W87"/>
    <mergeCell ref="U88:W88"/>
    <mergeCell ref="V58:W58"/>
    <mergeCell ref="H66:I66"/>
    <mergeCell ref="V79:W79"/>
    <mergeCell ref="V71:W71"/>
    <mergeCell ref="V64:W64"/>
    <mergeCell ref="H69:I69"/>
    <mergeCell ref="H70:I70"/>
    <mergeCell ref="H71:I71"/>
    <mergeCell ref="H72:I72"/>
    <mergeCell ref="H73:I73"/>
    <mergeCell ref="H74:I74"/>
    <mergeCell ref="I76:J76"/>
    <mergeCell ref="H67:I67"/>
    <mergeCell ref="H68:I68"/>
    <mergeCell ref="V59:W59"/>
    <mergeCell ref="V60:W60"/>
    <mergeCell ref="V61:W61"/>
    <mergeCell ref="V62:W62"/>
    <mergeCell ref="B1:W2"/>
    <mergeCell ref="Y1:AY2"/>
    <mergeCell ref="Y12:AY13"/>
    <mergeCell ref="AR7:AY7"/>
    <mergeCell ref="AT15:AY15"/>
    <mergeCell ref="Y3:AP3"/>
    <mergeCell ref="AR3:AU3"/>
    <mergeCell ref="AV3:AY3"/>
    <mergeCell ref="AE4:AN4"/>
    <mergeCell ref="AT4:AY4"/>
    <mergeCell ref="AT5:AY5"/>
    <mergeCell ref="AR6:AY6"/>
    <mergeCell ref="I4:J4"/>
    <mergeCell ref="B3:W3"/>
    <mergeCell ref="H15:I15"/>
    <mergeCell ref="B14:W14"/>
    <mergeCell ref="AR14:AU14"/>
    <mergeCell ref="AV14:AY14"/>
    <mergeCell ref="AE15:AN15"/>
    <mergeCell ref="Y14:AP14"/>
    <mergeCell ref="L15:M15"/>
    <mergeCell ref="V39:W39"/>
    <mergeCell ref="V40:W40"/>
    <mergeCell ref="V42:W42"/>
    <mergeCell ref="V32:W32"/>
    <mergeCell ref="V33:W33"/>
    <mergeCell ref="V45:W45"/>
    <mergeCell ref="H37:I37"/>
    <mergeCell ref="Y9:AY10"/>
    <mergeCell ref="AR17:AY17"/>
    <mergeCell ref="L30:M30"/>
    <mergeCell ref="H31:I31"/>
    <mergeCell ref="V30:W30"/>
    <mergeCell ref="AT16:AY16"/>
    <mergeCell ref="AR18:AY18"/>
    <mergeCell ref="B22:W22"/>
    <mergeCell ref="AR26:AY26"/>
    <mergeCell ref="Y29:AY30"/>
    <mergeCell ref="Y31:AP31"/>
    <mergeCell ref="B29:W29"/>
    <mergeCell ref="H30:I30"/>
    <mergeCell ref="Y20:AY21"/>
    <mergeCell ref="Y22:AP22"/>
    <mergeCell ref="H32:I32"/>
    <mergeCell ref="H33:I33"/>
    <mergeCell ref="H34:I34"/>
    <mergeCell ref="H35:I35"/>
    <mergeCell ref="AR22:AU22"/>
    <mergeCell ref="AV22:AY22"/>
    <mergeCell ref="AE23:AN23"/>
    <mergeCell ref="AT23:AY23"/>
    <mergeCell ref="AT24:AY24"/>
    <mergeCell ref="AR25:AY25"/>
    <mergeCell ref="AR34:AY34"/>
    <mergeCell ref="AR31:AY31"/>
    <mergeCell ref="AR32:AY32"/>
    <mergeCell ref="AR35:AY35"/>
    <mergeCell ref="AR33:AY33"/>
    <mergeCell ref="V34:W34"/>
    <mergeCell ref="AE32:AN32"/>
    <mergeCell ref="V35:W35"/>
    <mergeCell ref="V31:W31"/>
    <mergeCell ref="H46:I46"/>
    <mergeCell ref="AR38:AY38"/>
    <mergeCell ref="B43:W43"/>
    <mergeCell ref="AR42:AY42"/>
    <mergeCell ref="AR43:AY43"/>
    <mergeCell ref="AR41:AY41"/>
    <mergeCell ref="AR39:AY39"/>
    <mergeCell ref="AR36:AY36"/>
    <mergeCell ref="H41:I41"/>
    <mergeCell ref="V41:W41"/>
    <mergeCell ref="H44:I44"/>
    <mergeCell ref="L44:M44"/>
    <mergeCell ref="V44:W44"/>
    <mergeCell ref="V46:W46"/>
    <mergeCell ref="V37:W37"/>
    <mergeCell ref="AR37:AY37"/>
    <mergeCell ref="H36:I36"/>
    <mergeCell ref="V36:W36"/>
    <mergeCell ref="H45:I45"/>
    <mergeCell ref="H38:I38"/>
    <mergeCell ref="H39:I39"/>
    <mergeCell ref="H40:I40"/>
    <mergeCell ref="H42:I42"/>
    <mergeCell ref="V38:W38"/>
    <mergeCell ref="H108:I108"/>
    <mergeCell ref="V103:W103"/>
    <mergeCell ref="H51:I51"/>
    <mergeCell ref="V51:W51"/>
    <mergeCell ref="U55:W55"/>
    <mergeCell ref="U84:W84"/>
    <mergeCell ref="V65:W65"/>
    <mergeCell ref="V68:W68"/>
    <mergeCell ref="H53:I53"/>
    <mergeCell ref="V69:W69"/>
    <mergeCell ref="V70:W70"/>
    <mergeCell ref="V63:W63"/>
    <mergeCell ref="U53:W53"/>
    <mergeCell ref="U81:W81"/>
    <mergeCell ref="U82:W82"/>
    <mergeCell ref="I81:J81"/>
    <mergeCell ref="U83:W83"/>
    <mergeCell ref="V78:W78"/>
    <mergeCell ref="H63:I63"/>
    <mergeCell ref="H62:I62"/>
    <mergeCell ref="H61:I61"/>
    <mergeCell ref="H65:I65"/>
    <mergeCell ref="H64:I64"/>
    <mergeCell ref="V77:W77"/>
    <mergeCell ref="H47:I47"/>
    <mergeCell ref="V47:W47"/>
    <mergeCell ref="H48:I48"/>
    <mergeCell ref="V48:W48"/>
    <mergeCell ref="H103:I103"/>
    <mergeCell ref="H104:I104"/>
    <mergeCell ref="H105:I105"/>
    <mergeCell ref="H106:I106"/>
    <mergeCell ref="H107:I107"/>
    <mergeCell ref="H49:I49"/>
    <mergeCell ref="V49:W49"/>
    <mergeCell ref="V66:W66"/>
    <mergeCell ref="H58:I58"/>
    <mergeCell ref="H60:I60"/>
    <mergeCell ref="H59:I59"/>
    <mergeCell ref="V67:W67"/>
    <mergeCell ref="V76:W76"/>
    <mergeCell ref="V72:W72"/>
    <mergeCell ref="V73:W73"/>
    <mergeCell ref="V74:W74"/>
    <mergeCell ref="H88:L88"/>
    <mergeCell ref="M88:Q88"/>
    <mergeCell ref="H87:L87"/>
    <mergeCell ref="M87:Q87"/>
  </mergeCells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/>
  <dimension ref="A2:AC37"/>
  <sheetViews>
    <sheetView topLeftCell="A4" workbookViewId="0">
      <selection activeCell="W41" sqref="W41"/>
    </sheetView>
  </sheetViews>
  <sheetFormatPr defaultRowHeight="14.4" x14ac:dyDescent="0.25"/>
  <cols>
    <col min="1" max="1" width="4.77734375" customWidth="1"/>
    <col min="2" max="19" width="3.6640625" customWidth="1"/>
    <col min="20" max="20" width="29.33203125" customWidth="1"/>
    <col min="21" max="24" width="10.6640625" customWidth="1"/>
    <col min="25" max="25" width="15" customWidth="1"/>
    <col min="26" max="26" width="12.77734375" customWidth="1"/>
    <col min="27" max="27" width="20.6640625" customWidth="1"/>
    <col min="28" max="28" width="27.6640625" customWidth="1"/>
  </cols>
  <sheetData>
    <row r="2" spans="1:29" ht="30" customHeight="1" x14ac:dyDescent="0.25">
      <c r="B2" s="608" t="s">
        <v>432</v>
      </c>
      <c r="C2" s="609"/>
      <c r="D2" s="609"/>
      <c r="E2" s="609"/>
      <c r="F2" s="609"/>
      <c r="G2" s="609"/>
      <c r="H2" s="609"/>
      <c r="I2" s="609"/>
      <c r="J2" s="609"/>
      <c r="K2" s="609"/>
      <c r="L2" s="609"/>
      <c r="M2" s="609"/>
      <c r="N2" s="609"/>
      <c r="O2" s="609"/>
      <c r="P2" s="609"/>
      <c r="Q2" s="609"/>
      <c r="R2" s="609"/>
      <c r="S2" s="609"/>
      <c r="T2" s="609"/>
      <c r="U2" s="609"/>
      <c r="V2" s="609"/>
      <c r="W2" s="609"/>
      <c r="X2" s="609"/>
      <c r="Y2" s="609"/>
      <c r="Z2" s="609"/>
      <c r="AA2" s="609"/>
      <c r="AB2" s="610"/>
    </row>
    <row r="3" spans="1:29" ht="15" customHeight="1" x14ac:dyDescent="0.25">
      <c r="B3" s="435" t="s">
        <v>275</v>
      </c>
      <c r="C3" s="435"/>
      <c r="D3" s="435"/>
      <c r="E3" s="435"/>
      <c r="F3" s="435"/>
      <c r="G3" s="435"/>
      <c r="H3" s="435"/>
      <c r="I3" s="435"/>
      <c r="J3" s="435"/>
      <c r="K3" s="435"/>
      <c r="L3" s="435"/>
      <c r="M3" s="435"/>
      <c r="N3" s="435"/>
      <c r="O3" s="435"/>
      <c r="P3" s="435"/>
      <c r="Q3" s="435"/>
      <c r="R3" s="435"/>
      <c r="S3" s="435"/>
      <c r="T3" s="151" t="s">
        <v>266</v>
      </c>
      <c r="U3" s="435" t="s">
        <v>267</v>
      </c>
      <c r="V3" s="435"/>
      <c r="W3" s="435"/>
      <c r="X3" s="435"/>
      <c r="Y3" s="435" t="s">
        <v>268</v>
      </c>
      <c r="Z3" s="435"/>
      <c r="AA3" s="435"/>
      <c r="AB3" s="435"/>
    </row>
    <row r="4" spans="1:29" ht="15" customHeight="1" x14ac:dyDescent="0.25">
      <c r="B4" s="86" t="s">
        <v>77</v>
      </c>
      <c r="C4" s="152" t="s">
        <v>78</v>
      </c>
      <c r="D4" s="152" t="s">
        <v>10</v>
      </c>
      <c r="E4" s="152" t="s">
        <v>79</v>
      </c>
      <c r="F4" s="152" t="s">
        <v>80</v>
      </c>
      <c r="G4" s="152" t="s">
        <v>11</v>
      </c>
      <c r="H4" s="436" t="s">
        <v>83</v>
      </c>
      <c r="I4" s="436"/>
      <c r="J4" s="436"/>
      <c r="K4" s="436"/>
      <c r="L4" s="436"/>
      <c r="M4" s="436"/>
      <c r="N4" s="436"/>
      <c r="O4" s="436"/>
      <c r="P4" s="436"/>
      <c r="Q4" s="436"/>
      <c r="R4" s="83" t="s">
        <v>81</v>
      </c>
      <c r="S4" s="83" t="s">
        <v>82</v>
      </c>
      <c r="T4" s="51" t="s">
        <v>276</v>
      </c>
      <c r="U4" s="45"/>
      <c r="V4" s="45"/>
      <c r="W4" s="45"/>
      <c r="X4" s="45"/>
      <c r="Y4" s="439" t="s">
        <v>6</v>
      </c>
      <c r="Z4" s="439"/>
      <c r="AA4" s="439"/>
      <c r="AB4" s="439"/>
    </row>
    <row r="5" spans="1:29" ht="15" customHeight="1" x14ac:dyDescent="0.25">
      <c r="B5" s="84" t="s">
        <v>0</v>
      </c>
      <c r="C5" s="75" t="s">
        <v>1</v>
      </c>
      <c r="D5" s="75" t="s">
        <v>8</v>
      </c>
      <c r="E5" s="76" t="s">
        <v>433</v>
      </c>
      <c r="F5" s="76" t="s">
        <v>1</v>
      </c>
      <c r="G5" s="76" t="s">
        <v>1</v>
      </c>
      <c r="H5" s="54"/>
      <c r="I5" s="54"/>
      <c r="J5" s="54"/>
      <c r="K5" s="54"/>
      <c r="L5" s="54"/>
      <c r="M5" s="54"/>
      <c r="N5" s="54"/>
      <c r="O5" s="54"/>
      <c r="P5" s="54"/>
      <c r="Q5" s="54"/>
      <c r="R5" s="84" t="str">
        <f>DEC2HEX(MOD(HEX2DEC(C5)+HEX2DEC(D5)+HEX2DEC(E5)+HEX2DEC(F5)+HEX2DEC(G5)+HEX2DEC(H5)+HEX2DEC(I5)+HEX2DEC(J5)+HEX2DEC(K5)+HEX2DEC(L5)+HEX2DEC(M5)+HEX2DEC(N5)+HEX2DEC(Q5),256),2)</f>
        <v>27</v>
      </c>
      <c r="S5" s="84" t="s">
        <v>5</v>
      </c>
      <c r="T5" s="55" t="str">
        <f>IF(ISBLANK(B5),,B5&amp;" ")&amp;IF(ISBLANK(C5),,C5&amp;" ")&amp;IF(ISBLANK(D5),,D5&amp;" ")&amp;IF(ISBLANK(E5),,E5&amp;" ")&amp;IF(ISBLANK(F5),,F5&amp;" ")&amp;IF(ISBLANK(G5),,G5&amp;" ")&amp;IF(ISBLANK(H5),,H5&amp;" ")&amp;IF(ISBLANK(I5),,I5&amp;" ")&amp;IF(ISBLANK(J5),,J5&amp;" ")&amp;IF(ISBLANK(K5),,K5&amp;" ")&amp;IF(ISBLANK(L5),,L5&amp;" ")&amp;IF(ISBLANK(M5),,M5&amp;" ")&amp;IF(ISBLANK(N5),,N5&amp;" ")&amp;IF(ISBLANK(Q5),,Q5&amp;" ")&amp;IF(ISBLANK(R5),,R5&amp;" ")&amp;IF(ISBLANK(S5),,S5)</f>
        <v>aa 00 03 24 00 00 27 55</v>
      </c>
      <c r="U5" s="77"/>
      <c r="V5" s="77"/>
      <c r="W5" s="77"/>
      <c r="X5" s="165"/>
      <c r="Y5" s="634" t="s">
        <v>498</v>
      </c>
      <c r="Z5" s="634"/>
      <c r="AA5" s="634"/>
      <c r="AB5" s="634"/>
    </row>
    <row r="6" spans="1:29" ht="15" customHeight="1" x14ac:dyDescent="0.25">
      <c r="B6" s="161"/>
      <c r="C6" s="162"/>
      <c r="D6" s="162"/>
      <c r="E6" s="163"/>
      <c r="F6" s="163"/>
      <c r="G6" s="163"/>
      <c r="H6" s="65"/>
      <c r="I6" s="65"/>
      <c r="J6" s="65"/>
      <c r="K6" s="65"/>
      <c r="L6" s="65"/>
      <c r="M6" s="65"/>
      <c r="N6" s="65"/>
      <c r="O6" s="65"/>
      <c r="P6" s="65"/>
      <c r="Q6" s="65"/>
      <c r="R6" s="161"/>
      <c r="S6" s="161"/>
      <c r="T6" s="67"/>
      <c r="U6" s="164"/>
      <c r="V6" s="164"/>
      <c r="W6" s="164"/>
      <c r="X6" s="164"/>
      <c r="Y6" s="634"/>
      <c r="Z6" s="634"/>
      <c r="AA6" s="634"/>
      <c r="AB6" s="634"/>
    </row>
    <row r="7" spans="1:29" ht="15" customHeight="1" x14ac:dyDescent="0.25">
      <c r="B7" s="156"/>
      <c r="C7" s="157"/>
      <c r="D7" s="157"/>
      <c r="E7" s="157"/>
      <c r="F7" s="157"/>
      <c r="G7" s="157"/>
      <c r="H7" s="157"/>
      <c r="I7" s="157"/>
      <c r="J7" s="157"/>
      <c r="K7" s="157"/>
      <c r="L7" s="157"/>
      <c r="M7" s="157"/>
      <c r="N7" s="157"/>
      <c r="O7" s="157"/>
      <c r="P7" s="157"/>
      <c r="Q7" s="157"/>
      <c r="R7" s="158"/>
      <c r="S7" s="158"/>
      <c r="T7" s="159"/>
      <c r="U7" s="160"/>
      <c r="V7" s="160"/>
      <c r="W7" s="160"/>
      <c r="X7" s="160"/>
      <c r="Y7" s="634"/>
      <c r="Z7" s="634"/>
      <c r="AA7" s="634"/>
      <c r="AB7" s="634"/>
    </row>
    <row r="8" spans="1:29" ht="15" customHeight="1" x14ac:dyDescent="0.25">
      <c r="B8" s="156"/>
      <c r="C8" s="157"/>
      <c r="D8" s="157"/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57"/>
      <c r="P8" s="157"/>
      <c r="Q8" s="157"/>
      <c r="R8" s="158"/>
      <c r="S8" s="158"/>
      <c r="T8" s="159"/>
      <c r="U8" s="160"/>
      <c r="V8" s="160"/>
      <c r="W8" s="160"/>
      <c r="X8" s="160"/>
      <c r="Y8" s="636"/>
      <c r="Z8" s="636"/>
      <c r="AA8" s="636"/>
      <c r="AB8" s="636"/>
    </row>
    <row r="9" spans="1:29" ht="15" customHeight="1" x14ac:dyDescent="0.25">
      <c r="B9" s="84" t="s">
        <v>0</v>
      </c>
      <c r="C9" s="75" t="s">
        <v>1</v>
      </c>
      <c r="D9" s="75" t="s">
        <v>8</v>
      </c>
      <c r="E9" s="76" t="s">
        <v>433</v>
      </c>
      <c r="F9" s="76" t="s">
        <v>1</v>
      </c>
      <c r="G9" s="76" t="s">
        <v>4</v>
      </c>
      <c r="H9" s="54"/>
      <c r="I9" s="54"/>
      <c r="J9" s="54"/>
      <c r="K9" s="54"/>
      <c r="L9" s="54"/>
      <c r="M9" s="54"/>
      <c r="N9" s="54"/>
      <c r="O9" s="54"/>
      <c r="P9" s="54"/>
      <c r="Q9" s="54"/>
      <c r="R9" s="84" t="str">
        <f>DEC2HEX(MOD(HEX2DEC(C9)+HEX2DEC(D9)+HEX2DEC(E9)+HEX2DEC(F9)+HEX2DEC(G9)+HEX2DEC(H9)+HEX2DEC(I9)+HEX2DEC(J9)+HEX2DEC(K9)+HEX2DEC(L9)+HEX2DEC(M9)+HEX2DEC(N9)+HEX2DEC(Q9),256),2)</f>
        <v>28</v>
      </c>
      <c r="S9" s="84" t="s">
        <v>5</v>
      </c>
      <c r="T9" s="118" t="str">
        <f>IF(ISBLANK(B9),,B9&amp;" ")&amp;IF(ISBLANK(C9),,C9&amp;" ")&amp;IF(ISBLANK(D9),,D9&amp;" ")&amp;IF(ISBLANK(E9),,E9&amp;" ")&amp;IF(ISBLANK(F9),,F9&amp;" ")&amp;IF(ISBLANK(G9),,G9&amp;" ")&amp;IF(ISBLANK(H9),,H9&amp;" ")&amp;IF(ISBLANK(I9),,I9&amp;" ")&amp;IF(ISBLANK(J9),,J9&amp;" ")&amp;IF(ISBLANK(K9),,K9&amp;" ")&amp;IF(ISBLANK(L9),,L9&amp;" ")&amp;IF(ISBLANK(M9),,M9&amp;" ")&amp;IF(ISBLANK(N9),,N9&amp;" ")&amp;IF(ISBLANK(Q9),,Q9&amp;" ")&amp;IF(ISBLANK(R9),,R9&amp;" ")&amp;IF(ISBLANK(S9),,S9)</f>
        <v>aa 00 03 24 00 01 28 55</v>
      </c>
      <c r="U9" s="637" t="s">
        <v>434</v>
      </c>
      <c r="V9" s="638"/>
      <c r="W9" s="638"/>
      <c r="X9" s="638"/>
      <c r="Y9" s="638"/>
      <c r="Z9" s="638"/>
      <c r="AA9" s="638"/>
      <c r="AB9" s="639"/>
    </row>
    <row r="10" spans="1:29" ht="15" customHeight="1" x14ac:dyDescent="0.25">
      <c r="B10" s="84" t="s">
        <v>0</v>
      </c>
      <c r="C10" s="75" t="s">
        <v>1</v>
      </c>
      <c r="D10" s="75" t="s">
        <v>8</v>
      </c>
      <c r="E10" s="76" t="s">
        <v>433</v>
      </c>
      <c r="F10" s="76" t="s">
        <v>1</v>
      </c>
      <c r="G10" s="76" t="s">
        <v>70</v>
      </c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84" t="str">
        <f>DEC2HEX(MOD(HEX2DEC(C10)+HEX2DEC(D10)+HEX2DEC(E10)+HEX2DEC(F10)+HEX2DEC(G10)+HEX2DEC(H10)+HEX2DEC(I10)+HEX2DEC(J10)+HEX2DEC(K10)+HEX2DEC(L10)+HEX2DEC(M10)+HEX2DEC(N10)+HEX2DEC(Q10),256),2)</f>
        <v>37</v>
      </c>
      <c r="S10" s="84" t="s">
        <v>5</v>
      </c>
      <c r="T10" s="55" t="str">
        <f>IF(ISBLANK(B10),,B10&amp;" ")&amp;IF(ISBLANK(C10),,C10&amp;" ")&amp;IF(ISBLANK(D10),,D10&amp;" ")&amp;IF(ISBLANK(E10),,E10&amp;" ")&amp;IF(ISBLANK(F10),,F10&amp;" ")&amp;IF(ISBLANK(G10),,G10&amp;" ")&amp;IF(ISBLANK(H10),,H10&amp;" ")&amp;IF(ISBLANK(I10),,I10&amp;" ")&amp;IF(ISBLANK(J10),,J10&amp;" ")&amp;IF(ISBLANK(K10),,K10&amp;" ")&amp;IF(ISBLANK(L10),,L10&amp;" ")&amp;IF(ISBLANK(M10),,M10&amp;" ")&amp;IF(ISBLANK(N10),,N10&amp;" ")&amp;IF(ISBLANK(Q10),,Q10&amp;" ")&amp;IF(ISBLANK(R10),,R10&amp;" ")&amp;IF(ISBLANK(S10),,S10)</f>
        <v>aa 00 03 24 00 10 37 55</v>
      </c>
      <c r="U10" s="637" t="s">
        <v>435</v>
      </c>
      <c r="V10" s="638"/>
      <c r="W10" s="638"/>
      <c r="X10" s="638"/>
      <c r="Y10" s="638"/>
      <c r="Z10" s="638"/>
      <c r="AA10" s="638"/>
      <c r="AB10" s="639"/>
    </row>
    <row r="11" spans="1:29" ht="15" customHeight="1" x14ac:dyDescent="0.25">
      <c r="B11" s="84" t="s">
        <v>0</v>
      </c>
      <c r="C11" s="75" t="s">
        <v>1</v>
      </c>
      <c r="D11" s="75" t="s">
        <v>8</v>
      </c>
      <c r="E11" s="76" t="s">
        <v>433</v>
      </c>
      <c r="F11" s="76" t="s">
        <v>1</v>
      </c>
      <c r="G11" s="76" t="s">
        <v>28</v>
      </c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84" t="str">
        <f>DEC2HEX(MOD(HEX2DEC(C11)+HEX2DEC(D11)+HEX2DEC(E11)+HEX2DEC(F11)+HEX2DEC(G11)+HEX2DEC(H11)+HEX2DEC(I11)+HEX2DEC(J11)+HEX2DEC(K11)+HEX2DEC(L11)+HEX2DEC(M11)+HEX2DEC(N11)+HEX2DEC(Q11),256),2)</f>
        <v>38</v>
      </c>
      <c r="S11" s="84" t="s">
        <v>5</v>
      </c>
      <c r="T11" s="55" t="str">
        <f>IF(ISBLANK(B11),,B11&amp;" ")&amp;IF(ISBLANK(C11),,C11&amp;" ")&amp;IF(ISBLANK(D11),,D11&amp;" ")&amp;IF(ISBLANK(E11),,E11&amp;" ")&amp;IF(ISBLANK(F11),,F11&amp;" ")&amp;IF(ISBLANK(G11),,G11&amp;" ")&amp;IF(ISBLANK(H11),,H11&amp;" ")&amp;IF(ISBLANK(I11),,I11&amp;" ")&amp;IF(ISBLANK(J11),,J11&amp;" ")&amp;IF(ISBLANK(K11),,K11&amp;" ")&amp;IF(ISBLANK(L11),,L11&amp;" ")&amp;IF(ISBLANK(M11),,M11&amp;" ")&amp;IF(ISBLANK(N11),,N11&amp;" ")&amp;IF(ISBLANK(Q11),,Q11&amp;" ")&amp;IF(ISBLANK(R11),,R11&amp;" ")&amp;IF(ISBLANK(S11),,S11)</f>
        <v>aa 00 03 24 00 11 38 55</v>
      </c>
      <c r="U11" s="637" t="s">
        <v>436</v>
      </c>
      <c r="V11" s="638"/>
      <c r="W11" s="638"/>
      <c r="X11" s="638"/>
      <c r="Y11" s="638"/>
      <c r="Z11" s="638"/>
      <c r="AA11" s="638"/>
      <c r="AB11" s="639"/>
    </row>
    <row r="12" spans="1:29" ht="15" customHeight="1" x14ac:dyDescent="0.25">
      <c r="A12" s="39"/>
      <c r="B12" s="125"/>
      <c r="C12" s="126"/>
      <c r="D12" s="126"/>
      <c r="E12" s="127"/>
      <c r="F12" s="127"/>
      <c r="G12" s="127"/>
      <c r="H12" s="128"/>
      <c r="I12" s="128"/>
      <c r="J12" s="128"/>
      <c r="K12" s="128"/>
      <c r="L12" s="128"/>
      <c r="M12" s="128"/>
      <c r="N12" s="128"/>
      <c r="O12" s="128"/>
      <c r="P12" s="128"/>
      <c r="Q12" s="128"/>
      <c r="R12" s="125"/>
      <c r="S12" s="125"/>
      <c r="T12" s="53"/>
      <c r="U12" s="129"/>
      <c r="V12" s="134"/>
      <c r="W12" s="135"/>
      <c r="X12" s="135"/>
      <c r="Y12" s="136"/>
      <c r="Z12" s="132"/>
      <c r="AA12" s="130"/>
      <c r="AB12" s="131"/>
      <c r="AC12" s="39"/>
    </row>
    <row r="13" spans="1:29" ht="15" customHeight="1" x14ac:dyDescent="0.25">
      <c r="A13" s="39"/>
      <c r="B13" s="125"/>
      <c r="C13" s="126"/>
      <c r="D13" s="126"/>
      <c r="E13" s="127"/>
      <c r="F13" s="127"/>
      <c r="G13" s="127"/>
      <c r="H13" s="128"/>
      <c r="I13" s="128"/>
      <c r="J13" s="128"/>
      <c r="K13" s="128"/>
      <c r="L13" s="128"/>
      <c r="M13" s="128"/>
      <c r="N13" s="128"/>
      <c r="O13" s="128"/>
      <c r="P13" s="128"/>
      <c r="Q13" s="128"/>
      <c r="R13" s="125"/>
      <c r="S13" s="125"/>
      <c r="T13" s="53"/>
      <c r="U13" s="137"/>
      <c r="V13" s="635"/>
      <c r="W13" s="635"/>
      <c r="X13" s="635"/>
      <c r="Y13" s="635"/>
      <c r="Z13" s="635"/>
      <c r="AA13" s="155" t="s">
        <v>444</v>
      </c>
      <c r="AB13" s="155" t="s">
        <v>438</v>
      </c>
      <c r="AC13" s="39"/>
    </row>
    <row r="14" spans="1:29" ht="15" customHeight="1" x14ac:dyDescent="0.25">
      <c r="B14" s="84" t="s">
        <v>0</v>
      </c>
      <c r="C14" s="75" t="s">
        <v>1</v>
      </c>
      <c r="D14" s="75" t="s">
        <v>2</v>
      </c>
      <c r="E14" s="76" t="s">
        <v>433</v>
      </c>
      <c r="F14" s="76" t="s">
        <v>1</v>
      </c>
      <c r="G14" s="76" t="s">
        <v>17</v>
      </c>
      <c r="H14" s="54" t="s">
        <v>502</v>
      </c>
      <c r="I14" s="54"/>
      <c r="J14" s="54"/>
      <c r="K14" s="54"/>
      <c r="L14" s="54"/>
      <c r="M14" s="54"/>
      <c r="N14" s="54"/>
      <c r="O14" s="54"/>
      <c r="P14" s="54"/>
      <c r="Q14" s="54"/>
      <c r="R14" s="84" t="str">
        <f>DEC2HEX(MOD(HEX2DEC(C14)+HEX2DEC(D14)+HEX2DEC(E14)+HEX2DEC(F14)+HEX2DEC(G14)+HEX2DEC(H14)+HEX2DEC(I14)+HEX2DEC(J14)+HEX2DEC(K14)+HEX2DEC(L14)+HEX2DEC(M14)+HEX2DEC(N14)+HEX2DEC(Q14),256),2)</f>
        <v>3B</v>
      </c>
      <c r="S14" s="84" t="s">
        <v>5</v>
      </c>
      <c r="T14" s="169" t="str">
        <f>IF(ISBLANK(B14),,B14&amp;" ")&amp;IF(ISBLANK(C14),,C14&amp;" ")&amp;IF(ISBLANK(D14),,D14&amp;" ")&amp;IF(ISBLANK(E14),,E14&amp;" ")&amp;IF(ISBLANK(F14),,F14&amp;" ")&amp;IF(ISBLANK(G14),,G14&amp;" ")&amp;IF(ISBLANK(H14),,H14&amp;" ")&amp;IF(ISBLANK(I14),,I14&amp;" ")&amp;IF(ISBLANK(J14),,J14&amp;" ")&amp;IF(ISBLANK(K14),,K14&amp;" ")&amp;IF(ISBLANK(L14),,L14&amp;" ")&amp;IF(ISBLANK(M14),,M14&amp;" ")&amp;IF(ISBLANK(N14),,N14&amp;" ")&amp;IF(ISBLANK(Q14),,Q14&amp;" ")&amp;IF(ISBLANK(R14),,R14&amp;" ")&amp;IF(ISBLANK(S14),,S14)</f>
        <v>aa 00 04 24 00 12 01 3B 55</v>
      </c>
      <c r="U14" s="115" t="s">
        <v>503</v>
      </c>
      <c r="V14" s="634" t="s">
        <v>437</v>
      </c>
      <c r="W14" s="634"/>
      <c r="X14" s="634"/>
      <c r="Y14" s="634"/>
      <c r="Z14" s="634"/>
      <c r="AA14" s="133" t="s">
        <v>439</v>
      </c>
      <c r="AB14" s="133" t="s">
        <v>440</v>
      </c>
    </row>
    <row r="15" spans="1:29" ht="15" customHeight="1" x14ac:dyDescent="0.25">
      <c r="B15" s="84" t="s">
        <v>0</v>
      </c>
      <c r="C15" s="75" t="s">
        <v>1</v>
      </c>
      <c r="D15" s="75" t="s">
        <v>2</v>
      </c>
      <c r="E15" s="76" t="s">
        <v>433</v>
      </c>
      <c r="F15" s="76" t="s">
        <v>1</v>
      </c>
      <c r="G15" s="76" t="s">
        <v>17</v>
      </c>
      <c r="H15" s="54" t="s">
        <v>15</v>
      </c>
      <c r="I15" s="54"/>
      <c r="J15" s="54"/>
      <c r="K15" s="54"/>
      <c r="L15" s="54"/>
      <c r="M15" s="54"/>
      <c r="N15" s="54"/>
      <c r="O15" s="54"/>
      <c r="P15" s="54"/>
      <c r="Q15" s="54"/>
      <c r="R15" s="84" t="str">
        <f>DEC2HEX(MOD(HEX2DEC(C15)+HEX2DEC(D15)+HEX2DEC(E15)+HEX2DEC(F15)+HEX2DEC(G15)+HEX2DEC(H15)+HEX2DEC(I15)+HEX2DEC(J15)+HEX2DEC(K15)+HEX2DEC(L15)+HEX2DEC(M15)+HEX2DEC(N15)+HEX2DEC(Q15),256),2)</f>
        <v>3C</v>
      </c>
      <c r="S15" s="84" t="s">
        <v>5</v>
      </c>
      <c r="T15" s="55" t="str">
        <f>IF(ISBLANK(B15),,B15&amp;" ")&amp;IF(ISBLANK(C15),,C15&amp;" ")&amp;IF(ISBLANK(D15),,D15&amp;" ")&amp;IF(ISBLANK(E15),,E15&amp;" ")&amp;IF(ISBLANK(F15),,F15&amp;" ")&amp;IF(ISBLANK(G15),,G15&amp;" ")&amp;IF(ISBLANK(H15),,H15&amp;" ")&amp;IF(ISBLANK(I15),,I15&amp;" ")&amp;IF(ISBLANK(J15),,J15&amp;" ")&amp;IF(ISBLANK(K15),,K15&amp;" ")&amp;IF(ISBLANK(L15),,L15&amp;" ")&amp;IF(ISBLANK(M15),,M15&amp;" ")&amp;IF(ISBLANK(N15),,N15&amp;" ")&amp;IF(ISBLANK(Q15),,Q15&amp;" ")&amp;IF(ISBLANK(R15),,R15&amp;" ")&amp;IF(ISBLANK(S15),,S15)</f>
        <v>aa 00 04 24 00 12 02 3C 55</v>
      </c>
      <c r="U15" s="115" t="s">
        <v>597</v>
      </c>
      <c r="V15" s="634"/>
      <c r="W15" s="634"/>
      <c r="X15" s="634"/>
      <c r="Y15" s="634"/>
      <c r="Z15" s="634"/>
      <c r="AA15" s="133" t="s">
        <v>441</v>
      </c>
      <c r="AB15" s="133" t="s">
        <v>442</v>
      </c>
    </row>
    <row r="16" spans="1:29" ht="15" customHeight="1" x14ac:dyDescent="0.25">
      <c r="B16" s="84" t="s">
        <v>0</v>
      </c>
      <c r="C16" s="75" t="s">
        <v>1</v>
      </c>
      <c r="D16" s="75" t="s">
        <v>2</v>
      </c>
      <c r="E16" s="76" t="s">
        <v>433</v>
      </c>
      <c r="F16" s="76" t="s">
        <v>1</v>
      </c>
      <c r="G16" s="76" t="s">
        <v>17</v>
      </c>
      <c r="H16" s="54" t="s">
        <v>13</v>
      </c>
      <c r="I16" s="54"/>
      <c r="J16" s="54"/>
      <c r="K16" s="54"/>
      <c r="L16" s="54"/>
      <c r="M16" s="54"/>
      <c r="N16" s="54"/>
      <c r="O16" s="54"/>
      <c r="P16" s="54"/>
      <c r="Q16" s="54"/>
      <c r="R16" s="84" t="str">
        <f>DEC2HEX(MOD(HEX2DEC(C16)+HEX2DEC(D16)+HEX2DEC(E16)+HEX2DEC(F16)+HEX2DEC(G16)+HEX2DEC(H16)+HEX2DEC(I16)+HEX2DEC(J16)+HEX2DEC(K16)+HEX2DEC(L16)+HEX2DEC(M16)+HEX2DEC(N16)+HEX2DEC(Q16),256),2)</f>
        <v>3D</v>
      </c>
      <c r="S16" s="84" t="s">
        <v>5</v>
      </c>
      <c r="T16" s="55" t="str">
        <f>IF(ISBLANK(B16),,B16&amp;" ")&amp;IF(ISBLANK(C16),,C16&amp;" ")&amp;IF(ISBLANK(D16),,D16&amp;" ")&amp;IF(ISBLANK(E16),,E16&amp;" ")&amp;IF(ISBLANK(F16),,F16&amp;" ")&amp;IF(ISBLANK(G16),,G16&amp;" ")&amp;IF(ISBLANK(H16),,H16&amp;" ")&amp;IF(ISBLANK(I16),,I16&amp;" ")&amp;IF(ISBLANK(J16),,J16&amp;" ")&amp;IF(ISBLANK(K16),,K16&amp;" ")&amp;IF(ISBLANK(L16),,L16&amp;" ")&amp;IF(ISBLANK(M16),,M16&amp;" ")&amp;IF(ISBLANK(N16),,N16&amp;" ")&amp;IF(ISBLANK(Q16),,Q16&amp;" ")&amp;IF(ISBLANK(R16),,R16&amp;" ")&amp;IF(ISBLANK(S16),,S16)</f>
        <v>aa 00 04 24 00 12 03 3D 55</v>
      </c>
      <c r="U16" s="115" t="s">
        <v>504</v>
      </c>
      <c r="V16" s="634"/>
      <c r="W16" s="634"/>
      <c r="X16" s="634"/>
      <c r="Y16" s="634"/>
      <c r="Z16" s="634"/>
      <c r="AA16" s="133" t="s">
        <v>443</v>
      </c>
      <c r="AB16" s="133" t="s">
        <v>499</v>
      </c>
    </row>
    <row r="17" spans="1:29" ht="15" customHeight="1" x14ac:dyDescent="0.25"/>
    <row r="18" spans="1:29" ht="15" customHeight="1" x14ac:dyDescent="0.25">
      <c r="A18" s="39"/>
      <c r="B18" s="125"/>
      <c r="C18" s="126"/>
      <c r="D18" s="126"/>
      <c r="E18" s="127"/>
      <c r="F18" s="127"/>
      <c r="G18" s="127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5"/>
      <c r="S18" s="125"/>
      <c r="T18" s="53"/>
      <c r="U18" s="154" t="s">
        <v>446</v>
      </c>
      <c r="V18" s="154" t="s">
        <v>81</v>
      </c>
      <c r="W18" s="129"/>
      <c r="X18" s="129"/>
      <c r="Y18" s="129"/>
      <c r="Z18" s="129"/>
      <c r="AA18" s="138" t="s">
        <v>445</v>
      </c>
      <c r="AB18" s="140" t="s">
        <v>438</v>
      </c>
      <c r="AC18" s="39"/>
    </row>
    <row r="19" spans="1:29" ht="15" customHeight="1" x14ac:dyDescent="0.25">
      <c r="B19" s="84" t="s">
        <v>0</v>
      </c>
      <c r="C19" s="75" t="s">
        <v>1</v>
      </c>
      <c r="D19" s="75" t="s">
        <v>9</v>
      </c>
      <c r="E19" s="76" t="s">
        <v>433</v>
      </c>
      <c r="F19" s="76" t="s">
        <v>1</v>
      </c>
      <c r="G19" s="76" t="s">
        <v>53</v>
      </c>
      <c r="H19" s="54" t="str">
        <f t="shared" ref="H19:I23" si="0">DEC2HEX(U19,2)</f>
        <v>01</v>
      </c>
      <c r="I19" s="54" t="str">
        <f t="shared" si="0"/>
        <v>01</v>
      </c>
      <c r="J19" s="54"/>
      <c r="K19" s="54"/>
      <c r="L19" s="54"/>
      <c r="M19" s="54"/>
      <c r="N19" s="54"/>
      <c r="O19" s="54"/>
      <c r="P19" s="54"/>
      <c r="Q19" s="54"/>
      <c r="R19" s="84" t="str">
        <f t="shared" ref="R19:R24" si="1">DEC2HEX(MOD(HEX2DEC(C19)+HEX2DEC(D19)+HEX2DEC(E19)+HEX2DEC(F19)+HEX2DEC(G19)+HEX2DEC(H19)+HEX2DEC(I19)+HEX2DEC(J19)+HEX2DEC(K19)+HEX2DEC(L19)+HEX2DEC(M19)+HEX2DEC(N19)+HEX2DEC(Q19),256),2)</f>
        <v>4B</v>
      </c>
      <c r="S19" s="84" t="s">
        <v>5</v>
      </c>
      <c r="T19" s="55" t="str">
        <f t="shared" ref="T19:T24" si="2">IF(ISBLANK(B19),,B19&amp;" ")&amp;IF(ISBLANK(C19),,C19&amp;" ")&amp;IF(ISBLANK(D19),,D19&amp;" ")&amp;IF(ISBLANK(E19),,E19&amp;" ")&amp;IF(ISBLANK(F19),,F19&amp;" ")&amp;IF(ISBLANK(G19),,G19&amp;" ")&amp;IF(ISBLANK(H19),,H19&amp;" ")&amp;IF(ISBLANK(I19),,I19&amp;" ")&amp;IF(ISBLANK(J19),,J19&amp;" ")&amp;IF(ISBLANK(K19),,K19&amp;" ")&amp;IF(ISBLANK(L19),,L19&amp;" ")&amp;IF(ISBLANK(M19),,M19&amp;" ")&amp;IF(ISBLANK(N19),,N19&amp;" ")&amp;IF(ISBLANK(Q19),,Q19&amp;" ")&amp;IF(ISBLANK(R19),,R19&amp;" ")&amp;IF(ISBLANK(S19),,S19)</f>
        <v>aa 00 05 24 00 20 01 01 4B 55</v>
      </c>
      <c r="U19" s="116">
        <v>1</v>
      </c>
      <c r="V19" s="115">
        <v>1</v>
      </c>
      <c r="W19" s="534" t="s">
        <v>603</v>
      </c>
      <c r="X19" s="534"/>
      <c r="Y19" s="534"/>
      <c r="Z19" s="534"/>
      <c r="AA19" s="166" t="s">
        <v>439</v>
      </c>
      <c r="AB19" s="166" t="s">
        <v>450</v>
      </c>
    </row>
    <row r="20" spans="1:29" ht="15" customHeight="1" x14ac:dyDescent="0.25">
      <c r="B20" s="84" t="s">
        <v>0</v>
      </c>
      <c r="C20" s="75" t="s">
        <v>1</v>
      </c>
      <c r="D20" s="75" t="s">
        <v>9</v>
      </c>
      <c r="E20" s="76" t="s">
        <v>433</v>
      </c>
      <c r="F20" s="76" t="s">
        <v>1</v>
      </c>
      <c r="G20" s="76" t="s">
        <v>53</v>
      </c>
      <c r="H20" s="54" t="str">
        <f t="shared" si="0"/>
        <v>02</v>
      </c>
      <c r="I20" s="54" t="str">
        <f t="shared" si="0"/>
        <v>01</v>
      </c>
      <c r="J20" s="54"/>
      <c r="K20" s="54"/>
      <c r="L20" s="54"/>
      <c r="M20" s="54"/>
      <c r="N20" s="54"/>
      <c r="O20" s="54"/>
      <c r="P20" s="54"/>
      <c r="Q20" s="54"/>
      <c r="R20" s="84" t="str">
        <f t="shared" si="1"/>
        <v>4C</v>
      </c>
      <c r="S20" s="84" t="s">
        <v>5</v>
      </c>
      <c r="T20" s="55" t="str">
        <f t="shared" si="2"/>
        <v>aa 00 05 24 00 20 02 01 4C 55</v>
      </c>
      <c r="U20" s="116">
        <v>2</v>
      </c>
      <c r="V20" s="115">
        <v>1</v>
      </c>
      <c r="W20" s="534"/>
      <c r="X20" s="534"/>
      <c r="Y20" s="534"/>
      <c r="Z20" s="534"/>
      <c r="AA20" s="167" t="s">
        <v>441</v>
      </c>
      <c r="AB20" s="167" t="s">
        <v>451</v>
      </c>
    </row>
    <row r="21" spans="1:29" ht="15" customHeight="1" x14ac:dyDescent="0.25">
      <c r="B21" s="84" t="s">
        <v>0</v>
      </c>
      <c r="C21" s="75" t="s">
        <v>1</v>
      </c>
      <c r="D21" s="75" t="s">
        <v>9</v>
      </c>
      <c r="E21" s="76" t="s">
        <v>433</v>
      </c>
      <c r="F21" s="76" t="s">
        <v>1</v>
      </c>
      <c r="G21" s="76" t="s">
        <v>53</v>
      </c>
      <c r="H21" s="54" t="str">
        <f t="shared" si="0"/>
        <v>04</v>
      </c>
      <c r="I21" s="54" t="str">
        <f t="shared" si="0"/>
        <v>01</v>
      </c>
      <c r="J21" s="54"/>
      <c r="K21" s="54"/>
      <c r="L21" s="54"/>
      <c r="M21" s="54"/>
      <c r="N21" s="54"/>
      <c r="O21" s="54"/>
      <c r="P21" s="54"/>
      <c r="Q21" s="54"/>
      <c r="R21" s="84" t="str">
        <f t="shared" si="1"/>
        <v>4E</v>
      </c>
      <c r="S21" s="84" t="s">
        <v>5</v>
      </c>
      <c r="T21" s="55" t="str">
        <f t="shared" si="2"/>
        <v>aa 00 05 24 00 20 04 01 4E 55</v>
      </c>
      <c r="U21" s="116">
        <v>4</v>
      </c>
      <c r="V21" s="115">
        <v>1</v>
      </c>
      <c r="W21" s="534"/>
      <c r="X21" s="534"/>
      <c r="Y21" s="534"/>
      <c r="Z21" s="534"/>
      <c r="AA21" s="167" t="s">
        <v>447</v>
      </c>
      <c r="AB21" s="167" t="s">
        <v>452</v>
      </c>
    </row>
    <row r="22" spans="1:29" ht="15" customHeight="1" x14ac:dyDescent="0.25">
      <c r="B22" s="84" t="s">
        <v>0</v>
      </c>
      <c r="C22" s="75" t="s">
        <v>1</v>
      </c>
      <c r="D22" s="75" t="s">
        <v>9</v>
      </c>
      <c r="E22" s="76" t="s">
        <v>433</v>
      </c>
      <c r="F22" s="76" t="s">
        <v>1</v>
      </c>
      <c r="G22" s="76" t="s">
        <v>53</v>
      </c>
      <c r="H22" s="54" t="str">
        <f t="shared" si="0"/>
        <v>08</v>
      </c>
      <c r="I22" s="54" t="str">
        <f t="shared" si="0"/>
        <v>01</v>
      </c>
      <c r="J22" s="54"/>
      <c r="K22" s="54"/>
      <c r="L22" s="54"/>
      <c r="M22" s="54"/>
      <c r="N22" s="54"/>
      <c r="O22" s="54"/>
      <c r="P22" s="54"/>
      <c r="Q22" s="54"/>
      <c r="R22" s="84" t="str">
        <f t="shared" si="1"/>
        <v>52</v>
      </c>
      <c r="S22" s="84" t="s">
        <v>5</v>
      </c>
      <c r="T22" s="55" t="str">
        <f t="shared" si="2"/>
        <v>aa 00 05 24 00 20 08 01 52 55</v>
      </c>
      <c r="U22" s="116">
        <v>8</v>
      </c>
      <c r="V22" s="115">
        <v>1</v>
      </c>
      <c r="W22" s="534"/>
      <c r="X22" s="534"/>
      <c r="Y22" s="534"/>
      <c r="Z22" s="534"/>
      <c r="AA22" s="167" t="s">
        <v>448</v>
      </c>
      <c r="AB22" s="167" t="s">
        <v>453</v>
      </c>
    </row>
    <row r="23" spans="1:29" ht="15" customHeight="1" x14ac:dyDescent="0.25">
      <c r="B23" s="84" t="s">
        <v>0</v>
      </c>
      <c r="C23" s="75" t="s">
        <v>1</v>
      </c>
      <c r="D23" s="75" t="s">
        <v>9</v>
      </c>
      <c r="E23" s="76" t="s">
        <v>433</v>
      </c>
      <c r="F23" s="76" t="s">
        <v>1</v>
      </c>
      <c r="G23" s="76" t="s">
        <v>53</v>
      </c>
      <c r="H23" s="54" t="str">
        <f t="shared" si="0"/>
        <v>10</v>
      </c>
      <c r="I23" s="54" t="str">
        <f t="shared" si="0"/>
        <v>01</v>
      </c>
      <c r="J23" s="54"/>
      <c r="K23" s="54"/>
      <c r="L23" s="54"/>
      <c r="M23" s="54"/>
      <c r="N23" s="54"/>
      <c r="O23" s="54"/>
      <c r="P23" s="54"/>
      <c r="Q23" s="54"/>
      <c r="R23" s="84" t="str">
        <f t="shared" si="1"/>
        <v>5A</v>
      </c>
      <c r="S23" s="84" t="s">
        <v>5</v>
      </c>
      <c r="T23" s="55" t="str">
        <f t="shared" si="2"/>
        <v>aa 00 05 24 00 20 10 01 5A 55</v>
      </c>
      <c r="U23" s="116">
        <v>16</v>
      </c>
      <c r="V23" s="115">
        <v>1</v>
      </c>
      <c r="W23" s="534"/>
      <c r="X23" s="534"/>
      <c r="Y23" s="534"/>
      <c r="Z23" s="534"/>
      <c r="AA23" s="167" t="s">
        <v>449</v>
      </c>
      <c r="AB23" s="167" t="s">
        <v>454</v>
      </c>
    </row>
    <row r="24" spans="1:29" ht="15" customHeight="1" x14ac:dyDescent="0.25">
      <c r="B24" s="84" t="s">
        <v>0</v>
      </c>
      <c r="C24" s="75" t="s">
        <v>1</v>
      </c>
      <c r="D24" s="75" t="s">
        <v>9</v>
      </c>
      <c r="E24" s="76" t="s">
        <v>433</v>
      </c>
      <c r="F24" s="76" t="s">
        <v>1</v>
      </c>
      <c r="G24" s="76" t="s">
        <v>53</v>
      </c>
      <c r="H24" s="237" t="s">
        <v>602</v>
      </c>
      <c r="I24" s="237" t="str">
        <f t="shared" ref="I24" si="3">DEC2HEX(V24,2)</f>
        <v>00</v>
      </c>
      <c r="J24" s="237"/>
      <c r="K24" s="237"/>
      <c r="L24" s="237"/>
      <c r="M24" s="237"/>
      <c r="N24" s="237"/>
      <c r="O24" s="237"/>
      <c r="P24" s="237"/>
      <c r="Q24" s="237"/>
      <c r="R24" s="84" t="str">
        <f t="shared" si="1"/>
        <v>58</v>
      </c>
      <c r="S24" s="84" t="s">
        <v>5</v>
      </c>
      <c r="T24" s="55" t="str">
        <f t="shared" si="2"/>
        <v>aa 00 05 24 00 20 0F 00 58 55</v>
      </c>
      <c r="U24" s="116"/>
      <c r="V24" s="115">
        <v>0</v>
      </c>
      <c r="W24" s="238"/>
      <c r="X24" s="238"/>
      <c r="Y24" s="238"/>
      <c r="Z24" s="238"/>
      <c r="AA24" s="239"/>
      <c r="AB24" s="239"/>
    </row>
    <row r="25" spans="1:29" ht="15" customHeight="1" x14ac:dyDescent="0.25"/>
    <row r="26" spans="1:29" ht="15" customHeight="1" x14ac:dyDescent="0.25"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 t="s">
        <v>466</v>
      </c>
      <c r="V26" s="153"/>
      <c r="W26" s="153"/>
      <c r="X26" s="153"/>
      <c r="Y26" s="153"/>
      <c r="Z26" s="153"/>
      <c r="AA26" s="137" t="s">
        <v>455</v>
      </c>
      <c r="AB26" s="139" t="s">
        <v>438</v>
      </c>
    </row>
    <row r="27" spans="1:29" ht="15" customHeight="1" x14ac:dyDescent="0.25">
      <c r="B27" s="84" t="s">
        <v>0</v>
      </c>
      <c r="C27" s="75" t="s">
        <v>1</v>
      </c>
      <c r="D27" s="75" t="s">
        <v>45</v>
      </c>
      <c r="E27" s="76" t="s">
        <v>433</v>
      </c>
      <c r="F27" s="76" t="s">
        <v>1</v>
      </c>
      <c r="G27" s="76" t="s">
        <v>3</v>
      </c>
      <c r="H27" s="54" t="str">
        <f>LEFT(U27,2)</f>
        <v>00</v>
      </c>
      <c r="I27" s="54" t="str">
        <f>RIGHT(LEFT(U27,4),2)</f>
        <v>00</v>
      </c>
      <c r="J27" s="54" t="str">
        <f>RIGHT(LEFT(U27,6),2)</f>
        <v>FF</v>
      </c>
      <c r="K27" s="54" t="str">
        <f>RIGHT(LEFT(U27,8),2)</f>
        <v>FF</v>
      </c>
      <c r="L27" s="54"/>
      <c r="M27" s="54"/>
      <c r="N27" s="54"/>
      <c r="O27" s="54"/>
      <c r="P27" s="54"/>
      <c r="Q27" s="54"/>
      <c r="R27" s="84" t="str">
        <f>DEC2HEX(MOD(HEX2DEC(C27)+HEX2DEC(D27)+HEX2DEC(E27)+HEX2DEC(F27)+HEX2DEC(G27)+HEX2DEC(H27)+HEX2DEC(I27)+HEX2DEC(J27)+HEX2DEC(K27)+HEX2DEC(L27)+HEX2DEC(M27)+HEX2DEC(N27)+HEX2DEC(Q27),256),2)</f>
        <v>4A</v>
      </c>
      <c r="S27" s="84" t="s">
        <v>5</v>
      </c>
      <c r="T27" s="55" t="str">
        <f>IF(ISBLANK(B27),,B27&amp;" ")&amp;IF(ISBLANK(C27),,C27&amp;" ")&amp;IF(ISBLANK(D27),,D27&amp;" ")&amp;IF(ISBLANK(E27),,E27&amp;" ")&amp;IF(ISBLANK(F27),,F27&amp;" ")&amp;IF(ISBLANK(G27),,G27&amp;" ")&amp;IF(ISBLANK(H27),,H27&amp;" ")&amp;IF(ISBLANK(I27),,I27&amp;" ")&amp;IF(ISBLANK(J27),,J27&amp;" ")&amp;IF(ISBLANK(K27),,K27&amp;" ")&amp;IF(ISBLANK(L27),,L27&amp;" ")&amp;IF(ISBLANK(M27),,M27&amp;" ")&amp;IF(ISBLANK(N27),,N27&amp;" ")&amp;IF(ISBLANK(Q27),,Q27&amp;" ")&amp;IF(ISBLANK(R27),,R27&amp;" ")&amp;IF(ISBLANK(S27),,S27)</f>
        <v>aa 00 07 24 00 21 00 00 FF FF 4A 55</v>
      </c>
      <c r="U27" s="77" t="s">
        <v>467</v>
      </c>
      <c r="V27" s="634" t="s">
        <v>959</v>
      </c>
      <c r="W27" s="634"/>
      <c r="X27" s="634"/>
      <c r="Y27" s="634"/>
      <c r="Z27" s="634"/>
      <c r="AA27" s="168" t="s">
        <v>456</v>
      </c>
      <c r="AB27" s="168" t="s">
        <v>461</v>
      </c>
    </row>
    <row r="28" spans="1:29" ht="15" customHeight="1" x14ac:dyDescent="0.25">
      <c r="AA28" s="168" t="s">
        <v>457</v>
      </c>
      <c r="AB28" s="168" t="s">
        <v>462</v>
      </c>
    </row>
    <row r="29" spans="1:29" ht="15" customHeight="1" x14ac:dyDescent="0.25">
      <c r="AA29" s="168" t="s">
        <v>458</v>
      </c>
      <c r="AB29" s="168" t="s">
        <v>463</v>
      </c>
    </row>
    <row r="30" spans="1:29" ht="15" customHeight="1" x14ac:dyDescent="0.25">
      <c r="AA30" s="168" t="s">
        <v>459</v>
      </c>
      <c r="AB30" s="168" t="s">
        <v>464</v>
      </c>
    </row>
    <row r="31" spans="1:29" ht="15" customHeight="1" x14ac:dyDescent="0.25">
      <c r="AA31" s="168" t="s">
        <v>460</v>
      </c>
      <c r="AB31" s="168" t="s">
        <v>465</v>
      </c>
    </row>
    <row r="32" spans="1:29" ht="15" customHeight="1" x14ac:dyDescent="0.25"/>
    <row r="33" spans="2:28" ht="15" customHeight="1" x14ac:dyDescent="0.25"/>
    <row r="34" spans="2:28" ht="30" customHeight="1" x14ac:dyDescent="0.25">
      <c r="B34" s="608" t="s">
        <v>468</v>
      </c>
      <c r="C34" s="609"/>
      <c r="D34" s="609"/>
      <c r="E34" s="609"/>
      <c r="F34" s="609"/>
      <c r="G34" s="609"/>
      <c r="H34" s="609"/>
      <c r="I34" s="609"/>
      <c r="J34" s="609"/>
      <c r="K34" s="609"/>
      <c r="L34" s="609"/>
      <c r="M34" s="609"/>
      <c r="N34" s="609"/>
      <c r="O34" s="609"/>
      <c r="P34" s="609"/>
      <c r="Q34" s="609"/>
      <c r="R34" s="609"/>
      <c r="S34" s="609"/>
      <c r="T34" s="609"/>
      <c r="U34" s="609"/>
      <c r="V34" s="609"/>
      <c r="W34" s="609"/>
      <c r="X34" s="609"/>
      <c r="Y34" s="609"/>
      <c r="Z34" s="609"/>
      <c r="AA34" s="609"/>
      <c r="AB34" s="610"/>
    </row>
    <row r="35" spans="2:28" ht="15" customHeight="1" x14ac:dyDescent="0.25">
      <c r="B35" s="435" t="s">
        <v>469</v>
      </c>
      <c r="C35" s="435"/>
      <c r="D35" s="435"/>
      <c r="E35" s="435"/>
      <c r="F35" s="435"/>
      <c r="G35" s="435"/>
      <c r="H35" s="435"/>
      <c r="I35" s="435"/>
      <c r="J35" s="435"/>
      <c r="K35" s="435"/>
      <c r="L35" s="435"/>
      <c r="M35" s="435"/>
      <c r="N35" s="435"/>
      <c r="O35" s="435"/>
      <c r="P35" s="435"/>
      <c r="Q35" s="435"/>
      <c r="R35" s="435"/>
      <c r="S35" s="435"/>
      <c r="T35" s="151" t="s">
        <v>470</v>
      </c>
      <c r="U35" s="480" t="s">
        <v>268</v>
      </c>
      <c r="V35" s="481"/>
      <c r="W35" s="481"/>
      <c r="X35" s="481"/>
      <c r="Y35" s="481"/>
      <c r="Z35" s="481"/>
      <c r="AA35" s="481"/>
      <c r="AB35" s="482"/>
    </row>
    <row r="36" spans="2:28" ht="15" customHeight="1" x14ac:dyDescent="0.25">
      <c r="B36" s="152" t="s">
        <v>10</v>
      </c>
      <c r="C36" s="462" t="s">
        <v>83</v>
      </c>
      <c r="D36" s="477"/>
      <c r="E36" s="477"/>
      <c r="F36" s="477"/>
      <c r="G36" s="477"/>
      <c r="H36" s="477"/>
      <c r="I36" s="477"/>
      <c r="J36" s="477"/>
      <c r="K36" s="477"/>
      <c r="L36" s="477"/>
      <c r="M36" s="477"/>
      <c r="N36" s="477"/>
      <c r="O36" s="477"/>
      <c r="P36" s="477"/>
      <c r="Q36" s="477"/>
      <c r="R36" s="477" t="s">
        <v>81</v>
      </c>
      <c r="S36" s="463"/>
      <c r="T36" s="51" t="s">
        <v>276</v>
      </c>
      <c r="U36" s="559" t="s">
        <v>471</v>
      </c>
      <c r="V36" s="560"/>
      <c r="W36" s="560"/>
      <c r="X36" s="560"/>
      <c r="Y36" s="560"/>
      <c r="Z36" s="560"/>
      <c r="AA36" s="560"/>
      <c r="AB36" s="586"/>
    </row>
    <row r="37" spans="2:28" ht="15" customHeight="1" x14ac:dyDescent="0.25">
      <c r="B37" s="42" t="s">
        <v>505</v>
      </c>
      <c r="C37" s="75" t="s">
        <v>506</v>
      </c>
      <c r="D37" s="75" t="s">
        <v>1</v>
      </c>
      <c r="E37" s="75" t="s">
        <v>1</v>
      </c>
      <c r="F37" s="75" t="s">
        <v>507</v>
      </c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84" t="str">
        <f>RIGHT(DEC2HEX(INT((-(HEX2DEC(B37)+HEX2DEC(C37)+HEX2DEC(D37)+HEX2DEC(E37)+HEX2DEC(F37)+HEX2DEC(G37)+HEX2DEC(H37)+HEX2DEC(I37)+HEX2DEC(J37)+HEX2DEC(K37)+HEX2DEC(L37)+HEX2DEC(M37)+HEX2DEC(N37)+HEX2DEC(O37)+HEX2DEC(P37)+HEX2DEC(Q37))/256))),2)</f>
        <v>FF</v>
      </c>
      <c r="S37" s="84" t="str">
        <f>DEC2HEX(MOD((-(HEX2DEC(B37)+HEX2DEC(C37)+HEX2DEC(D37)+HEX2DEC(E37)+HEX2DEC(F37)+HEX2DEC(G37)+HEX2DEC(H37)+HEX2DEC(I37)+HEX2DEC(J37)+HEX2DEC(K37)+HEX2DEC(L37)+HEX2DEC(M37)+HEX2DEC(N37)+HEX2DEC(O37)+HEX2DEC(P37)+HEX2DEC(Q37))),256),2)</f>
        <v>04</v>
      </c>
      <c r="T37" s="55" t="str">
        <f>IF(ISBLANK(B37),,B37&amp;" ")&amp;IF(ISBLANK(C37),,C37&amp;" ")&amp;IF(ISBLANK(D37),,D37&amp;" ")&amp;IF(ISBLANK(E37),,E37&amp;" ")&amp;IF(ISBLANK(F37),,F37&amp;" ")&amp;IF(ISBLANK(G37),,G37&amp;" ")&amp;IF(ISBLANK(H37),,H37&amp;" ")&amp;IF(ISBLANK(I37),,I37&amp;" ")&amp;IF(ISBLANK(J37),,J37&amp;" ")&amp;IF(ISBLANK(K37),,K37&amp;" ")&amp;IF(ISBLANK(L37),,L37&amp;" ")&amp;IF(ISBLANK(M37),,M37&amp;" ")&amp;IF(ISBLANK(N37),,N37&amp;" ")&amp;IF(ISBLANK(Q37),,Q37&amp;" ")&amp;IF(ISBLANK(R37),,R37&amp;" ")&amp;IF(ISBLANK(S37),,S37)</f>
        <v>05 F6 00 00 01 FF 04</v>
      </c>
      <c r="U37" s="454"/>
      <c r="V37" s="455"/>
      <c r="W37" s="455"/>
      <c r="X37" s="455"/>
      <c r="Y37" s="455"/>
      <c r="Z37" s="455"/>
      <c r="AA37" s="455"/>
      <c r="AB37" s="583"/>
    </row>
  </sheetData>
  <mergeCells count="21">
    <mergeCell ref="B2:AB2"/>
    <mergeCell ref="B3:S3"/>
    <mergeCell ref="U3:X3"/>
    <mergeCell ref="Y3:AB3"/>
    <mergeCell ref="H4:Q4"/>
    <mergeCell ref="Y4:AB4"/>
    <mergeCell ref="U37:AB37"/>
    <mergeCell ref="V14:Z16"/>
    <mergeCell ref="V13:Z13"/>
    <mergeCell ref="Y5:AB8"/>
    <mergeCell ref="V27:Z27"/>
    <mergeCell ref="B34:AB34"/>
    <mergeCell ref="B35:S35"/>
    <mergeCell ref="U35:AB35"/>
    <mergeCell ref="C36:Q36"/>
    <mergeCell ref="R36:S36"/>
    <mergeCell ref="U36:AB36"/>
    <mergeCell ref="W19:Z23"/>
    <mergeCell ref="U10:AB10"/>
    <mergeCell ref="U11:AB11"/>
    <mergeCell ref="U9:AB9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2:AA9"/>
  <sheetViews>
    <sheetView workbookViewId="0">
      <selection activeCell="X37" sqref="X37"/>
    </sheetView>
  </sheetViews>
  <sheetFormatPr defaultRowHeight="14.4" x14ac:dyDescent="0.25"/>
  <cols>
    <col min="1" max="18" width="3.6640625" customWidth="1"/>
    <col min="19" max="19" width="40.6640625" customWidth="1"/>
    <col min="20" max="20" width="6.88671875" customWidth="1"/>
    <col min="21" max="23" width="5.6640625" customWidth="1"/>
    <col min="24" max="27" width="10.6640625" customWidth="1"/>
  </cols>
  <sheetData>
    <row r="2" spans="1:27" ht="22.2" x14ac:dyDescent="0.25">
      <c r="A2" s="498" t="s">
        <v>775</v>
      </c>
      <c r="B2" s="533"/>
      <c r="C2" s="533"/>
      <c r="D2" s="533"/>
      <c r="E2" s="533"/>
      <c r="F2" s="533"/>
      <c r="G2" s="533"/>
      <c r="H2" s="533"/>
      <c r="I2" s="533"/>
      <c r="J2" s="533"/>
      <c r="K2" s="533"/>
      <c r="L2" s="533"/>
      <c r="M2" s="533"/>
      <c r="N2" s="533"/>
      <c r="O2" s="533"/>
      <c r="P2" s="533"/>
      <c r="Q2" s="533"/>
      <c r="R2" s="533"/>
      <c r="S2" s="533"/>
      <c r="T2" s="533"/>
      <c r="U2" s="533"/>
      <c r="V2" s="533"/>
      <c r="W2" s="533"/>
      <c r="X2" s="533"/>
      <c r="Y2" s="533"/>
      <c r="Z2" s="533"/>
      <c r="AA2" s="533"/>
    </row>
    <row r="3" spans="1:27" x14ac:dyDescent="0.25">
      <c r="A3" s="435" t="s">
        <v>275</v>
      </c>
      <c r="B3" s="435"/>
      <c r="C3" s="435"/>
      <c r="D3" s="435"/>
      <c r="E3" s="435"/>
      <c r="F3" s="435"/>
      <c r="G3" s="435"/>
      <c r="H3" s="435"/>
      <c r="I3" s="435"/>
      <c r="J3" s="435"/>
      <c r="K3" s="435"/>
      <c r="L3" s="435"/>
      <c r="M3" s="435"/>
      <c r="N3" s="435"/>
      <c r="O3" s="435"/>
      <c r="P3" s="435"/>
      <c r="Q3" s="435"/>
      <c r="R3" s="435"/>
      <c r="S3" s="313" t="s">
        <v>266</v>
      </c>
      <c r="T3" s="435" t="s">
        <v>267</v>
      </c>
      <c r="U3" s="435"/>
      <c r="V3" s="435"/>
      <c r="W3" s="435"/>
      <c r="X3" s="435" t="s">
        <v>268</v>
      </c>
      <c r="Y3" s="435"/>
      <c r="Z3" s="435"/>
      <c r="AA3" s="435"/>
    </row>
    <row r="4" spans="1:27" ht="16.8" x14ac:dyDescent="0.25">
      <c r="A4" s="86" t="s">
        <v>77</v>
      </c>
      <c r="B4" s="314" t="s">
        <v>78</v>
      </c>
      <c r="C4" s="314" t="s">
        <v>10</v>
      </c>
      <c r="D4" s="314" t="s">
        <v>79</v>
      </c>
      <c r="E4" s="314" t="s">
        <v>80</v>
      </c>
      <c r="F4" s="314" t="s">
        <v>11</v>
      </c>
      <c r="G4" s="436" t="s">
        <v>83</v>
      </c>
      <c r="H4" s="436"/>
      <c r="I4" s="436"/>
      <c r="J4" s="436"/>
      <c r="K4" s="436"/>
      <c r="L4" s="436"/>
      <c r="M4" s="436"/>
      <c r="N4" s="436"/>
      <c r="O4" s="436"/>
      <c r="P4" s="436"/>
      <c r="Q4" s="83" t="s">
        <v>81</v>
      </c>
      <c r="R4" s="83" t="s">
        <v>82</v>
      </c>
      <c r="S4" s="51" t="s">
        <v>276</v>
      </c>
      <c r="T4" s="45" t="s">
        <v>776</v>
      </c>
      <c r="U4" s="45" t="s">
        <v>777</v>
      </c>
      <c r="V4" s="45"/>
      <c r="W4" s="45"/>
      <c r="X4" s="439" t="s">
        <v>6</v>
      </c>
      <c r="Y4" s="439"/>
      <c r="Z4" s="439"/>
      <c r="AA4" s="439"/>
    </row>
    <row r="5" spans="1:27" x14ac:dyDescent="0.25">
      <c r="A5" s="84" t="s">
        <v>0</v>
      </c>
      <c r="B5" s="75" t="s">
        <v>1</v>
      </c>
      <c r="C5" s="75" t="str">
        <f>DEC2HEX( COUNTA(D5:P5),2)</f>
        <v>07</v>
      </c>
      <c r="D5" s="76" t="s">
        <v>381</v>
      </c>
      <c r="E5" s="76" t="s">
        <v>1</v>
      </c>
      <c r="F5" s="76" t="s">
        <v>28</v>
      </c>
      <c r="G5" s="3" t="str">
        <f>LEFT(RIGHT(DEC2HEX(T5,4),4),2)</f>
        <v>27</v>
      </c>
      <c r="H5" s="3" t="str">
        <f>LEFT(RIGHT(DEC2HEX(T5,4),2),2)</f>
        <v>10</v>
      </c>
      <c r="I5" s="3" t="str">
        <f>LEFT(RIGHT(DEC2HEX(U5,4),4),2)</f>
        <v>03</v>
      </c>
      <c r="J5" s="3" t="str">
        <f>LEFT(RIGHT(DEC2HEX(U5,4),2),2)</f>
        <v>E8</v>
      </c>
      <c r="K5" s="315"/>
      <c r="L5" s="315"/>
      <c r="M5" s="315"/>
      <c r="N5" s="315"/>
      <c r="O5" s="315"/>
      <c r="P5" s="315"/>
      <c r="Q5" s="84" t="str">
        <f>DEC2HEX(MOD(HEX2DEC(B5)+HEX2DEC(C5)+HEX2DEC(D5)+HEX2DEC(E5)+HEX2DEC(F5)+HEX2DEC(G5)+HEX2DEC(H5)+HEX2DEC(I5)+HEX2DEC(J5)+HEX2DEC(K5)+HEX2DEC(L5)+HEX2DEC(M5)+HEX2DEC(N5)+HEX2DEC(O5)+HEX2DEC(P5),256),2)</f>
        <v>9E</v>
      </c>
      <c r="R5" s="84" t="s">
        <v>5</v>
      </c>
      <c r="S5" s="55" t="str">
        <f>IF(ISBLANK(A5),,A5&amp;" ")&amp;IF(ISBLANK(B5),,B5&amp;" ")&amp;IF(ISBLANK(C5),,C5&amp;" ")&amp;IF(ISBLANK(D5),,D5&amp;" ")&amp;IF(ISBLANK(E5),,E5&amp;" ")&amp;IF(ISBLANK(F5),,F5&amp;" ")&amp;IF(ISBLANK(G5),,G5&amp;" ")&amp;IF(ISBLANK(H5),,H5&amp;" ")&amp;IF(ISBLANK(I5),,I5&amp;" ")&amp;IF(ISBLANK(J5),,J5&amp;" ")&amp;IF(ISBLANK(K5),,K5&amp;" ")&amp;IF(ISBLANK(L5),,L5&amp;" ")&amp;IF(ISBLANK(M5),,M5&amp;" ")&amp;IF(ISBLANK(N5),,N5&amp;" ")&amp;IF(ISBLANK(O5),,O5&amp;" ")&amp;IF(ISBLANK(P5),,P5&amp;" ")&amp;IF(ISBLANK(Q5),,Q5&amp;" ")&amp;IF(ISBLANK(R5),,R5)</f>
        <v>aa 00 07 64 00 11 27 10 03 E8 9E 55</v>
      </c>
      <c r="T5" s="116">
        <v>10000</v>
      </c>
      <c r="U5" s="116">
        <v>1000</v>
      </c>
      <c r="V5" s="116"/>
      <c r="W5" s="116"/>
      <c r="X5" s="440" t="s">
        <v>778</v>
      </c>
      <c r="Y5" s="440"/>
      <c r="Z5" s="440"/>
      <c r="AA5" s="440"/>
    </row>
    <row r="6" spans="1:27" x14ac:dyDescent="0.25">
      <c r="A6" s="84" t="s">
        <v>0</v>
      </c>
      <c r="B6" s="75" t="s">
        <v>1</v>
      </c>
      <c r="C6" s="75" t="str">
        <f t="shared" ref="C6:C9" si="0">DEC2HEX( COUNTA(D6:P6),2)</f>
        <v>07</v>
      </c>
      <c r="D6" s="76" t="s">
        <v>381</v>
      </c>
      <c r="E6" s="76" t="s">
        <v>14</v>
      </c>
      <c r="F6" s="76" t="s">
        <v>28</v>
      </c>
      <c r="G6" s="3" t="str">
        <f t="shared" ref="G6:G9" si="1">LEFT(RIGHT(DEC2HEX(T6,4),4),2)</f>
        <v>27</v>
      </c>
      <c r="H6" s="3" t="str">
        <f t="shared" ref="H6:H9" si="2">LEFT(RIGHT(DEC2HEX(T6,4),2),2)</f>
        <v>10</v>
      </c>
      <c r="I6" s="3" t="str">
        <f t="shared" ref="I6:I9" si="3">LEFT(RIGHT(DEC2HEX(U6,4),4),2)</f>
        <v>03</v>
      </c>
      <c r="J6" s="3" t="str">
        <f t="shared" ref="J6:J9" si="4">LEFT(RIGHT(DEC2HEX(U6,4),2),2)</f>
        <v>E8</v>
      </c>
      <c r="K6" s="315"/>
      <c r="L6" s="315"/>
      <c r="M6" s="315"/>
      <c r="N6" s="315"/>
      <c r="O6" s="315"/>
      <c r="P6" s="315"/>
      <c r="Q6" s="84" t="str">
        <f t="shared" ref="Q6:Q9" si="5">DEC2HEX(MOD(HEX2DEC(B6)+HEX2DEC(C6)+HEX2DEC(D6)+HEX2DEC(E6)+HEX2DEC(F6)+HEX2DEC(G6)+HEX2DEC(H6)+HEX2DEC(I6)+HEX2DEC(J6)+HEX2DEC(K6)+HEX2DEC(L6)+HEX2DEC(M6)+HEX2DEC(N6)+HEX2DEC(O6)+HEX2DEC(P6),256),2)</f>
        <v>9F</v>
      </c>
      <c r="R6" s="84" t="s">
        <v>5</v>
      </c>
      <c r="S6" s="55" t="str">
        <f t="shared" ref="S6:S9" si="6">IF(ISBLANK(A6),,A6&amp;" ")&amp;IF(ISBLANK(B6),,B6&amp;" ")&amp;IF(ISBLANK(C6),,C6&amp;" ")&amp;IF(ISBLANK(D6),,D6&amp;" ")&amp;IF(ISBLANK(E6),,E6&amp;" ")&amp;IF(ISBLANK(F6),,F6&amp;" ")&amp;IF(ISBLANK(G6),,G6&amp;" ")&amp;IF(ISBLANK(H6),,H6&amp;" ")&amp;IF(ISBLANK(I6),,I6&amp;" ")&amp;IF(ISBLANK(J6),,J6&amp;" ")&amp;IF(ISBLANK(K6),,K6&amp;" ")&amp;IF(ISBLANK(L6),,L6&amp;" ")&amp;IF(ISBLANK(M6),,M6&amp;" ")&amp;IF(ISBLANK(N6),,N6&amp;" ")&amp;IF(ISBLANK(O6),,O6&amp;" ")&amp;IF(ISBLANK(P6),,P6&amp;" ")&amp;IF(ISBLANK(Q6),,Q6&amp;" ")&amp;IF(ISBLANK(R6),,R6)</f>
        <v>aa 00 07 64 01 11 27 10 03 E8 9F 55</v>
      </c>
      <c r="T6" s="116">
        <v>10000</v>
      </c>
      <c r="U6" s="116">
        <v>1000</v>
      </c>
      <c r="V6" s="116"/>
      <c r="W6" s="116"/>
      <c r="X6" s="440" t="s">
        <v>778</v>
      </c>
      <c r="Y6" s="440"/>
      <c r="Z6" s="440"/>
      <c r="AA6" s="440"/>
    </row>
    <row r="7" spans="1:27" x14ac:dyDescent="0.25">
      <c r="A7" s="84" t="s">
        <v>0</v>
      </c>
      <c r="B7" s="75" t="s">
        <v>1</v>
      </c>
      <c r="C7" s="75" t="str">
        <f t="shared" si="0"/>
        <v>07</v>
      </c>
      <c r="D7" s="76" t="s">
        <v>381</v>
      </c>
      <c r="E7" s="76" t="s">
        <v>15</v>
      </c>
      <c r="F7" s="76" t="s">
        <v>28</v>
      </c>
      <c r="G7" s="3" t="str">
        <f t="shared" si="1"/>
        <v>27</v>
      </c>
      <c r="H7" s="3" t="str">
        <f t="shared" si="2"/>
        <v>10</v>
      </c>
      <c r="I7" s="3" t="str">
        <f t="shared" si="3"/>
        <v>03</v>
      </c>
      <c r="J7" s="3" t="str">
        <f t="shared" si="4"/>
        <v>E8</v>
      </c>
      <c r="K7" s="315"/>
      <c r="L7" s="315"/>
      <c r="M7" s="315"/>
      <c r="N7" s="315"/>
      <c r="O7" s="315"/>
      <c r="P7" s="315"/>
      <c r="Q7" s="84" t="str">
        <f t="shared" si="5"/>
        <v>A0</v>
      </c>
      <c r="R7" s="84" t="s">
        <v>5</v>
      </c>
      <c r="S7" s="55" t="str">
        <f t="shared" si="6"/>
        <v>aa 00 07 64 02 11 27 10 03 E8 A0 55</v>
      </c>
      <c r="T7" s="116">
        <v>10000</v>
      </c>
      <c r="U7" s="116">
        <v>1000</v>
      </c>
      <c r="V7" s="116"/>
      <c r="W7" s="116"/>
      <c r="X7" s="440" t="s">
        <v>778</v>
      </c>
      <c r="Y7" s="440"/>
      <c r="Z7" s="440"/>
      <c r="AA7" s="440"/>
    </row>
    <row r="8" spans="1:27" x14ac:dyDescent="0.25">
      <c r="A8" s="84" t="s">
        <v>0</v>
      </c>
      <c r="B8" s="75" t="s">
        <v>1</v>
      </c>
      <c r="C8" s="75" t="str">
        <f t="shared" si="0"/>
        <v>07</v>
      </c>
      <c r="D8" s="76" t="s">
        <v>381</v>
      </c>
      <c r="E8" s="76" t="s">
        <v>13</v>
      </c>
      <c r="F8" s="76" t="s">
        <v>28</v>
      </c>
      <c r="G8" s="3" t="str">
        <f t="shared" si="1"/>
        <v>27</v>
      </c>
      <c r="H8" s="3" t="str">
        <f t="shared" si="2"/>
        <v>10</v>
      </c>
      <c r="I8" s="3" t="str">
        <f t="shared" si="3"/>
        <v>03</v>
      </c>
      <c r="J8" s="3" t="str">
        <f t="shared" si="4"/>
        <v>E8</v>
      </c>
      <c r="K8" s="315"/>
      <c r="L8" s="315"/>
      <c r="M8" s="315"/>
      <c r="N8" s="315"/>
      <c r="O8" s="315"/>
      <c r="P8" s="315"/>
      <c r="Q8" s="84" t="str">
        <f t="shared" si="5"/>
        <v>A1</v>
      </c>
      <c r="R8" s="84" t="s">
        <v>5</v>
      </c>
      <c r="S8" s="55" t="str">
        <f t="shared" si="6"/>
        <v>aa 00 07 64 03 11 27 10 03 E8 A1 55</v>
      </c>
      <c r="T8" s="116">
        <v>10000</v>
      </c>
      <c r="U8" s="116">
        <v>1000</v>
      </c>
      <c r="V8" s="116"/>
      <c r="W8" s="116"/>
      <c r="X8" s="440" t="s">
        <v>778</v>
      </c>
      <c r="Y8" s="440"/>
      <c r="Z8" s="440"/>
      <c r="AA8" s="440"/>
    </row>
    <row r="9" spans="1:27" x14ac:dyDescent="0.25">
      <c r="A9" s="84" t="s">
        <v>0</v>
      </c>
      <c r="B9" s="75" t="s">
        <v>1</v>
      </c>
      <c r="C9" s="75" t="str">
        <f t="shared" si="0"/>
        <v>07</v>
      </c>
      <c r="D9" s="76" t="s">
        <v>381</v>
      </c>
      <c r="E9" s="76" t="s">
        <v>18</v>
      </c>
      <c r="F9" s="76" t="s">
        <v>28</v>
      </c>
      <c r="G9" s="3" t="str">
        <f t="shared" si="1"/>
        <v>27</v>
      </c>
      <c r="H9" s="3" t="str">
        <f t="shared" si="2"/>
        <v>10</v>
      </c>
      <c r="I9" s="3" t="str">
        <f t="shared" si="3"/>
        <v>03</v>
      </c>
      <c r="J9" s="3" t="str">
        <f t="shared" si="4"/>
        <v>E8</v>
      </c>
      <c r="K9" s="315"/>
      <c r="L9" s="315"/>
      <c r="M9" s="315"/>
      <c r="N9" s="315"/>
      <c r="O9" s="315"/>
      <c r="P9" s="315"/>
      <c r="Q9" s="84" t="str">
        <f t="shared" si="5"/>
        <v>A2</v>
      </c>
      <c r="R9" s="84" t="s">
        <v>5</v>
      </c>
      <c r="S9" s="55" t="str">
        <f t="shared" si="6"/>
        <v>aa 00 07 64 04 11 27 10 03 E8 A2 55</v>
      </c>
      <c r="T9" s="116">
        <v>10000</v>
      </c>
      <c r="U9" s="116">
        <v>1000</v>
      </c>
      <c r="V9" s="116"/>
      <c r="W9" s="116"/>
      <c r="X9" s="440" t="s">
        <v>778</v>
      </c>
      <c r="Y9" s="440"/>
      <c r="Z9" s="440"/>
      <c r="AA9" s="440"/>
    </row>
  </sheetData>
  <mergeCells count="11">
    <mergeCell ref="X6:AA6"/>
    <mergeCell ref="X7:AA7"/>
    <mergeCell ref="X8:AA8"/>
    <mergeCell ref="X9:AA9"/>
    <mergeCell ref="A2:AA2"/>
    <mergeCell ref="A3:R3"/>
    <mergeCell ref="T3:W3"/>
    <mergeCell ref="X3:AA3"/>
    <mergeCell ref="G4:P4"/>
    <mergeCell ref="X4:AA4"/>
    <mergeCell ref="X5:AA5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给QT读取的</vt:lpstr>
      <vt:lpstr>通用2</vt:lpstr>
      <vt:lpstr>通用</vt:lpstr>
      <vt:lpstr>试剂封闭</vt:lpstr>
      <vt:lpstr>其他</vt:lpstr>
      <vt:lpstr>电压11</vt:lpstr>
      <vt:lpstr>温度11</vt:lpstr>
      <vt:lpstr>从站11</vt:lpstr>
      <vt:lpstr>时序</vt:lpstr>
      <vt:lpstr>自动进样11</vt:lpstr>
      <vt:lpstr>压力11</vt:lpstr>
      <vt:lpstr>泵阀11</vt:lpstr>
      <vt:lpstr>试剂和开关11</vt:lpstr>
      <vt:lpstr>灌注排空</vt:lpstr>
      <vt:lpstr>电机11</vt:lpstr>
      <vt:lpstr>条码11</vt:lpstr>
      <vt:lpstr>试剂有无11用不了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郑凯鹏</dc:creator>
  <cp:lastModifiedBy>zheng</cp:lastModifiedBy>
  <dcterms:created xsi:type="dcterms:W3CDTF">2006-09-13T11:21:51Z</dcterms:created>
  <dcterms:modified xsi:type="dcterms:W3CDTF">2019-08-09T02:43:52Z</dcterms:modified>
</cp:coreProperties>
</file>